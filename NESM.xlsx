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CF Model\"/>
    </mc:Choice>
  </mc:AlternateContent>
  <xr:revisionPtr revIDLastSave="0" documentId="13_ncr:1_{3C20D1B9-B3EB-4404-A2F7-B93A7E8E28B9}" xr6:coauthVersionLast="47" xr6:coauthVersionMax="47" xr10:uidLastSave="{00000000-0000-0000-0000-000000000000}"/>
  <bookViews>
    <workbookView xWindow="-110" yWindow="-110" windowWidth="19420" windowHeight="11500" activeTab="3" xr2:uid="{00000000-000D-0000-FFFF-FFFF00000000}"/>
  </bookViews>
  <sheets>
    <sheet name="NESN.SW_Balance Sheet" sheetId="1" r:id="rId1"/>
    <sheet name="NESN.SW_Income Statement" sheetId="2" r:id="rId2"/>
    <sheet name="NESN.SW_Cash Flow" sheetId="3" r:id="rId3"/>
    <sheet name="DCF" sheetId="4" r:id="rId4"/>
    <sheet name="WACC" sheetId="5" r:id="rId5"/>
  </sheets>
  <calcPr calcId="191029"/>
</workbook>
</file>

<file path=xl/calcChain.xml><?xml version="1.0" encoding="utf-8"?>
<calcChain xmlns="http://schemas.openxmlformats.org/spreadsheetml/2006/main">
  <c r="G62" i="4" l="1"/>
  <c r="H62" i="4" s="1"/>
  <c r="I62" i="4" s="1"/>
  <c r="F70" i="4"/>
  <c r="I68" i="4"/>
  <c r="I67" i="4"/>
  <c r="B19" i="4"/>
  <c r="H18" i="4"/>
  <c r="K18" i="4" s="1"/>
  <c r="C15" i="5"/>
  <c r="C13" i="5"/>
  <c r="C12" i="5"/>
  <c r="C11" i="5"/>
  <c r="D38" i="4"/>
  <c r="E38" i="4"/>
  <c r="F38" i="4"/>
  <c r="C38" i="4"/>
  <c r="G38" i="4" s="1"/>
  <c r="C32" i="2"/>
  <c r="D32" i="2"/>
  <c r="E32" i="2"/>
  <c r="B32" i="2"/>
  <c r="F52" i="4"/>
  <c r="E52" i="4"/>
  <c r="D52" i="4"/>
  <c r="C52" i="4"/>
  <c r="F49" i="4"/>
  <c r="E49" i="4"/>
  <c r="D49" i="4"/>
  <c r="C49" i="4"/>
  <c r="C46" i="4"/>
  <c r="F46" i="4"/>
  <c r="D46" i="4"/>
  <c r="C34" i="4"/>
  <c r="C37" i="4" s="1"/>
  <c r="C31" i="4"/>
  <c r="F31" i="4"/>
  <c r="E31" i="4"/>
  <c r="D31" i="4"/>
  <c r="F34" i="4"/>
  <c r="E34" i="4"/>
  <c r="D34" i="4"/>
  <c r="D37" i="4" s="1"/>
  <c r="D40" i="4" s="1"/>
  <c r="F28" i="4"/>
  <c r="E28" i="4"/>
  <c r="D28" i="4"/>
  <c r="C28" i="4"/>
  <c r="D22" i="4"/>
  <c r="E22" i="4"/>
  <c r="F22" i="4"/>
  <c r="C22" i="4"/>
  <c r="K19" i="4"/>
  <c r="E19" i="4"/>
  <c r="B75" i="4" s="1"/>
  <c r="C75" i="4" s="1"/>
  <c r="D75" i="4" s="1"/>
  <c r="E75" i="4" s="1"/>
  <c r="F75" i="4" s="1"/>
  <c r="G75" i="4" s="1"/>
  <c r="H75" i="4" s="1"/>
  <c r="I75" i="4" s="1"/>
  <c r="H38" i="4" l="1"/>
  <c r="I38" i="4" s="1"/>
  <c r="B18" i="4"/>
  <c r="A76" i="4" s="1"/>
  <c r="A77" i="4" s="1"/>
  <c r="A78" i="4" s="1"/>
  <c r="A79" i="4" s="1"/>
  <c r="A80" i="4" s="1"/>
  <c r="A81" i="4" s="1"/>
  <c r="A82" i="4" s="1"/>
  <c r="A83" i="4" s="1"/>
  <c r="D50" i="4"/>
  <c r="E50" i="4"/>
  <c r="D41" i="4"/>
  <c r="F23" i="4"/>
  <c r="E18" i="4"/>
  <c r="C23" i="5"/>
  <c r="C53" i="4"/>
  <c r="D47" i="4"/>
  <c r="E23" i="4"/>
  <c r="D53" i="4"/>
  <c r="F37" i="4"/>
  <c r="F40" i="4" s="1"/>
  <c r="F41" i="4" s="1"/>
  <c r="F47" i="4"/>
  <c r="E37" i="4"/>
  <c r="E40" i="4" s="1"/>
  <c r="E41" i="4" s="1"/>
  <c r="D32" i="4"/>
  <c r="E32" i="4"/>
  <c r="C40" i="4"/>
  <c r="C41" i="4" s="1"/>
  <c r="C47" i="4"/>
  <c r="F32" i="4"/>
  <c r="C32" i="4"/>
  <c r="C50" i="4"/>
  <c r="F50" i="4"/>
  <c r="E47" i="4"/>
  <c r="E53" i="4"/>
  <c r="F53" i="4"/>
  <c r="D35" i="4"/>
  <c r="F29" i="4"/>
  <c r="E35" i="4"/>
  <c r="D23" i="4"/>
  <c r="C29" i="4"/>
  <c r="D29" i="4"/>
  <c r="E29" i="4"/>
  <c r="F35" i="4"/>
  <c r="C35" i="4"/>
  <c r="G32" i="4" l="1"/>
  <c r="H32" i="4" s="1"/>
  <c r="I32" i="4" s="1"/>
  <c r="G53" i="4"/>
  <c r="H53" i="4" s="1"/>
  <c r="I53" i="4" s="1"/>
  <c r="G50" i="4"/>
  <c r="H50" i="4" s="1"/>
  <c r="I50" i="4" s="1"/>
  <c r="G35" i="4"/>
  <c r="G29" i="4"/>
  <c r="H29" i="4" s="1"/>
  <c r="I29" i="4" s="1"/>
  <c r="G47" i="4"/>
  <c r="H47" i="4" s="1"/>
  <c r="I47" i="4" s="1"/>
  <c r="G23" i="4"/>
  <c r="H35" i="4" l="1"/>
  <c r="I35" i="4" s="1"/>
  <c r="G25" i="4"/>
  <c r="G22" i="4"/>
  <c r="H23" i="4"/>
  <c r="I23" i="4" l="1"/>
  <c r="I25" i="4" s="1"/>
  <c r="H25" i="4"/>
  <c r="G24" i="4"/>
  <c r="G34" i="4"/>
  <c r="G28" i="4"/>
  <c r="G49" i="4"/>
  <c r="G59" i="4" s="1"/>
  <c r="G31" i="4"/>
  <c r="G46" i="4"/>
  <c r="G58" i="4" s="1"/>
  <c r="G52" i="4"/>
  <c r="G60" i="4" s="1"/>
  <c r="G26" i="4"/>
  <c r="H22" i="4"/>
  <c r="H46" i="4" l="1"/>
  <c r="H58" i="4" s="1"/>
  <c r="H52" i="4"/>
  <c r="H60" i="4" s="1"/>
  <c r="H28" i="4"/>
  <c r="H26" i="4"/>
  <c r="H31" i="4"/>
  <c r="H24" i="4"/>
  <c r="H34" i="4"/>
  <c r="I22" i="4"/>
  <c r="H49" i="4"/>
  <c r="H59" i="4" s="1"/>
  <c r="G37" i="4"/>
  <c r="G40" i="4" s="1"/>
  <c r="G41" i="4" l="1"/>
  <c r="G57" i="4"/>
  <c r="G61" i="4" s="1"/>
  <c r="G63" i="4" s="1"/>
  <c r="I28" i="4"/>
  <c r="I31" i="4"/>
  <c r="I26" i="4"/>
  <c r="I49" i="4"/>
  <c r="I59" i="4" s="1"/>
  <c r="I34" i="4"/>
  <c r="I46" i="4"/>
  <c r="I58" i="4" s="1"/>
  <c r="I24" i="4"/>
  <c r="I52" i="4"/>
  <c r="I60" i="4" s="1"/>
  <c r="H37" i="4"/>
  <c r="H40" i="4"/>
  <c r="H41" i="4" l="1"/>
  <c r="H57" i="4"/>
  <c r="H61" i="4" s="1"/>
  <c r="H63" i="4" s="1"/>
  <c r="I37" i="4"/>
  <c r="I40" i="4" s="1"/>
  <c r="I41" i="4" l="1"/>
  <c r="I57" i="4"/>
  <c r="I61" i="4" s="1"/>
  <c r="I63" i="4" s="1"/>
  <c r="I64" i="4" l="1"/>
  <c r="I65" i="4" s="1"/>
  <c r="I66" i="4" s="1"/>
  <c r="I69" i="4" s="1"/>
  <c r="I71" i="4" s="1"/>
  <c r="B10" i="4" l="1"/>
  <c r="B11" i="4" s="1"/>
  <c r="A75" i="4"/>
</calcChain>
</file>

<file path=xl/sharedStrings.xml><?xml version="1.0" encoding="utf-8"?>
<sst xmlns="http://schemas.openxmlformats.org/spreadsheetml/2006/main" count="273" uniqueCount="250">
  <si>
    <t>Treasury Shares Number</t>
  </si>
  <si>
    <t>Ordinary Shares Number</t>
  </si>
  <si>
    <t>Share Issued</t>
  </si>
  <si>
    <t>Total Debt</t>
  </si>
  <si>
    <t>Tangible Book Value</t>
  </si>
  <si>
    <t>Invested Capital</t>
  </si>
  <si>
    <t>Working Capital</t>
  </si>
  <si>
    <t>Net Tangible Assets</t>
  </si>
  <si>
    <t>Common Stock Equity</t>
  </si>
  <si>
    <t>Total Capitalization</t>
  </si>
  <si>
    <t>Total Equity Gross Minority Interest</t>
  </si>
  <si>
    <t>Minority Interest</t>
  </si>
  <si>
    <t>Stockholders Equity</t>
  </si>
  <si>
    <t>Treasury Stock</t>
  </si>
  <si>
    <t>Retained Earnings</t>
  </si>
  <si>
    <t>Capital Stock</t>
  </si>
  <si>
    <t>Common Stock</t>
  </si>
  <si>
    <t>Total Liabilities Net Minority Interest</t>
  </si>
  <si>
    <t>Total Non Current Liabilities Net Minority Interest</t>
  </si>
  <si>
    <t>Derivative Product Liabilities</t>
  </si>
  <si>
    <t>Non Current Pension And Other Postretirement Benefit Plans</t>
  </si>
  <si>
    <t>Tradeand Other Payables Non Current</t>
  </si>
  <si>
    <t>Non Current Deferred Taxes Liabilities</t>
  </si>
  <si>
    <t>Long Term Debt And Capital Lease Obligation</t>
  </si>
  <si>
    <t>Long Term Provisions</t>
  </si>
  <si>
    <t>Current Liabilities</t>
  </si>
  <si>
    <t>Current Debt And Capital Lease Obligation</t>
  </si>
  <si>
    <t>Current Provisions</t>
  </si>
  <si>
    <t>Payables</t>
  </si>
  <si>
    <t>Other Payable</t>
  </si>
  <si>
    <t>Total Tax Payable</t>
  </si>
  <si>
    <t>Accounts Payable</t>
  </si>
  <si>
    <t>Total Assets</t>
  </si>
  <si>
    <t>Total Non Current Assets</t>
  </si>
  <si>
    <t>Defined Pension Benefit</t>
  </si>
  <si>
    <t>Non Current Deferred Taxes Assets</t>
  </si>
  <si>
    <t>Financial Assets</t>
  </si>
  <si>
    <t>Investmentin Financial Assets</t>
  </si>
  <si>
    <t>Long Term Equity Investment</t>
  </si>
  <si>
    <t>Investmentsin Joint Venturesat Cost</t>
  </si>
  <si>
    <t>Investmentsin Associatesat Cost</t>
  </si>
  <si>
    <t>Goodwill And Other Intangible Assets</t>
  </si>
  <si>
    <t>Other Intangible Assets</t>
  </si>
  <si>
    <t>Goodwill</t>
  </si>
  <si>
    <t>Net PPE</t>
  </si>
  <si>
    <t>Accumulated Depreciation</t>
  </si>
  <si>
    <t>Gross PPE</t>
  </si>
  <si>
    <t>Construction In Progress</t>
  </si>
  <si>
    <t>Other Properties</t>
  </si>
  <si>
    <t>Machinery Furniture Equipment</t>
  </si>
  <si>
    <t>Buildings And Improvements</t>
  </si>
  <si>
    <t>Land And Improvements</t>
  </si>
  <si>
    <t>Properties</t>
  </si>
  <si>
    <t>Current Assets</t>
  </si>
  <si>
    <t>Hedging Assets Current</t>
  </si>
  <si>
    <t>Assets Held For Sale Current</t>
  </si>
  <si>
    <t>Prepaid Assets</t>
  </si>
  <si>
    <t>Inventory</t>
  </si>
  <si>
    <t>Inventories Adjustments Allowances</t>
  </si>
  <si>
    <t>Finished Goods</t>
  </si>
  <si>
    <t>Raw Materials</t>
  </si>
  <si>
    <t>Other Receivables</t>
  </si>
  <si>
    <t>Taxes Receivable</t>
  </si>
  <si>
    <t>Accounts Receivable</t>
  </si>
  <si>
    <t>Allowance For Doubtful Accounts Receivable</t>
  </si>
  <si>
    <t>Gross Accounts Receivable</t>
  </si>
  <si>
    <t>Cash Cash Equivalents And Short Term Investments</t>
  </si>
  <si>
    <t>Other Short Term Investments</t>
  </si>
  <si>
    <t>Cash And Cash Equivalents</t>
  </si>
  <si>
    <t>Cash Equivalents</t>
  </si>
  <si>
    <t>Cash Financial</t>
  </si>
  <si>
    <t>Tax Effect Of Unusual Items</t>
  </si>
  <si>
    <t>Tax Rate For Calcs</t>
  </si>
  <si>
    <t>Normalized EBITDA</t>
  </si>
  <si>
    <t>Total Unusual Items</t>
  </si>
  <si>
    <t>Total Unusual Items Excluding Goodwill</t>
  </si>
  <si>
    <t>Net Income From Continuing Operation Net Minority Interest</t>
  </si>
  <si>
    <t>Reconciled Depreciation</t>
  </si>
  <si>
    <t>Reconciled Cost Of Revenue</t>
  </si>
  <si>
    <t>EBITDA</t>
  </si>
  <si>
    <t>EBIT</t>
  </si>
  <si>
    <t>Net Interest Income</t>
  </si>
  <si>
    <t>Interest Expense</t>
  </si>
  <si>
    <t>Interest Income</t>
  </si>
  <si>
    <t>Normalized Income</t>
  </si>
  <si>
    <t>Net Income From Continuing And Discontinued Operation</t>
  </si>
  <si>
    <t>Total Expenses</t>
  </si>
  <si>
    <t>Total Operating Income As Reported</t>
  </si>
  <si>
    <t>Diluted Average Shares</t>
  </si>
  <si>
    <t>Basic Average Shares</t>
  </si>
  <si>
    <t>Diluted EPS</t>
  </si>
  <si>
    <t>Basic EPS</t>
  </si>
  <si>
    <t>Diluted NI Availto Com Stockholders</t>
  </si>
  <si>
    <t>Net Income Common Stockholders</t>
  </si>
  <si>
    <t>Otherunder Preferred Stock Dividend</t>
  </si>
  <si>
    <t>Net Income</t>
  </si>
  <si>
    <t>Minority Interests</t>
  </si>
  <si>
    <t>Net Income Including Noncontrolling Interests</t>
  </si>
  <si>
    <t>Net Income Continuous Operations</t>
  </si>
  <si>
    <t>Tax Provision</t>
  </si>
  <si>
    <t>Pretax Income</t>
  </si>
  <si>
    <t>Other Non Operating Income Expenses</t>
  </si>
  <si>
    <t>Special Income Charges</t>
  </si>
  <si>
    <t>Other Special Charges</t>
  </si>
  <si>
    <t>Impairment Of Capital Assets</t>
  </si>
  <si>
    <t>Restructuring And Mergern Acquisition</t>
  </si>
  <si>
    <t>Net Non Operating Interest Income Expense</t>
  </si>
  <si>
    <t>Total Other Finance Cost</t>
  </si>
  <si>
    <t>Interest Expense Non Operating</t>
  </si>
  <si>
    <t>Interest Income Non Operating</t>
  </si>
  <si>
    <t>Operating Income</t>
  </si>
  <si>
    <t>Operating Expense</t>
  </si>
  <si>
    <t>Other Operating Expenses</t>
  </si>
  <si>
    <t>Research And Development</t>
  </si>
  <si>
    <t>Selling General And Administration</t>
  </si>
  <si>
    <t>Selling And Marketing Expense</t>
  </si>
  <si>
    <t>Gross Profit</t>
  </si>
  <si>
    <t>Cost Of Revenue</t>
  </si>
  <si>
    <t>Total Revenue</t>
  </si>
  <si>
    <t>Operating Revenue</t>
  </si>
  <si>
    <t>Free Cash Flow</t>
  </si>
  <si>
    <t>Repurchase Of Capital Stock</t>
  </si>
  <si>
    <t>Repayment Of Debt</t>
  </si>
  <si>
    <t>Issuance Of Debt</t>
  </si>
  <si>
    <t>Capital Expenditure</t>
  </si>
  <si>
    <t>End Cash Position</t>
  </si>
  <si>
    <t>Other Cash Adjustment Outside Changein Cash</t>
  </si>
  <si>
    <t>Beginning Cash Position</t>
  </si>
  <si>
    <t>Effect Of Exchange Rate Changes</t>
  </si>
  <si>
    <t>Changes In Cash</t>
  </si>
  <si>
    <t>Financing Cash Flow</t>
  </si>
  <si>
    <t>Net Other Financing Charges</t>
  </si>
  <si>
    <t>Cash Dividends Paid</t>
  </si>
  <si>
    <t>Common Stock Dividend Paid</t>
  </si>
  <si>
    <t>Net Common Stock Issuance</t>
  </si>
  <si>
    <t>Common Stock Payments</t>
  </si>
  <si>
    <t>Net Issuance Payments Of Debt</t>
  </si>
  <si>
    <t>Net Short Term Debt Issuance</t>
  </si>
  <si>
    <t>Net Long Term Debt Issuance</t>
  </si>
  <si>
    <t>Long Term Debt Payments</t>
  </si>
  <si>
    <t>Long Term Debt Issuance</t>
  </si>
  <si>
    <t>Investing Cash Flow</t>
  </si>
  <si>
    <t>Net Other Investing Changes</t>
  </si>
  <si>
    <t>Net Investment Purchase And Sale</t>
  </si>
  <si>
    <t>Net Business Purchase And Sale</t>
  </si>
  <si>
    <t>Sale Of Business</t>
  </si>
  <si>
    <t>Purchase Of Business</t>
  </si>
  <si>
    <t>Net Intangibles Purchase And Sale</t>
  </si>
  <si>
    <t>Purchase Of Intangibles</t>
  </si>
  <si>
    <t>Capital Expenditure Reported</t>
  </si>
  <si>
    <t>Operating Cash Flow</t>
  </si>
  <si>
    <t>Taxes Refund Paid</t>
  </si>
  <si>
    <t>Interest Received Cfo</t>
  </si>
  <si>
    <t>Interest Paid Cfo</t>
  </si>
  <si>
    <t>Dividend Received Cfo</t>
  </si>
  <si>
    <t>Change In Working Capital</t>
  </si>
  <si>
    <t>Change In Other Current Assets</t>
  </si>
  <si>
    <t>Change In Accrued Expense</t>
  </si>
  <si>
    <t>Change In Payable</t>
  </si>
  <si>
    <t>Change In Prepaid Assets</t>
  </si>
  <si>
    <t>Change In Inventory</t>
  </si>
  <si>
    <t>Change In Receivables</t>
  </si>
  <si>
    <t>Other Non Cash Items</t>
  </si>
  <si>
    <t>Stock Based Compensation</t>
  </si>
  <si>
    <t>Deferred Tax</t>
  </si>
  <si>
    <t>Depreciation And Amortization</t>
  </si>
  <si>
    <t>Amortization Cash Flow</t>
  </si>
  <si>
    <t>Depreciation</t>
  </si>
  <si>
    <t>Gain Loss On Investment Securities</t>
  </si>
  <si>
    <t>Gain Loss On Sale Of Business</t>
  </si>
  <si>
    <t>Net Income From Continuing Operations</t>
  </si>
  <si>
    <t>Balance Sheet</t>
  </si>
  <si>
    <t>Income Statement</t>
  </si>
  <si>
    <t>Cashflow Statement</t>
  </si>
  <si>
    <t>OVERVIEW</t>
  </si>
  <si>
    <t>Company ticker</t>
  </si>
  <si>
    <t>Stock price</t>
  </si>
  <si>
    <t>Stock price forecast</t>
  </si>
  <si>
    <t>Judgement of valuation</t>
  </si>
  <si>
    <t>ASSUMPTION</t>
  </si>
  <si>
    <t>Scenario</t>
  </si>
  <si>
    <t>1. Pessimistic case</t>
  </si>
  <si>
    <t>2. Base case</t>
  </si>
  <si>
    <t>3. Optimistic case</t>
  </si>
  <si>
    <t>Case selected</t>
  </si>
  <si>
    <t>Revenue g %</t>
  </si>
  <si>
    <t>Revenue g%</t>
  </si>
  <si>
    <t>WACC</t>
  </si>
  <si>
    <t>Terminal Growth Rate</t>
  </si>
  <si>
    <t>INCOME STATEMENT</t>
  </si>
  <si>
    <t>Revenue</t>
  </si>
  <si>
    <t>% growth</t>
  </si>
  <si>
    <t>Pessimistic Case</t>
  </si>
  <si>
    <t>Base Case</t>
  </si>
  <si>
    <t>Optimistic Case</t>
  </si>
  <si>
    <t>% sales</t>
  </si>
  <si>
    <t>% Tax rate</t>
  </si>
  <si>
    <t>%sales</t>
  </si>
  <si>
    <t>CASHFLOW STATEMENT</t>
  </si>
  <si>
    <t>Plus: D&amp;A</t>
  </si>
  <si>
    <t>Less: Capex</t>
  </si>
  <si>
    <t>Less: Change in WC</t>
  </si>
  <si>
    <t>Discounted Cash Flow</t>
  </si>
  <si>
    <t>EBIAT</t>
  </si>
  <si>
    <t>FCF</t>
  </si>
  <si>
    <t>Discount period</t>
  </si>
  <si>
    <t>Discounted FCF</t>
  </si>
  <si>
    <t>Terminal value (TV)</t>
  </si>
  <si>
    <t>Discounted TV</t>
  </si>
  <si>
    <t>Enterprise value</t>
  </si>
  <si>
    <t>Plus: Cash</t>
  </si>
  <si>
    <t>Less: Debt</t>
  </si>
  <si>
    <t>Equity value</t>
  </si>
  <si>
    <t>Dividend: Shares outstanding</t>
  </si>
  <si>
    <t>Sensitivity analysis</t>
  </si>
  <si>
    <t>TGR</t>
  </si>
  <si>
    <t>NESN</t>
  </si>
  <si>
    <t>NESN DCF model</t>
  </si>
  <si>
    <t>SG&amp;A Expenses</t>
  </si>
  <si>
    <t>Tax Burden</t>
  </si>
  <si>
    <t>Income Tax Expense</t>
  </si>
  <si>
    <t>Plus D&amp;A</t>
  </si>
  <si>
    <t>Formula used</t>
  </si>
  <si>
    <t>Wacc = Re * E/V + Rd*(1-t)*D/V</t>
  </si>
  <si>
    <t>Re = Rf + Be*(MRP)</t>
  </si>
  <si>
    <t>V = D + E</t>
  </si>
  <si>
    <t>Items</t>
  </si>
  <si>
    <t>Value</t>
  </si>
  <si>
    <t>Source</t>
  </si>
  <si>
    <t>Market Equity</t>
  </si>
  <si>
    <t>Debt</t>
  </si>
  <si>
    <t>Value(E+D)</t>
  </si>
  <si>
    <t>E/V</t>
  </si>
  <si>
    <t>D/V</t>
  </si>
  <si>
    <t>Re</t>
  </si>
  <si>
    <t>Rf</t>
  </si>
  <si>
    <t>Bequity</t>
  </si>
  <si>
    <t>yahoofinance</t>
  </si>
  <si>
    <t>MRP</t>
  </si>
  <si>
    <t>Rd</t>
  </si>
  <si>
    <t>1-t</t>
  </si>
  <si>
    <t>Corporate tax rate: 20%</t>
  </si>
  <si>
    <t>Yahoo Finance</t>
  </si>
  <si>
    <t>Federal Reserve Bank of St.Louis - 10 Year Government yield curve Sweden</t>
  </si>
  <si>
    <t>Damodaran</t>
  </si>
  <si>
    <t>Value Investing.io</t>
  </si>
  <si>
    <t>Undervalued</t>
  </si>
  <si>
    <t>Start Date</t>
  </si>
  <si>
    <t>End Date</t>
  </si>
  <si>
    <t>Upside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</si>
</sst>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-* #,##0_-;\-* #,##0_-;_-* &quot;-&quot;??_-;_-@_-"/>
    <numFmt numFmtId="165" formatCode="General&quot;A&quot;"/>
    <numFmt numFmtId="166" formatCode="General&quot;F&quot;"/>
    <numFmt numFmtId="167" formatCode="0.0%"/>
  </numFmts>
  <fonts count="1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name val="Calibri"/>
      <family val="2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5" tint="-0.249977111117893"/>
      <name val="Calibri"/>
      <family val="2"/>
      <scheme val="minor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57">
    <xf numFmtId="0" fontId="0" fillId="0" borderId="0" xfId="0"/>
    <xf numFmtId="164" fontId="0" fillId="0" borderId="0" xfId="1" applyNumberFormat="1" applyFont="1"/>
    <xf numFmtId="0" fontId="0" fillId="0" borderId="2" xfId="0" applyBorder="1"/>
    <xf numFmtId="0" fontId="6" fillId="0" borderId="2" xfId="0" applyFont="1" applyBorder="1"/>
    <xf numFmtId="0" fontId="7" fillId="0" borderId="0" xfId="0" applyFont="1" applyAlignment="1">
      <alignment horizontal="left" vertical="top"/>
    </xf>
    <xf numFmtId="0" fontId="4" fillId="0" borderId="0" xfId="0" applyFont="1"/>
    <xf numFmtId="14" fontId="1" fillId="0" borderId="0" xfId="0" applyNumberFormat="1" applyFont="1" applyAlignment="1">
      <alignment horizontal="center" vertical="top"/>
    </xf>
    <xf numFmtId="0" fontId="8" fillId="0" borderId="2" xfId="0" applyFont="1" applyBorder="1"/>
    <xf numFmtId="164" fontId="0" fillId="0" borderId="0" xfId="1" applyNumberFormat="1" applyFont="1" applyBorder="1"/>
    <xf numFmtId="0" fontId="9" fillId="0" borderId="2" xfId="0" applyFont="1" applyBorder="1"/>
    <xf numFmtId="0" fontId="10" fillId="0" borderId="2" xfId="0" applyFont="1" applyBorder="1"/>
    <xf numFmtId="0" fontId="11" fillId="0" borderId="0" xfId="0" applyFont="1"/>
    <xf numFmtId="0" fontId="11" fillId="0" borderId="0" xfId="0" applyFont="1" applyAlignment="1">
      <alignment horizontal="center"/>
    </xf>
    <xf numFmtId="14" fontId="11" fillId="0" borderId="0" xfId="0" applyNumberFormat="1" applyFont="1"/>
    <xf numFmtId="164" fontId="4" fillId="0" borderId="0" xfId="0" applyNumberFormat="1" applyFont="1" applyAlignment="1">
      <alignment horizontal="right"/>
    </xf>
    <xf numFmtId="0" fontId="3" fillId="4" borderId="0" xfId="0" applyFont="1" applyFill="1"/>
    <xf numFmtId="0" fontId="5" fillId="4" borderId="0" xfId="0" applyFont="1" applyFill="1"/>
    <xf numFmtId="9" fontId="5" fillId="4" borderId="0" xfId="0" applyNumberFormat="1" applyFont="1" applyFill="1"/>
    <xf numFmtId="9" fontId="0" fillId="0" borderId="0" xfId="0" applyNumberFormat="1"/>
    <xf numFmtId="10" fontId="0" fillId="0" borderId="0" xfId="2" applyNumberFormat="1" applyFont="1"/>
    <xf numFmtId="10" fontId="0" fillId="0" borderId="0" xfId="0" applyNumberFormat="1"/>
    <xf numFmtId="164" fontId="12" fillId="0" borderId="0" xfId="1" applyNumberFormat="1" applyFont="1"/>
    <xf numFmtId="164" fontId="0" fillId="0" borderId="0" xfId="0" applyNumberFormat="1"/>
    <xf numFmtId="9" fontId="13" fillId="0" borderId="0" xfId="2" applyFont="1"/>
    <xf numFmtId="167" fontId="13" fillId="0" borderId="0" xfId="2" applyNumberFormat="1" applyFont="1"/>
    <xf numFmtId="0" fontId="0" fillId="0" borderId="0" xfId="0" applyAlignment="1">
      <alignment horizontal="left"/>
    </xf>
    <xf numFmtId="9" fontId="0" fillId="0" borderId="0" xfId="2" applyFont="1"/>
    <xf numFmtId="164" fontId="0" fillId="0" borderId="2" xfId="0" applyNumberFormat="1" applyBorder="1"/>
    <xf numFmtId="164" fontId="0" fillId="0" borderId="2" xfId="1" applyNumberFormat="1" applyFont="1" applyBorder="1"/>
    <xf numFmtId="43" fontId="0" fillId="0" borderId="2" xfId="0" applyNumberFormat="1" applyBorder="1"/>
    <xf numFmtId="43" fontId="0" fillId="0" borderId="0" xfId="0" applyNumberFormat="1"/>
    <xf numFmtId="165" fontId="3" fillId="2" borderId="0" xfId="0" applyNumberFormat="1" applyFont="1" applyFill="1" applyAlignment="1">
      <alignment horizontal="center"/>
    </xf>
    <xf numFmtId="166" fontId="3" fillId="3" borderId="0" xfId="0" applyNumberFormat="1" applyFont="1" applyFill="1" applyAlignment="1">
      <alignment horizontal="center"/>
    </xf>
    <xf numFmtId="167" fontId="0" fillId="0" borderId="0" xfId="2" applyNumberFormat="1" applyFont="1"/>
    <xf numFmtId="167" fontId="0" fillId="0" borderId="0" xfId="0" applyNumberFormat="1"/>
    <xf numFmtId="0" fontId="0" fillId="0" borderId="0" xfId="0" applyAlignment="1">
      <alignment wrapText="1"/>
    </xf>
    <xf numFmtId="0" fontId="4" fillId="0" borderId="2" xfId="0" applyFont="1" applyBorder="1" applyAlignment="1">
      <alignment wrapText="1"/>
    </xf>
    <xf numFmtId="0" fontId="4" fillId="0" borderId="2" xfId="0" applyFont="1" applyBorder="1" applyAlignment="1">
      <alignment horizontal="right" wrapText="1"/>
    </xf>
    <xf numFmtId="0" fontId="0" fillId="0" borderId="2" xfId="0" applyBorder="1" applyAlignment="1">
      <alignment horizontal="right" wrapText="1"/>
    </xf>
    <xf numFmtId="0" fontId="0" fillId="0" borderId="0" xfId="0" applyAlignment="1">
      <alignment vertical="center" wrapText="1"/>
    </xf>
    <xf numFmtId="9" fontId="0" fillId="0" borderId="0" xfId="0" applyNumberFormat="1" applyAlignment="1">
      <alignment wrapText="1"/>
    </xf>
    <xf numFmtId="9" fontId="0" fillId="0" borderId="0" xfId="2" applyFont="1" applyAlignment="1">
      <alignment wrapText="1"/>
    </xf>
    <xf numFmtId="0" fontId="0" fillId="0" borderId="2" xfId="0" applyBorder="1" applyAlignment="1">
      <alignment wrapText="1"/>
    </xf>
    <xf numFmtId="10" fontId="0" fillId="0" borderId="2" xfId="0" applyNumberFormat="1" applyBorder="1" applyAlignment="1">
      <alignment wrapText="1"/>
    </xf>
    <xf numFmtId="10" fontId="0" fillId="0" borderId="0" xfId="0" applyNumberFormat="1" applyAlignment="1">
      <alignment wrapText="1"/>
    </xf>
    <xf numFmtId="0" fontId="0" fillId="0" borderId="3" xfId="0" applyBorder="1" applyAlignment="1">
      <alignment wrapText="1"/>
    </xf>
    <xf numFmtId="10" fontId="0" fillId="0" borderId="4" xfId="2" applyNumberFormat="1" applyFont="1" applyBorder="1" applyAlignment="1">
      <alignment wrapText="1"/>
    </xf>
    <xf numFmtId="3" fontId="0" fillId="0" borderId="0" xfId="0" applyNumberFormat="1" applyAlignment="1">
      <alignment wrapText="1"/>
    </xf>
    <xf numFmtId="164" fontId="0" fillId="0" borderId="0" xfId="1" applyNumberFormat="1" applyFont="1" applyAlignment="1">
      <alignment vertical="center"/>
    </xf>
    <xf numFmtId="10" fontId="0" fillId="0" borderId="0" xfId="0" applyNumberFormat="1" applyAlignment="1">
      <alignment vertical="center" wrapText="1"/>
    </xf>
    <xf numFmtId="2" fontId="0" fillId="0" borderId="0" xfId="0" applyNumberFormat="1"/>
    <xf numFmtId="43" fontId="11" fillId="0" borderId="0" xfId="1" applyFont="1"/>
    <xf numFmtId="43" fontId="11" fillId="0" borderId="0" xfId="0" applyNumberFormat="1" applyFont="1"/>
    <xf numFmtId="167" fontId="0" fillId="6" borderId="0" xfId="2" applyNumberFormat="1" applyFont="1" applyFill="1"/>
    <xf numFmtId="167" fontId="13" fillId="5" borderId="0" xfId="2" applyNumberFormat="1" applyFont="1" applyFill="1"/>
    <xf numFmtId="0" fontId="3" fillId="2" borderId="1" xfId="0" applyFont="1" applyFill="1" applyBorder="1" applyAlignment="1">
      <alignment horizontal="left"/>
    </xf>
    <xf numFmtId="9" fontId="11" fillId="0" borderId="0" xfId="2" applyFon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4"/>
  <sheetViews>
    <sheetView workbookViewId="0">
      <selection activeCell="B6" sqref="B6"/>
    </sheetView>
  </sheetViews>
  <sheetFormatPr defaultRowHeight="14.5" x14ac:dyDescent="0.35"/>
  <cols>
    <col min="1" max="1" width="53" bestFit="1" customWidth="1"/>
    <col min="2" max="5" width="18.1796875" bestFit="1" customWidth="1"/>
  </cols>
  <sheetData>
    <row r="1" spans="1:5" s="2" customFormat="1" ht="24" thickBot="1" x14ac:dyDescent="0.6">
      <c r="A1" s="3" t="s">
        <v>171</v>
      </c>
    </row>
    <row r="3" spans="1:5" x14ac:dyDescent="0.35">
      <c r="A3" s="5" t="s">
        <v>171</v>
      </c>
      <c r="B3" s="6">
        <v>45657</v>
      </c>
      <c r="C3" s="6">
        <v>45291</v>
      </c>
      <c r="D3" s="6">
        <v>44926</v>
      </c>
      <c r="E3" s="6">
        <v>44561</v>
      </c>
    </row>
    <row r="4" spans="1:5" x14ac:dyDescent="0.35">
      <c r="A4" s="4" t="s">
        <v>0</v>
      </c>
      <c r="B4" s="1">
        <v>47284961</v>
      </c>
      <c r="C4" s="1">
        <v>48693709</v>
      </c>
      <c r="D4" s="1">
        <v>81900000</v>
      </c>
      <c r="E4" s="1">
        <v>55407701</v>
      </c>
    </row>
    <row r="5" spans="1:5" x14ac:dyDescent="0.35">
      <c r="A5" s="4" t="s">
        <v>1</v>
      </c>
      <c r="B5" s="1">
        <v>2572715039</v>
      </c>
      <c r="C5" s="1">
        <v>2621306291</v>
      </c>
      <c r="D5" s="1">
        <v>2668100000</v>
      </c>
      <c r="E5" s="1">
        <v>2759592299</v>
      </c>
    </row>
    <row r="6" spans="1:5" x14ac:dyDescent="0.35">
      <c r="A6" s="4" t="s">
        <v>2</v>
      </c>
      <c r="B6" s="1">
        <v>2620000000</v>
      </c>
      <c r="C6" s="1">
        <v>2670000000</v>
      </c>
      <c r="D6" s="1">
        <v>2750000000</v>
      </c>
      <c r="E6" s="1">
        <v>2815000000</v>
      </c>
    </row>
    <row r="7" spans="1:5" x14ac:dyDescent="0.35">
      <c r="A7" s="4" t="s">
        <v>3</v>
      </c>
      <c r="B7" s="1">
        <v>63560000000</v>
      </c>
      <c r="C7" s="1">
        <v>55241000000</v>
      </c>
      <c r="D7" s="1">
        <v>54312000000</v>
      </c>
      <c r="E7" s="1">
        <v>46574000000</v>
      </c>
    </row>
    <row r="8" spans="1:5" x14ac:dyDescent="0.35">
      <c r="A8" s="4" t="s">
        <v>4</v>
      </c>
      <c r="B8" s="1">
        <v>-13923000000</v>
      </c>
      <c r="C8" s="1">
        <v>-11176000000</v>
      </c>
      <c r="D8" s="1">
        <v>-9517000000</v>
      </c>
      <c r="E8" s="1">
        <v>-95000000</v>
      </c>
    </row>
    <row r="9" spans="1:5" x14ac:dyDescent="0.35">
      <c r="A9" s="4" t="s">
        <v>5</v>
      </c>
      <c r="B9" s="1">
        <v>35917000000</v>
      </c>
      <c r="C9" s="1">
        <v>35742000000</v>
      </c>
      <c r="D9" s="1">
        <v>41982000000</v>
      </c>
      <c r="E9" s="1">
        <v>53140000000</v>
      </c>
    </row>
    <row r="10" spans="1:5" x14ac:dyDescent="0.35">
      <c r="A10" s="4" t="s">
        <v>6</v>
      </c>
      <c r="B10" s="1">
        <v>-7675000000</v>
      </c>
      <c r="C10" s="1">
        <v>-6227000000</v>
      </c>
      <c r="D10" s="1">
        <v>-4914000000</v>
      </c>
      <c r="E10" s="1">
        <v>-763000000</v>
      </c>
    </row>
    <row r="11" spans="1:5" x14ac:dyDescent="0.35">
      <c r="A11" s="4" t="s">
        <v>7</v>
      </c>
      <c r="B11" s="1">
        <v>-13923000000</v>
      </c>
      <c r="C11" s="1">
        <v>-11176000000</v>
      </c>
      <c r="D11" s="1">
        <v>-9517000000</v>
      </c>
      <c r="E11" s="1">
        <v>-95000000</v>
      </c>
    </row>
    <row r="12" spans="1:5" x14ac:dyDescent="0.35">
      <c r="A12" s="4" t="s">
        <v>8</v>
      </c>
      <c r="B12" s="1">
        <v>35917000000</v>
      </c>
      <c r="C12" s="1">
        <v>35742000000</v>
      </c>
      <c r="D12" s="1">
        <v>41982000000</v>
      </c>
      <c r="E12" s="1">
        <v>53140000000</v>
      </c>
    </row>
    <row r="13" spans="1:5" x14ac:dyDescent="0.35">
      <c r="A13" s="4" t="s">
        <v>9</v>
      </c>
      <c r="B13" s="1">
        <v>35917000000</v>
      </c>
      <c r="C13" s="1">
        <v>35742000000</v>
      </c>
      <c r="D13" s="1">
        <v>41982000000</v>
      </c>
      <c r="E13" s="1">
        <v>53140000000</v>
      </c>
    </row>
    <row r="14" spans="1:5" x14ac:dyDescent="0.35">
      <c r="A14" s="4" t="s">
        <v>10</v>
      </c>
      <c r="B14" s="1">
        <v>36693000000</v>
      </c>
      <c r="C14" s="1">
        <v>36387000000</v>
      </c>
      <c r="D14" s="1">
        <v>42792000000</v>
      </c>
      <c r="E14" s="1">
        <v>53727000000</v>
      </c>
    </row>
    <row r="15" spans="1:5" x14ac:dyDescent="0.35">
      <c r="A15" s="4" t="s">
        <v>11</v>
      </c>
      <c r="B15" s="1">
        <v>776000000</v>
      </c>
      <c r="C15" s="1">
        <v>645000000</v>
      </c>
      <c r="D15" s="1">
        <v>810000000</v>
      </c>
      <c r="E15" s="1">
        <v>587000000</v>
      </c>
    </row>
    <row r="16" spans="1:5" x14ac:dyDescent="0.35">
      <c r="A16" s="4" t="s">
        <v>12</v>
      </c>
      <c r="B16" s="1">
        <v>35917000000</v>
      </c>
      <c r="C16" s="1">
        <v>35742000000</v>
      </c>
      <c r="D16" s="1">
        <v>41982000000</v>
      </c>
      <c r="E16" s="1">
        <v>53140000000</v>
      </c>
    </row>
    <row r="17" spans="1:5" x14ac:dyDescent="0.35">
      <c r="A17" s="4" t="s">
        <v>13</v>
      </c>
      <c r="B17" s="1">
        <v>4283000000</v>
      </c>
      <c r="C17" s="1">
        <v>5155000000</v>
      </c>
      <c r="D17" s="1">
        <v>9303000000</v>
      </c>
      <c r="E17" s="1">
        <v>6194000000</v>
      </c>
    </row>
    <row r="18" spans="1:5" x14ac:dyDescent="0.35">
      <c r="A18" s="4" t="s">
        <v>14</v>
      </c>
      <c r="B18" s="1">
        <v>66363000000</v>
      </c>
      <c r="C18" s="1">
        <v>68261000000</v>
      </c>
      <c r="D18" s="1">
        <v>74632000000</v>
      </c>
      <c r="E18" s="1">
        <v>81363000000</v>
      </c>
    </row>
    <row r="19" spans="1:5" x14ac:dyDescent="0.35">
      <c r="A19" s="4" t="s">
        <v>15</v>
      </c>
      <c r="B19" s="1">
        <v>262000000</v>
      </c>
      <c r="C19" s="1">
        <v>267000000</v>
      </c>
      <c r="D19" s="1">
        <v>275000000</v>
      </c>
      <c r="E19" s="1">
        <v>282000000</v>
      </c>
    </row>
    <row r="20" spans="1:5" x14ac:dyDescent="0.35">
      <c r="A20" s="4" t="s">
        <v>16</v>
      </c>
      <c r="B20" s="1">
        <v>262000000</v>
      </c>
      <c r="C20" s="1">
        <v>267000000</v>
      </c>
      <c r="D20" s="1">
        <v>275000000</v>
      </c>
      <c r="E20" s="1">
        <v>282000000</v>
      </c>
    </row>
    <row r="21" spans="1:5" x14ac:dyDescent="0.35">
      <c r="A21" s="4" t="s">
        <v>17</v>
      </c>
      <c r="B21" s="1">
        <v>102571000000</v>
      </c>
      <c r="C21" s="1">
        <v>90163000000</v>
      </c>
      <c r="D21" s="1">
        <v>92390000000</v>
      </c>
      <c r="E21" s="1">
        <v>85415000000</v>
      </c>
    </row>
    <row r="22" spans="1:5" x14ac:dyDescent="0.35">
      <c r="A22" s="4" t="s">
        <v>18</v>
      </c>
      <c r="B22" s="1">
        <v>59708000000</v>
      </c>
      <c r="C22" s="1">
        <v>53079000000</v>
      </c>
      <c r="D22" s="1">
        <v>52414000000</v>
      </c>
      <c r="E22" s="1">
        <v>45395000000</v>
      </c>
    </row>
    <row r="23" spans="1:5" x14ac:dyDescent="0.35">
      <c r="A23" s="4" t="s">
        <v>19</v>
      </c>
      <c r="B23" s="1">
        <v>307000000</v>
      </c>
      <c r="C23" s="1">
        <v>239000000</v>
      </c>
      <c r="D23" s="1">
        <v>470000000</v>
      </c>
      <c r="E23" s="1">
        <v>0</v>
      </c>
    </row>
    <row r="24" spans="1:5" x14ac:dyDescent="0.35">
      <c r="A24" s="4" t="s">
        <v>20</v>
      </c>
      <c r="B24" s="1">
        <v>2629000000</v>
      </c>
      <c r="C24" s="1">
        <v>2718000000</v>
      </c>
      <c r="D24" s="1">
        <v>2884000000</v>
      </c>
      <c r="E24" s="1">
        <v>3779000000</v>
      </c>
    </row>
    <row r="25" spans="1:5" x14ac:dyDescent="0.35">
      <c r="A25" s="4" t="s">
        <v>21</v>
      </c>
      <c r="B25" s="1">
        <v>222000000</v>
      </c>
      <c r="C25" s="1">
        <v>108000000</v>
      </c>
      <c r="D25" s="1">
        <v>856000000</v>
      </c>
      <c r="E25" s="1">
        <v>234000000</v>
      </c>
    </row>
    <row r="26" spans="1:5" x14ac:dyDescent="0.35">
      <c r="A26" s="4" t="s">
        <v>22</v>
      </c>
      <c r="B26" s="1">
        <v>3767000000</v>
      </c>
      <c r="C26" s="1">
        <v>2886000000</v>
      </c>
      <c r="D26" s="1">
        <v>3671000000</v>
      </c>
      <c r="E26" s="1">
        <v>3794000000</v>
      </c>
    </row>
    <row r="27" spans="1:5" x14ac:dyDescent="0.35">
      <c r="A27" s="4" t="s">
        <v>23</v>
      </c>
      <c r="B27" s="1">
        <v>51697000000</v>
      </c>
      <c r="C27" s="1">
        <v>45825000000</v>
      </c>
      <c r="D27" s="1">
        <v>43420000000</v>
      </c>
      <c r="E27" s="1">
        <v>36482000000</v>
      </c>
    </row>
    <row r="28" spans="1:5" x14ac:dyDescent="0.35">
      <c r="A28" s="4" t="s">
        <v>24</v>
      </c>
      <c r="B28" s="1">
        <v>1086000000</v>
      </c>
      <c r="C28" s="1">
        <v>1303000000</v>
      </c>
      <c r="D28" s="1">
        <v>1113000000</v>
      </c>
      <c r="E28" s="1">
        <v>1106000000</v>
      </c>
    </row>
    <row r="29" spans="1:5" x14ac:dyDescent="0.35">
      <c r="A29" s="4" t="s">
        <v>25</v>
      </c>
      <c r="B29" s="1">
        <v>42863000000</v>
      </c>
      <c r="C29" s="1">
        <v>37084000000</v>
      </c>
      <c r="D29" s="1">
        <v>39976000000</v>
      </c>
      <c r="E29" s="1">
        <v>40020000000</v>
      </c>
    </row>
    <row r="30" spans="1:5" x14ac:dyDescent="0.35">
      <c r="A30" s="4" t="s">
        <v>26</v>
      </c>
      <c r="B30" s="1">
        <v>11863000000</v>
      </c>
      <c r="C30" s="1">
        <v>9416000000</v>
      </c>
      <c r="D30" s="1">
        <v>10892000000</v>
      </c>
      <c r="E30" s="1">
        <v>10092000000</v>
      </c>
    </row>
    <row r="31" spans="1:5" x14ac:dyDescent="0.35">
      <c r="A31" s="4" t="s">
        <v>27</v>
      </c>
      <c r="B31" s="1">
        <v>865000000</v>
      </c>
      <c r="C31" s="1">
        <v>675000000</v>
      </c>
      <c r="D31" s="1">
        <v>620000000</v>
      </c>
      <c r="E31" s="1">
        <v>532000000</v>
      </c>
    </row>
    <row r="32" spans="1:5" x14ac:dyDescent="0.35">
      <c r="A32" s="4" t="s">
        <v>28</v>
      </c>
      <c r="B32" s="1">
        <v>24242000000</v>
      </c>
      <c r="C32" s="1">
        <v>21564000000</v>
      </c>
      <c r="D32" s="1">
        <v>22970000000</v>
      </c>
      <c r="E32" s="1">
        <v>23869000000</v>
      </c>
    </row>
    <row r="33" spans="1:5" x14ac:dyDescent="0.35">
      <c r="A33" s="4" t="s">
        <v>29</v>
      </c>
      <c r="B33" s="1">
        <v>3430000000</v>
      </c>
      <c r="C33" s="1">
        <v>3344000000</v>
      </c>
      <c r="D33" s="1">
        <v>2959000000</v>
      </c>
      <c r="E33" s="1">
        <v>3410000000</v>
      </c>
    </row>
    <row r="34" spans="1:5" x14ac:dyDescent="0.35">
      <c r="A34" s="4" t="s">
        <v>30</v>
      </c>
      <c r="B34" s="1">
        <v>4127000000</v>
      </c>
      <c r="C34" s="1">
        <v>4025000000</v>
      </c>
      <c r="D34" s="1">
        <v>4213000000</v>
      </c>
      <c r="E34" s="1">
        <v>4834000000</v>
      </c>
    </row>
    <row r="35" spans="1:5" x14ac:dyDescent="0.35">
      <c r="A35" s="4" t="s">
        <v>31</v>
      </c>
      <c r="B35" s="1">
        <v>16685000000</v>
      </c>
      <c r="C35" s="1">
        <v>14195000000</v>
      </c>
      <c r="D35" s="1">
        <v>15798000000</v>
      </c>
      <c r="E35" s="1">
        <v>15625000000</v>
      </c>
    </row>
    <row r="36" spans="1:5" x14ac:dyDescent="0.35">
      <c r="A36" s="4" t="s">
        <v>32</v>
      </c>
      <c r="B36" s="1">
        <v>139264000000</v>
      </c>
      <c r="C36" s="1">
        <v>126550000000</v>
      </c>
      <c r="D36" s="1">
        <v>135182000000</v>
      </c>
      <c r="E36" s="1">
        <v>139142000000</v>
      </c>
    </row>
    <row r="37" spans="1:5" x14ac:dyDescent="0.35">
      <c r="A37" s="4" t="s">
        <v>33</v>
      </c>
      <c r="B37" s="1">
        <v>104076000000</v>
      </c>
      <c r="C37" s="1">
        <v>95693000000</v>
      </c>
      <c r="D37" s="1">
        <v>100120000000</v>
      </c>
      <c r="E37" s="1">
        <v>99885000000</v>
      </c>
    </row>
    <row r="38" spans="1:5" x14ac:dyDescent="0.35">
      <c r="A38" s="4" t="s">
        <v>34</v>
      </c>
      <c r="B38" s="1">
        <v>1475000000</v>
      </c>
      <c r="C38" s="1">
        <v>962000000</v>
      </c>
      <c r="D38" s="1">
        <v>1161000000</v>
      </c>
      <c r="E38" s="1">
        <v>2417000000</v>
      </c>
    </row>
    <row r="39" spans="1:5" x14ac:dyDescent="0.35">
      <c r="A39" s="4" t="s">
        <v>35</v>
      </c>
      <c r="B39" s="1">
        <v>995000000</v>
      </c>
      <c r="C39" s="1">
        <v>1181000000</v>
      </c>
      <c r="D39" s="1">
        <v>1043000000</v>
      </c>
      <c r="E39" s="1">
        <v>1258000000</v>
      </c>
    </row>
    <row r="40" spans="1:5" x14ac:dyDescent="0.35">
      <c r="A40" s="4" t="s">
        <v>36</v>
      </c>
      <c r="B40" s="1">
        <v>84000000</v>
      </c>
      <c r="C40" s="1">
        <v>130000000</v>
      </c>
      <c r="D40" s="1">
        <v>0</v>
      </c>
      <c r="E40" s="1"/>
    </row>
    <row r="41" spans="1:5" x14ac:dyDescent="0.35">
      <c r="A41" s="4" t="s">
        <v>37</v>
      </c>
      <c r="B41" s="1">
        <v>3650000000</v>
      </c>
      <c r="C41" s="1">
        <v>2947000000</v>
      </c>
      <c r="D41" s="1">
        <v>3253000000</v>
      </c>
      <c r="E41" s="1">
        <v>2824000000</v>
      </c>
    </row>
    <row r="42" spans="1:5" x14ac:dyDescent="0.35">
      <c r="A42" s="4" t="s">
        <v>38</v>
      </c>
      <c r="B42" s="1">
        <v>14326000000</v>
      </c>
      <c r="C42" s="1">
        <v>13088000000</v>
      </c>
      <c r="D42" s="1">
        <v>13023000000</v>
      </c>
      <c r="E42" s="1">
        <v>11806000000</v>
      </c>
    </row>
    <row r="43" spans="1:5" x14ac:dyDescent="0.35">
      <c r="A43" s="4" t="s">
        <v>39</v>
      </c>
      <c r="B43" s="1">
        <v>2231000000</v>
      </c>
      <c r="C43" s="1">
        <v>1970000000</v>
      </c>
      <c r="D43" s="1">
        <v>1820000000</v>
      </c>
      <c r="E43" s="1">
        <v>1707000000</v>
      </c>
    </row>
    <row r="44" spans="1:5" x14ac:dyDescent="0.35">
      <c r="A44" s="4" t="s">
        <v>40</v>
      </c>
      <c r="B44" s="1">
        <v>12095000000</v>
      </c>
      <c r="C44" s="1">
        <v>11118000000</v>
      </c>
      <c r="D44" s="1">
        <v>11203000000</v>
      </c>
      <c r="E44" s="1">
        <v>10099000000</v>
      </c>
    </row>
    <row r="45" spans="1:5" x14ac:dyDescent="0.35">
      <c r="A45" s="4" t="s">
        <v>41</v>
      </c>
      <c r="B45" s="1">
        <v>49840000000</v>
      </c>
      <c r="C45" s="1">
        <v>46918000000</v>
      </c>
      <c r="D45" s="1">
        <v>51499000000</v>
      </c>
      <c r="E45" s="1">
        <v>53235000000</v>
      </c>
    </row>
    <row r="46" spans="1:5" x14ac:dyDescent="0.35">
      <c r="A46" s="4" t="s">
        <v>42</v>
      </c>
      <c r="B46" s="1">
        <v>19245000000</v>
      </c>
      <c r="C46" s="1">
        <v>18225000000</v>
      </c>
      <c r="D46" s="1">
        <v>20237000000</v>
      </c>
      <c r="E46" s="1">
        <v>22223000000</v>
      </c>
    </row>
    <row r="47" spans="1:5" x14ac:dyDescent="0.35">
      <c r="A47" s="4" t="s">
        <v>43</v>
      </c>
      <c r="B47" s="1">
        <v>30595000000</v>
      </c>
      <c r="C47" s="1">
        <v>28693000000</v>
      </c>
      <c r="D47" s="1">
        <v>31262000000</v>
      </c>
      <c r="E47" s="1">
        <v>31012000000</v>
      </c>
    </row>
    <row r="48" spans="1:5" x14ac:dyDescent="0.35">
      <c r="A48" s="4" t="s">
        <v>44</v>
      </c>
      <c r="B48" s="1">
        <v>33706000000</v>
      </c>
      <c r="C48" s="1">
        <v>30467000000</v>
      </c>
      <c r="D48" s="1">
        <v>30141000000</v>
      </c>
      <c r="E48" s="1">
        <v>28345000000</v>
      </c>
    </row>
    <row r="49" spans="1:5" x14ac:dyDescent="0.35">
      <c r="A49" s="4" t="s">
        <v>45</v>
      </c>
      <c r="B49" s="1">
        <v>-30344000000</v>
      </c>
      <c r="C49" s="1">
        <v>-27981000000</v>
      </c>
      <c r="D49" s="1">
        <v>-29019000000</v>
      </c>
      <c r="E49" s="1">
        <v>-28382000000</v>
      </c>
    </row>
    <row r="50" spans="1:5" x14ac:dyDescent="0.35">
      <c r="A50" s="4" t="s">
        <v>46</v>
      </c>
      <c r="B50" s="1">
        <v>64050000000</v>
      </c>
      <c r="C50" s="1">
        <v>58448000000</v>
      </c>
      <c r="D50" s="1">
        <v>59160000000</v>
      </c>
      <c r="E50" s="1">
        <v>56727000000</v>
      </c>
    </row>
    <row r="51" spans="1:5" x14ac:dyDescent="0.35">
      <c r="A51" s="4" t="s">
        <v>47</v>
      </c>
      <c r="B51" s="1">
        <v>7277000000</v>
      </c>
      <c r="C51" s="1">
        <v>7464000000</v>
      </c>
      <c r="D51" s="1">
        <v>6527000000</v>
      </c>
      <c r="E51" s="1">
        <v>4704000000</v>
      </c>
    </row>
    <row r="52" spans="1:5" x14ac:dyDescent="0.35">
      <c r="A52" s="4" t="s">
        <v>48</v>
      </c>
      <c r="B52" s="1">
        <v>345000000</v>
      </c>
      <c r="C52" s="1">
        <v>305000000</v>
      </c>
      <c r="D52" s="1">
        <v>246000000</v>
      </c>
      <c r="E52" s="1">
        <v>230000000</v>
      </c>
    </row>
    <row r="53" spans="1:5" x14ac:dyDescent="0.35">
      <c r="A53" s="4" t="s">
        <v>49</v>
      </c>
      <c r="B53" s="1">
        <v>37131000000</v>
      </c>
      <c r="C53" s="1">
        <v>33531000000</v>
      </c>
      <c r="D53" s="1">
        <v>35067000000</v>
      </c>
      <c r="E53" s="1">
        <v>34532000000</v>
      </c>
    </row>
    <row r="54" spans="1:5" x14ac:dyDescent="0.35">
      <c r="A54" s="4" t="s">
        <v>50</v>
      </c>
      <c r="B54" s="1">
        <v>2057000000</v>
      </c>
      <c r="C54" s="1">
        <v>2095000000</v>
      </c>
      <c r="D54" s="1">
        <v>2203000000</v>
      </c>
      <c r="E54" s="1">
        <v>2307000000</v>
      </c>
    </row>
    <row r="55" spans="1:5" x14ac:dyDescent="0.35">
      <c r="A55" s="4" t="s">
        <v>51</v>
      </c>
      <c r="B55" s="1">
        <v>17240000000</v>
      </c>
      <c r="C55" s="1">
        <v>15053000000</v>
      </c>
      <c r="D55" s="1">
        <v>15117000000</v>
      </c>
      <c r="E55" s="1">
        <v>14954000000</v>
      </c>
    </row>
    <row r="56" spans="1:5" x14ac:dyDescent="0.35">
      <c r="A56" s="4" t="s">
        <v>52</v>
      </c>
      <c r="B56" s="1">
        <v>0</v>
      </c>
      <c r="C56" s="1">
        <v>0</v>
      </c>
      <c r="D56" s="1">
        <v>0</v>
      </c>
      <c r="E56" s="1">
        <v>0</v>
      </c>
    </row>
    <row r="57" spans="1:5" x14ac:dyDescent="0.35">
      <c r="A57" s="4" t="s">
        <v>53</v>
      </c>
      <c r="B57" s="1">
        <v>35188000000</v>
      </c>
      <c r="C57" s="1">
        <v>30857000000</v>
      </c>
      <c r="D57" s="1">
        <v>35062000000</v>
      </c>
      <c r="E57" s="1">
        <v>39257000000</v>
      </c>
    </row>
    <row r="58" spans="1:5" x14ac:dyDescent="0.35">
      <c r="A58" s="4" t="s">
        <v>54</v>
      </c>
      <c r="B58" s="1">
        <v>792000000</v>
      </c>
      <c r="C58" s="1">
        <v>278000000</v>
      </c>
      <c r="D58" s="1">
        <v>309000000</v>
      </c>
      <c r="E58" s="1">
        <v>278000000</v>
      </c>
    </row>
    <row r="59" spans="1:5" x14ac:dyDescent="0.35">
      <c r="A59" s="4" t="s">
        <v>55</v>
      </c>
      <c r="B59" s="1">
        <v>137000000</v>
      </c>
      <c r="C59" s="1">
        <v>32000000</v>
      </c>
      <c r="D59" s="1">
        <v>97000000</v>
      </c>
      <c r="E59" s="1">
        <v>68000000</v>
      </c>
    </row>
    <row r="60" spans="1:5" x14ac:dyDescent="0.35">
      <c r="A60" s="4" t="s">
        <v>56</v>
      </c>
      <c r="B60" s="1">
        <v>543000000</v>
      </c>
      <c r="C60" s="1">
        <v>521000000</v>
      </c>
      <c r="D60" s="1">
        <v>549000000</v>
      </c>
      <c r="E60" s="1">
        <v>575000000</v>
      </c>
    </row>
    <row r="61" spans="1:5" x14ac:dyDescent="0.35">
      <c r="A61" s="4" t="s">
        <v>57</v>
      </c>
      <c r="B61" s="1">
        <v>13260000000</v>
      </c>
      <c r="C61" s="1">
        <v>11896000000</v>
      </c>
      <c r="D61" s="1">
        <v>15019000000</v>
      </c>
      <c r="E61" s="1">
        <v>11982000000</v>
      </c>
    </row>
    <row r="62" spans="1:5" x14ac:dyDescent="0.35">
      <c r="A62" s="4" t="s">
        <v>58</v>
      </c>
      <c r="B62" s="1">
        <v>-400000000</v>
      </c>
      <c r="C62" s="1">
        <v>-338000000</v>
      </c>
      <c r="D62" s="1">
        <v>-328000000</v>
      </c>
      <c r="E62" s="1">
        <v>-274000000</v>
      </c>
    </row>
    <row r="63" spans="1:5" x14ac:dyDescent="0.35">
      <c r="A63" s="4" t="s">
        <v>59</v>
      </c>
      <c r="B63" s="1">
        <v>7103000000</v>
      </c>
      <c r="C63" s="1">
        <v>6509000000</v>
      </c>
      <c r="D63" s="1">
        <v>7818000000</v>
      </c>
      <c r="E63" s="1">
        <v>6467000000</v>
      </c>
    </row>
    <row r="64" spans="1:5" x14ac:dyDescent="0.35">
      <c r="A64" s="4" t="s">
        <v>60</v>
      </c>
      <c r="B64" s="1">
        <v>6557000000</v>
      </c>
      <c r="C64" s="1">
        <v>5725000000</v>
      </c>
      <c r="D64" s="1">
        <v>7529000000</v>
      </c>
      <c r="E64" s="1">
        <v>5789000000</v>
      </c>
    </row>
    <row r="65" spans="1:5" x14ac:dyDescent="0.35">
      <c r="A65" s="4" t="s">
        <v>61</v>
      </c>
      <c r="B65" s="1">
        <v>1832000000</v>
      </c>
      <c r="C65" s="1">
        <v>1994000000</v>
      </c>
      <c r="D65" s="1">
        <v>2285000000</v>
      </c>
      <c r="E65" s="1">
        <v>2583000000</v>
      </c>
    </row>
    <row r="66" spans="1:5" x14ac:dyDescent="0.35">
      <c r="A66" s="4" t="s">
        <v>62</v>
      </c>
      <c r="B66" s="1">
        <v>1334000000</v>
      </c>
      <c r="C66" s="1">
        <v>1284000000</v>
      </c>
      <c r="D66" s="1">
        <v>1285000000</v>
      </c>
      <c r="E66" s="1">
        <v>1204000000</v>
      </c>
    </row>
    <row r="67" spans="1:5" x14ac:dyDescent="0.35">
      <c r="A67" s="4" t="s">
        <v>63</v>
      </c>
      <c r="B67" s="1">
        <v>9419000000</v>
      </c>
      <c r="C67" s="1">
        <v>9001000000</v>
      </c>
      <c r="D67" s="1">
        <v>8831000000</v>
      </c>
      <c r="E67" s="1">
        <v>8572000000</v>
      </c>
    </row>
    <row r="68" spans="1:5" x14ac:dyDescent="0.35">
      <c r="A68" s="4" t="s">
        <v>64</v>
      </c>
      <c r="B68" s="1">
        <v>-283000000</v>
      </c>
      <c r="C68" s="1">
        <v>-270000000</v>
      </c>
      <c r="D68" s="1">
        <v>-300000000</v>
      </c>
      <c r="E68" s="1">
        <v>-259000000</v>
      </c>
    </row>
    <row r="69" spans="1:5" x14ac:dyDescent="0.35">
      <c r="A69" s="4" t="s">
        <v>65</v>
      </c>
      <c r="B69" s="1">
        <v>9702000000</v>
      </c>
      <c r="C69" s="1">
        <v>9271000000</v>
      </c>
      <c r="D69" s="1">
        <v>9131000000</v>
      </c>
      <c r="E69" s="1">
        <v>8831000000</v>
      </c>
    </row>
    <row r="70" spans="1:5" x14ac:dyDescent="0.35">
      <c r="A70" s="4" t="s">
        <v>66</v>
      </c>
      <c r="B70" s="1">
        <v>7871000000</v>
      </c>
      <c r="C70" s="1">
        <v>5851000000</v>
      </c>
      <c r="D70" s="1">
        <v>6687000000</v>
      </c>
      <c r="E70" s="1">
        <v>13995000000</v>
      </c>
    </row>
    <row r="71" spans="1:5" x14ac:dyDescent="0.35">
      <c r="A71" s="4" t="s">
        <v>67</v>
      </c>
      <c r="B71" s="1">
        <v>2315000000</v>
      </c>
      <c r="C71" s="1">
        <v>1035000000</v>
      </c>
      <c r="D71" s="1">
        <v>1176000000</v>
      </c>
      <c r="E71" s="1">
        <v>7007000000</v>
      </c>
    </row>
    <row r="72" spans="1:5" x14ac:dyDescent="0.35">
      <c r="A72" s="4" t="s">
        <v>68</v>
      </c>
      <c r="B72" s="1">
        <v>5556000000</v>
      </c>
      <c r="C72" s="1">
        <v>4816000000</v>
      </c>
      <c r="D72" s="1">
        <v>5511000000</v>
      </c>
      <c r="E72" s="1">
        <v>6988000000</v>
      </c>
    </row>
    <row r="73" spans="1:5" x14ac:dyDescent="0.35">
      <c r="A73" s="4" t="s">
        <v>69</v>
      </c>
      <c r="C73">
        <v>2501000000</v>
      </c>
      <c r="D73">
        <v>3045000000</v>
      </c>
      <c r="E73">
        <v>4303000000</v>
      </c>
    </row>
    <row r="74" spans="1:5" x14ac:dyDescent="0.35">
      <c r="A74" s="4" t="s">
        <v>70</v>
      </c>
      <c r="C74">
        <v>2315000000</v>
      </c>
      <c r="D74">
        <v>2466000000</v>
      </c>
      <c r="E74">
        <v>2685000000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3"/>
  <sheetViews>
    <sheetView workbookViewId="0">
      <selection activeCell="B32" sqref="B32"/>
    </sheetView>
  </sheetViews>
  <sheetFormatPr defaultRowHeight="14.5" x14ac:dyDescent="0.35"/>
  <cols>
    <col min="1" max="1" width="52.90625" bestFit="1" customWidth="1"/>
    <col min="2" max="5" width="17.81640625" bestFit="1" customWidth="1"/>
  </cols>
  <sheetData>
    <row r="1" spans="1:5" s="7" customFormat="1" ht="19" thickBot="1" x14ac:dyDescent="0.5">
      <c r="A1" s="7" t="s">
        <v>172</v>
      </c>
    </row>
    <row r="3" spans="1:5" x14ac:dyDescent="0.35">
      <c r="B3" s="6">
        <v>45657</v>
      </c>
      <c r="C3" s="6">
        <v>45291</v>
      </c>
      <c r="D3" s="6">
        <v>44926</v>
      </c>
      <c r="E3" s="6">
        <v>44561</v>
      </c>
    </row>
    <row r="4" spans="1:5" x14ac:dyDescent="0.35">
      <c r="A4" s="4" t="s">
        <v>71</v>
      </c>
      <c r="B4" s="1">
        <v>-222250000</v>
      </c>
      <c r="C4" s="1">
        <v>-292656000</v>
      </c>
      <c r="D4" s="1">
        <v>-708504000</v>
      </c>
      <c r="E4" s="1">
        <v>-679459000</v>
      </c>
    </row>
    <row r="5" spans="1:5" x14ac:dyDescent="0.35">
      <c r="A5" s="4" t="s">
        <v>72</v>
      </c>
      <c r="B5" s="26">
        <v>0.25</v>
      </c>
      <c r="C5" s="26">
        <v>0.182</v>
      </c>
      <c r="D5" s="26">
        <v>0.21199999999999999</v>
      </c>
      <c r="E5" s="26">
        <v>0.20899999999999999</v>
      </c>
    </row>
    <row r="6" spans="1:5" x14ac:dyDescent="0.35">
      <c r="A6" s="4" t="s">
        <v>73</v>
      </c>
      <c r="B6" s="1">
        <v>19551000000</v>
      </c>
      <c r="C6" s="1">
        <v>19412000000</v>
      </c>
      <c r="D6" s="1">
        <v>18782000000</v>
      </c>
      <c r="E6" s="1">
        <v>17927000000</v>
      </c>
    </row>
    <row r="7" spans="1:5" x14ac:dyDescent="0.35">
      <c r="A7" s="4" t="s">
        <v>74</v>
      </c>
      <c r="B7" s="1">
        <v>-889000000</v>
      </c>
      <c r="C7" s="1">
        <v>-1608000000</v>
      </c>
      <c r="D7" s="1">
        <v>-2706000000</v>
      </c>
      <c r="E7" s="1">
        <v>-2730000000</v>
      </c>
    </row>
    <row r="8" spans="1:5" x14ac:dyDescent="0.35">
      <c r="A8" s="4" t="s">
        <v>75</v>
      </c>
      <c r="B8" s="1">
        <v>-889000000</v>
      </c>
      <c r="C8" s="1">
        <v>-1608000000</v>
      </c>
      <c r="D8" s="1">
        <v>-3342000000</v>
      </c>
      <c r="E8" s="1">
        <v>-3251000000</v>
      </c>
    </row>
    <row r="9" spans="1:5" x14ac:dyDescent="0.35">
      <c r="A9" s="4" t="s">
        <v>76</v>
      </c>
      <c r="B9" s="1">
        <v>10884000000</v>
      </c>
      <c r="C9" s="1">
        <v>11209000000</v>
      </c>
      <c r="D9" s="1">
        <v>9270000000</v>
      </c>
      <c r="E9" s="1">
        <v>16905000000</v>
      </c>
    </row>
    <row r="10" spans="1:5" x14ac:dyDescent="0.35">
      <c r="A10" s="4" t="s">
        <v>77</v>
      </c>
      <c r="B10" s="1">
        <v>3582000000</v>
      </c>
      <c r="C10" s="1">
        <v>3458000000</v>
      </c>
      <c r="D10" s="1">
        <v>3541000000</v>
      </c>
      <c r="E10" s="1">
        <v>3440000000</v>
      </c>
    </row>
    <row r="11" spans="1:5" x14ac:dyDescent="0.35">
      <c r="A11" s="4" t="s">
        <v>78</v>
      </c>
      <c r="B11" s="1">
        <v>48670000000</v>
      </c>
      <c r="C11" s="1">
        <v>50328000000</v>
      </c>
      <c r="D11" s="1">
        <v>51745000000</v>
      </c>
      <c r="E11" s="1">
        <v>45468000000</v>
      </c>
    </row>
    <row r="12" spans="1:5" x14ac:dyDescent="0.35">
      <c r="A12" s="4" t="s">
        <v>79</v>
      </c>
      <c r="B12" s="1">
        <v>18662000000</v>
      </c>
      <c r="C12" s="1">
        <v>17804000000</v>
      </c>
      <c r="D12" s="1">
        <v>16076000000</v>
      </c>
      <c r="E12" s="1">
        <v>15197000000</v>
      </c>
    </row>
    <row r="13" spans="1:5" x14ac:dyDescent="0.35">
      <c r="A13" s="4" t="s">
        <v>80</v>
      </c>
      <c r="B13" s="1">
        <v>15080000000</v>
      </c>
      <c r="C13" s="1">
        <v>14346000000</v>
      </c>
      <c r="D13" s="1">
        <v>12535000000</v>
      </c>
      <c r="E13" s="1">
        <v>11757000000</v>
      </c>
    </row>
    <row r="14" spans="1:5" x14ac:dyDescent="0.35">
      <c r="A14" s="4" t="s">
        <v>81</v>
      </c>
      <c r="B14" s="1">
        <v>-1485000000</v>
      </c>
      <c r="C14" s="1">
        <v>-1360000000</v>
      </c>
      <c r="D14" s="1">
        <v>-1040000000</v>
      </c>
      <c r="E14" s="1">
        <v>-873000000</v>
      </c>
    </row>
    <row r="15" spans="1:5" x14ac:dyDescent="0.35">
      <c r="A15" s="4" t="s">
        <v>82</v>
      </c>
      <c r="B15" s="1">
        <v>1841000000</v>
      </c>
      <c r="C15" s="1">
        <v>1643000000</v>
      </c>
      <c r="D15" s="1">
        <v>1249000000</v>
      </c>
      <c r="E15" s="1">
        <v>951000000</v>
      </c>
    </row>
    <row r="16" spans="1:5" x14ac:dyDescent="0.35">
      <c r="A16" s="4" t="s">
        <v>83</v>
      </c>
      <c r="B16" s="1">
        <v>358000000</v>
      </c>
      <c r="C16" s="1">
        <v>284000000</v>
      </c>
      <c r="D16" s="1">
        <v>210000000</v>
      </c>
      <c r="E16" s="1">
        <v>80000000</v>
      </c>
    </row>
    <row r="17" spans="1:5" x14ac:dyDescent="0.35">
      <c r="A17" s="4" t="s">
        <v>84</v>
      </c>
      <c r="B17" s="1">
        <v>11550750000</v>
      </c>
      <c r="C17" s="1">
        <v>12524344000</v>
      </c>
      <c r="D17" s="1">
        <v>12539496000</v>
      </c>
      <c r="E17" s="1">
        <v>19997541000</v>
      </c>
    </row>
    <row r="18" spans="1:5" x14ac:dyDescent="0.35">
      <c r="A18" s="4" t="s">
        <v>85</v>
      </c>
      <c r="B18" s="1">
        <v>10884000000</v>
      </c>
      <c r="C18" s="1">
        <v>11209000000</v>
      </c>
      <c r="D18" s="1">
        <v>9270000000</v>
      </c>
      <c r="E18" s="1">
        <v>16905000000</v>
      </c>
    </row>
    <row r="19" spans="1:5" x14ac:dyDescent="0.35">
      <c r="A19" s="4" t="s">
        <v>86</v>
      </c>
      <c r="B19" s="1">
        <v>76107000000</v>
      </c>
      <c r="C19" s="1">
        <v>77680000000</v>
      </c>
      <c r="D19" s="1">
        <v>79112000000</v>
      </c>
      <c r="E19" s="1">
        <v>72540000000</v>
      </c>
    </row>
    <row r="20" spans="1:5" x14ac:dyDescent="0.35">
      <c r="A20" s="4" t="s">
        <v>87</v>
      </c>
      <c r="B20" s="1">
        <v>14724000000</v>
      </c>
      <c r="C20" s="1">
        <v>14063000000</v>
      </c>
      <c r="D20" s="1">
        <v>12326000000</v>
      </c>
      <c r="E20" s="1">
        <v>11679000000</v>
      </c>
    </row>
    <row r="21" spans="1:5" x14ac:dyDescent="0.35">
      <c r="A21" s="4" t="s">
        <v>88</v>
      </c>
      <c r="B21" s="1">
        <v>2599000000</v>
      </c>
      <c r="C21" s="1">
        <v>2648000000</v>
      </c>
      <c r="D21" s="1">
        <v>2709000000</v>
      </c>
      <c r="E21" s="1">
        <v>2791000000</v>
      </c>
    </row>
    <row r="22" spans="1:5" x14ac:dyDescent="0.35">
      <c r="A22" s="4" t="s">
        <v>89</v>
      </c>
      <c r="B22" s="1">
        <v>2596000000</v>
      </c>
      <c r="C22" s="1">
        <v>2646000000</v>
      </c>
      <c r="D22" s="1">
        <v>2707000000</v>
      </c>
      <c r="E22" s="1">
        <v>2788000000</v>
      </c>
    </row>
    <row r="23" spans="1:5" x14ac:dyDescent="0.35">
      <c r="A23" s="4" t="s">
        <v>90</v>
      </c>
      <c r="B23" s="1">
        <v>4.1900000000000004</v>
      </c>
      <c r="C23" s="1">
        <v>4.2300000000000004</v>
      </c>
      <c r="D23" s="1">
        <v>3.42</v>
      </c>
      <c r="E23" s="1">
        <v>6.06</v>
      </c>
    </row>
    <row r="24" spans="1:5" x14ac:dyDescent="0.35">
      <c r="A24" s="4" t="s">
        <v>91</v>
      </c>
      <c r="B24" s="1">
        <v>4.1900000000000004</v>
      </c>
      <c r="C24" s="1">
        <v>4.24</v>
      </c>
      <c r="D24" s="1">
        <v>3.42</v>
      </c>
      <c r="E24" s="1">
        <v>6.06</v>
      </c>
    </row>
    <row r="25" spans="1:5" x14ac:dyDescent="0.35">
      <c r="A25" s="4" t="s">
        <v>92</v>
      </c>
      <c r="B25" s="1">
        <v>10884000000</v>
      </c>
      <c r="C25" s="1">
        <v>11209000000</v>
      </c>
      <c r="D25" s="1">
        <v>9270000000</v>
      </c>
      <c r="E25" s="1">
        <v>16905000000</v>
      </c>
    </row>
    <row r="26" spans="1:5" x14ac:dyDescent="0.35">
      <c r="A26" s="4" t="s">
        <v>93</v>
      </c>
      <c r="B26" s="1">
        <v>10884000000</v>
      </c>
      <c r="C26" s="1">
        <v>11209000000</v>
      </c>
      <c r="D26" s="1">
        <v>9270000000</v>
      </c>
      <c r="E26" s="1">
        <v>16905000000</v>
      </c>
    </row>
    <row r="27" spans="1:5" x14ac:dyDescent="0.35">
      <c r="A27" s="4" t="s">
        <v>94</v>
      </c>
      <c r="B27" s="1">
        <v>0</v>
      </c>
      <c r="C27" s="1">
        <v>0</v>
      </c>
      <c r="D27" s="1">
        <v>0</v>
      </c>
      <c r="E27" s="1">
        <v>0</v>
      </c>
    </row>
    <row r="28" spans="1:5" x14ac:dyDescent="0.35">
      <c r="A28" s="4" t="s">
        <v>95</v>
      </c>
      <c r="B28" s="1">
        <v>10884000000</v>
      </c>
      <c r="C28" s="1">
        <v>11209000000</v>
      </c>
      <c r="D28" s="1">
        <v>9270000000</v>
      </c>
      <c r="E28" s="1">
        <v>16905000000</v>
      </c>
    </row>
    <row r="29" spans="1:5" x14ac:dyDescent="0.35">
      <c r="A29" s="4" t="s">
        <v>96</v>
      </c>
      <c r="B29" s="1">
        <v>-290000000</v>
      </c>
      <c r="C29" s="1">
        <v>-300000000</v>
      </c>
      <c r="D29" s="1">
        <v>-326000000</v>
      </c>
      <c r="E29" s="1">
        <v>-291000000</v>
      </c>
    </row>
    <row r="30" spans="1:5" x14ac:dyDescent="0.35">
      <c r="A30" s="4" t="s">
        <v>97</v>
      </c>
      <c r="B30" s="1">
        <v>11174000000</v>
      </c>
      <c r="C30" s="1">
        <v>11509000000</v>
      </c>
      <c r="D30" s="1">
        <v>9596000000</v>
      </c>
      <c r="E30" s="1">
        <v>17196000000</v>
      </c>
    </row>
    <row r="31" spans="1:5" x14ac:dyDescent="0.35">
      <c r="A31" s="4" t="s">
        <v>98</v>
      </c>
      <c r="B31" s="1">
        <v>11174000000</v>
      </c>
      <c r="C31" s="1">
        <v>11509000000</v>
      </c>
      <c r="D31" s="1">
        <v>9596000000</v>
      </c>
      <c r="E31" s="1">
        <v>17196000000</v>
      </c>
    </row>
    <row r="32" spans="1:5" x14ac:dyDescent="0.35">
      <c r="A32" s="4" t="s">
        <v>219</v>
      </c>
      <c r="B32" s="26">
        <f>1-B28/B34</f>
        <v>0.17788352594606849</v>
      </c>
      <c r="C32" s="26">
        <f t="shared" ref="C32:E32" si="0">1-C28/C34</f>
        <v>0.11761001338266552</v>
      </c>
      <c r="D32" s="26">
        <f t="shared" si="0"/>
        <v>0.17862838915470491</v>
      </c>
      <c r="E32" s="26">
        <f t="shared" si="0"/>
        <v>-0.56440866185452521</v>
      </c>
    </row>
    <row r="33" spans="1:5" x14ac:dyDescent="0.35">
      <c r="A33" s="4" t="s">
        <v>99</v>
      </c>
      <c r="B33" s="1">
        <v>3314000000</v>
      </c>
      <c r="C33" s="1">
        <v>2314000000</v>
      </c>
      <c r="D33" s="1">
        <v>2730000000</v>
      </c>
      <c r="E33" s="1">
        <v>2261000000</v>
      </c>
    </row>
    <row r="34" spans="1:5" x14ac:dyDescent="0.35">
      <c r="A34" s="4" t="s">
        <v>100</v>
      </c>
      <c r="B34" s="1">
        <v>13239000000</v>
      </c>
      <c r="C34" s="1">
        <v>12703000000</v>
      </c>
      <c r="D34" s="1">
        <v>11286000000</v>
      </c>
      <c r="E34" s="1">
        <v>10806000000</v>
      </c>
    </row>
    <row r="35" spans="1:5" x14ac:dyDescent="0.35">
      <c r="A35" s="4" t="s">
        <v>101</v>
      </c>
      <c r="B35" s="1"/>
      <c r="C35" s="1">
        <v>295000000</v>
      </c>
      <c r="D35" s="1">
        <v>320000000</v>
      </c>
      <c r="E35" s="1">
        <v>441000000</v>
      </c>
    </row>
    <row r="36" spans="1:5" x14ac:dyDescent="0.35">
      <c r="A36" s="4" t="s">
        <v>102</v>
      </c>
      <c r="B36" s="1">
        <v>-889000000</v>
      </c>
      <c r="C36" s="1">
        <v>-1608000000</v>
      </c>
      <c r="D36" s="1">
        <v>-3342000000</v>
      </c>
      <c r="E36" s="1">
        <v>-3251000000</v>
      </c>
    </row>
    <row r="37" spans="1:5" x14ac:dyDescent="0.35">
      <c r="A37" s="4" t="s">
        <v>103</v>
      </c>
      <c r="B37" s="1">
        <v>-2000000</v>
      </c>
      <c r="C37" s="1">
        <v>238000000</v>
      </c>
      <c r="D37" s="1">
        <v>343000000</v>
      </c>
      <c r="E37" s="1">
        <v>326000000</v>
      </c>
    </row>
    <row r="38" spans="1:5" x14ac:dyDescent="0.35">
      <c r="A38" s="4" t="s">
        <v>104</v>
      </c>
      <c r="B38" s="1">
        <v>580000000</v>
      </c>
      <c r="C38" s="1">
        <v>647000000</v>
      </c>
      <c r="D38" s="1">
        <v>2090000000</v>
      </c>
      <c r="E38" s="1">
        <v>2093000000</v>
      </c>
    </row>
    <row r="39" spans="1:5" x14ac:dyDescent="0.35">
      <c r="A39" s="4" t="s">
        <v>105</v>
      </c>
      <c r="B39" s="1">
        <v>311000000</v>
      </c>
      <c r="C39" s="1">
        <v>723000000</v>
      </c>
      <c r="D39" s="1">
        <v>273000000</v>
      </c>
      <c r="E39" s="1">
        <v>311000000</v>
      </c>
    </row>
    <row r="40" spans="1:5" x14ac:dyDescent="0.35">
      <c r="A40" s="4" t="s">
        <v>106</v>
      </c>
      <c r="B40" s="1">
        <v>-1485000000</v>
      </c>
      <c r="C40" s="1">
        <v>-1360000000</v>
      </c>
      <c r="D40" s="1">
        <v>-1040000000</v>
      </c>
      <c r="E40" s="1">
        <v>-873000000</v>
      </c>
    </row>
    <row r="41" spans="1:5" x14ac:dyDescent="0.35">
      <c r="A41" s="4" t="s">
        <v>107</v>
      </c>
      <c r="B41" s="1">
        <v>2000000</v>
      </c>
      <c r="C41" s="1">
        <v>1000000</v>
      </c>
      <c r="D41" s="1">
        <v>1000000</v>
      </c>
      <c r="E41" s="1">
        <v>2000000</v>
      </c>
    </row>
    <row r="42" spans="1:5" x14ac:dyDescent="0.35">
      <c r="A42" s="4" t="s">
        <v>108</v>
      </c>
      <c r="B42" s="1">
        <v>1841000000</v>
      </c>
      <c r="C42" s="1">
        <v>1643000000</v>
      </c>
      <c r="D42" s="1">
        <v>1249000000</v>
      </c>
      <c r="E42" s="1">
        <v>951000000</v>
      </c>
    </row>
    <row r="43" spans="1:5" x14ac:dyDescent="0.35">
      <c r="A43" s="4" t="s">
        <v>109</v>
      </c>
      <c r="B43" s="1">
        <v>358000000</v>
      </c>
      <c r="C43" s="1">
        <v>284000000</v>
      </c>
      <c r="D43" s="1">
        <v>210000000</v>
      </c>
      <c r="E43" s="1">
        <v>80000000</v>
      </c>
    </row>
    <row r="44" spans="1:5" x14ac:dyDescent="0.35">
      <c r="A44" s="4" t="s">
        <v>110</v>
      </c>
      <c r="B44" s="1">
        <v>15613000000</v>
      </c>
      <c r="C44" s="1">
        <v>15671000000</v>
      </c>
      <c r="D44" s="1">
        <v>15668000000</v>
      </c>
      <c r="E44" s="1">
        <v>14930000000</v>
      </c>
    </row>
    <row r="45" spans="1:5" x14ac:dyDescent="0.35">
      <c r="A45" s="4" t="s">
        <v>111</v>
      </c>
      <c r="B45" s="1">
        <v>27437000000</v>
      </c>
      <c r="C45" s="1">
        <v>27352000000</v>
      </c>
      <c r="D45" s="1">
        <v>27367000000</v>
      </c>
      <c r="E45" s="1">
        <v>27072000000</v>
      </c>
    </row>
    <row r="46" spans="1:5" x14ac:dyDescent="0.35">
      <c r="A46" s="4" t="s">
        <v>112</v>
      </c>
      <c r="B46" s="1">
        <v>399000000</v>
      </c>
      <c r="C46" s="1">
        <v>653000000</v>
      </c>
      <c r="D46" s="1">
        <v>726000000</v>
      </c>
      <c r="E46" s="1">
        <v>801000000</v>
      </c>
    </row>
    <row r="47" spans="1:5" x14ac:dyDescent="0.35">
      <c r="A47" s="4" t="s">
        <v>113</v>
      </c>
      <c r="B47" s="1">
        <v>1667000000</v>
      </c>
      <c r="C47" s="1">
        <v>1656000000</v>
      </c>
      <c r="D47" s="1">
        <v>1696000000</v>
      </c>
      <c r="E47" s="1">
        <v>1670000000</v>
      </c>
    </row>
    <row r="48" spans="1:5" x14ac:dyDescent="0.35">
      <c r="A48" s="4" t="s">
        <v>114</v>
      </c>
      <c r="B48" s="1">
        <v>25679000000</v>
      </c>
      <c r="C48" s="1">
        <v>25314000000</v>
      </c>
      <c r="D48" s="1">
        <v>25236000000</v>
      </c>
      <c r="E48" s="1">
        <v>25213000000</v>
      </c>
    </row>
    <row r="49" spans="1:5" x14ac:dyDescent="0.35">
      <c r="A49" s="4" t="s">
        <v>115</v>
      </c>
      <c r="B49" s="1">
        <v>25679000000</v>
      </c>
      <c r="C49" s="1">
        <v>25314000000</v>
      </c>
      <c r="D49" s="1">
        <v>25236000000</v>
      </c>
      <c r="E49" s="1">
        <v>25213000000</v>
      </c>
    </row>
    <row r="50" spans="1:5" x14ac:dyDescent="0.35">
      <c r="A50" s="4" t="s">
        <v>116</v>
      </c>
      <c r="B50" s="1">
        <v>43050000000</v>
      </c>
      <c r="C50" s="1">
        <v>43023000000</v>
      </c>
      <c r="D50" s="1">
        <v>43035000000</v>
      </c>
      <c r="E50" s="1">
        <v>42002000000</v>
      </c>
    </row>
    <row r="51" spans="1:5" x14ac:dyDescent="0.35">
      <c r="A51" s="4" t="s">
        <v>117</v>
      </c>
      <c r="B51" s="1">
        <v>48670000000</v>
      </c>
      <c r="C51" s="1">
        <v>50328000000</v>
      </c>
      <c r="D51" s="1">
        <v>51745000000</v>
      </c>
      <c r="E51" s="1">
        <v>45468000000</v>
      </c>
    </row>
    <row r="52" spans="1:5" x14ac:dyDescent="0.35">
      <c r="A52" s="4" t="s">
        <v>118</v>
      </c>
      <c r="B52" s="1">
        <v>91720000000</v>
      </c>
      <c r="C52" s="1">
        <v>93351000000</v>
      </c>
      <c r="D52" s="1">
        <v>94780000000</v>
      </c>
      <c r="E52" s="1">
        <v>87470000000</v>
      </c>
    </row>
    <row r="53" spans="1:5" x14ac:dyDescent="0.35">
      <c r="A53" s="4" t="s">
        <v>119</v>
      </c>
      <c r="B53" s="1">
        <v>91720000000</v>
      </c>
      <c r="C53" s="1">
        <v>93351000000</v>
      </c>
      <c r="D53" s="1">
        <v>94780000000</v>
      </c>
      <c r="E53" s="1">
        <v>87470000000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4"/>
  <sheetViews>
    <sheetView workbookViewId="0">
      <selection activeCell="G11" sqref="G11"/>
    </sheetView>
  </sheetViews>
  <sheetFormatPr defaultRowHeight="14.5" x14ac:dyDescent="0.35"/>
  <cols>
    <col min="1" max="1" width="40.81640625" bestFit="1" customWidth="1"/>
    <col min="2" max="5" width="17.81640625" bestFit="1" customWidth="1"/>
    <col min="6" max="6" width="14.54296875" bestFit="1" customWidth="1"/>
  </cols>
  <sheetData>
    <row r="1" spans="1:5" s="9" customFormat="1" ht="19" thickBot="1" x14ac:dyDescent="0.5">
      <c r="A1" s="7" t="s">
        <v>173</v>
      </c>
    </row>
    <row r="3" spans="1:5" x14ac:dyDescent="0.35">
      <c r="B3" s="6">
        <v>45657</v>
      </c>
      <c r="C3" s="6">
        <v>45291</v>
      </c>
      <c r="D3" s="6">
        <v>44926</v>
      </c>
      <c r="E3" s="6">
        <v>44561</v>
      </c>
    </row>
    <row r="4" spans="1:5" x14ac:dyDescent="0.35">
      <c r="A4" s="4" t="s">
        <v>120</v>
      </c>
      <c r="B4" s="1">
        <v>10712000000</v>
      </c>
      <c r="C4" s="1">
        <v>9738000000</v>
      </c>
      <c r="D4" s="1">
        <v>6546000000</v>
      </c>
      <c r="E4" s="1">
        <v>8523000000</v>
      </c>
    </row>
    <row r="5" spans="1:5" x14ac:dyDescent="0.35">
      <c r="A5" s="4" t="s">
        <v>121</v>
      </c>
      <c r="B5" s="1">
        <v>-4678000000</v>
      </c>
      <c r="C5" s="1">
        <v>-5234000000</v>
      </c>
      <c r="D5" s="1"/>
      <c r="E5" s="1"/>
    </row>
    <row r="6" spans="1:5" x14ac:dyDescent="0.35">
      <c r="A6" s="4" t="s">
        <v>122</v>
      </c>
      <c r="B6" s="1">
        <v>-5055000000</v>
      </c>
      <c r="C6" s="1">
        <v>-3589000000</v>
      </c>
      <c r="D6" s="1">
        <v>-3283000000</v>
      </c>
      <c r="E6" s="1">
        <v>-4474000000</v>
      </c>
    </row>
    <row r="7" spans="1:5" x14ac:dyDescent="0.35">
      <c r="A7" s="4" t="s">
        <v>123</v>
      </c>
      <c r="B7" s="1">
        <v>7992000000</v>
      </c>
      <c r="C7" s="1">
        <v>9806000000</v>
      </c>
      <c r="D7" s="1">
        <v>10936000000</v>
      </c>
      <c r="E7" s="1">
        <v>11339000000</v>
      </c>
    </row>
    <row r="8" spans="1:5" x14ac:dyDescent="0.35">
      <c r="A8" s="4" t="s">
        <v>124</v>
      </c>
      <c r="B8" s="1">
        <v>-5963000000</v>
      </c>
      <c r="C8" s="1">
        <v>-6203000000</v>
      </c>
      <c r="D8" s="1">
        <v>-5361000000</v>
      </c>
      <c r="E8" s="1">
        <v>-5341000000</v>
      </c>
    </row>
    <row r="9" spans="1:5" x14ac:dyDescent="0.35">
      <c r="A9" s="4" t="s">
        <v>125</v>
      </c>
      <c r="B9" s="1">
        <v>5556000000</v>
      </c>
      <c r="C9" s="1">
        <v>4816000000</v>
      </c>
      <c r="D9" s="1">
        <v>5511000000</v>
      </c>
      <c r="E9" s="1">
        <v>6992000000</v>
      </c>
    </row>
    <row r="10" spans="1:5" x14ac:dyDescent="0.35">
      <c r="A10" s="4" t="s">
        <v>126</v>
      </c>
      <c r="B10" s="1">
        <v>-2000000</v>
      </c>
      <c r="C10" s="1"/>
      <c r="D10" s="1"/>
      <c r="E10" s="1"/>
    </row>
    <row r="11" spans="1:5" x14ac:dyDescent="0.35">
      <c r="A11" s="4" t="s">
        <v>127</v>
      </c>
      <c r="B11" s="1">
        <v>4816000000</v>
      </c>
      <c r="C11" s="1">
        <v>5511000000</v>
      </c>
      <c r="D11" s="1">
        <v>6992000000</v>
      </c>
      <c r="E11" s="1">
        <v>5235000000</v>
      </c>
    </row>
    <row r="12" spans="1:5" x14ac:dyDescent="0.35">
      <c r="A12" s="4" t="s">
        <v>128</v>
      </c>
      <c r="B12" s="1">
        <v>53000000</v>
      </c>
      <c r="C12" s="1">
        <v>-682000000</v>
      </c>
      <c r="D12" s="1">
        <v>-100000000</v>
      </c>
      <c r="E12" s="1">
        <v>89000000</v>
      </c>
    </row>
    <row r="13" spans="1:5" x14ac:dyDescent="0.35">
      <c r="A13" s="4" t="s">
        <v>129</v>
      </c>
      <c r="B13" s="1">
        <v>689000000</v>
      </c>
      <c r="C13" s="1">
        <v>-13000000</v>
      </c>
      <c r="D13" s="1">
        <v>-1381000000</v>
      </c>
      <c r="E13" s="1">
        <v>1668000000</v>
      </c>
    </row>
    <row r="14" spans="1:5" x14ac:dyDescent="0.35">
      <c r="A14" s="4" t="s">
        <v>130</v>
      </c>
      <c r="B14" s="1">
        <v>-7362000000</v>
      </c>
      <c r="C14" s="1">
        <v>-9758000000</v>
      </c>
      <c r="D14" s="1">
        <v>-11385000000</v>
      </c>
      <c r="E14" s="1">
        <v>-9152000000</v>
      </c>
    </row>
    <row r="15" spans="1:5" x14ac:dyDescent="0.35">
      <c r="A15" s="4" t="s">
        <v>131</v>
      </c>
      <c r="B15" s="1">
        <v>-27000000</v>
      </c>
      <c r="C15" s="1">
        <v>-52000000</v>
      </c>
      <c r="D15" s="1">
        <v>-605000000</v>
      </c>
      <c r="E15" s="1">
        <v>-601000000</v>
      </c>
    </row>
    <row r="16" spans="1:5" x14ac:dyDescent="0.35">
      <c r="A16" s="4" t="s">
        <v>132</v>
      </c>
      <c r="B16" s="1">
        <v>-7816000000</v>
      </c>
      <c r="C16" s="1">
        <v>-7829000000</v>
      </c>
      <c r="D16" s="1">
        <v>-7618000000</v>
      </c>
      <c r="E16" s="1">
        <v>-7681000000</v>
      </c>
    </row>
    <row r="17" spans="1:5" x14ac:dyDescent="0.35">
      <c r="A17" s="4" t="s">
        <v>133</v>
      </c>
      <c r="B17" s="1">
        <v>-7816000000</v>
      </c>
      <c r="C17" s="1">
        <v>-7829000000</v>
      </c>
      <c r="D17" s="1">
        <v>-7618000000</v>
      </c>
      <c r="E17" s="1">
        <v>-7681000000</v>
      </c>
    </row>
    <row r="18" spans="1:5" x14ac:dyDescent="0.35">
      <c r="A18" s="4" t="s">
        <v>134</v>
      </c>
      <c r="B18" s="1">
        <v>-4678000000</v>
      </c>
      <c r="C18" s="1">
        <v>-5234000000</v>
      </c>
      <c r="D18" s="1">
        <v>-10679000000</v>
      </c>
      <c r="E18" s="1">
        <v>-6548000000</v>
      </c>
    </row>
    <row r="19" spans="1:5" x14ac:dyDescent="0.35">
      <c r="A19" s="4" t="s">
        <v>135</v>
      </c>
      <c r="B19" s="1">
        <v>-4678000000</v>
      </c>
      <c r="C19" s="1">
        <v>-5234000000</v>
      </c>
      <c r="D19" s="1"/>
      <c r="E19" s="1"/>
    </row>
    <row r="20" spans="1:5" x14ac:dyDescent="0.35">
      <c r="A20" s="4" t="s">
        <v>136</v>
      </c>
      <c r="B20" s="1">
        <v>5333000000</v>
      </c>
      <c r="C20" s="1">
        <v>3680000000</v>
      </c>
      <c r="D20" s="1">
        <v>7801000000</v>
      </c>
      <c r="E20" s="1">
        <v>5980000000</v>
      </c>
    </row>
    <row r="21" spans="1:5" x14ac:dyDescent="0.35">
      <c r="A21" s="4" t="s">
        <v>137</v>
      </c>
      <c r="B21" s="1">
        <v>2396000000</v>
      </c>
      <c r="C21" s="1">
        <v>-2537000000</v>
      </c>
      <c r="D21" s="1">
        <v>148000000</v>
      </c>
      <c r="E21" s="1">
        <v>-885000000</v>
      </c>
    </row>
    <row r="22" spans="1:5" x14ac:dyDescent="0.35">
      <c r="A22" s="4" t="s">
        <v>138</v>
      </c>
      <c r="B22" s="1">
        <v>2937000000</v>
      </c>
      <c r="C22" s="1">
        <v>6217000000</v>
      </c>
      <c r="D22" s="1">
        <v>7653000000</v>
      </c>
      <c r="E22" s="1">
        <v>6865000000</v>
      </c>
    </row>
    <row r="23" spans="1:5" x14ac:dyDescent="0.35">
      <c r="A23" s="4" t="s">
        <v>139</v>
      </c>
      <c r="B23" s="1">
        <v>-5055000000</v>
      </c>
      <c r="C23" s="1">
        <v>-3589000000</v>
      </c>
      <c r="D23" s="1">
        <v>-3283000000</v>
      </c>
      <c r="E23" s="1">
        <v>-4474000000</v>
      </c>
    </row>
    <row r="24" spans="1:5" x14ac:dyDescent="0.35">
      <c r="A24" s="4" t="s">
        <v>140</v>
      </c>
      <c r="B24" s="1">
        <v>7992000000</v>
      </c>
      <c r="C24" s="1">
        <v>9806000000</v>
      </c>
      <c r="D24" s="1">
        <v>10936000000</v>
      </c>
      <c r="E24" s="1">
        <v>11339000000</v>
      </c>
    </row>
    <row r="25" spans="1:5" x14ac:dyDescent="0.35">
      <c r="A25" s="4" t="s">
        <v>141</v>
      </c>
      <c r="B25" s="1">
        <v>-8624000000</v>
      </c>
      <c r="C25" s="1">
        <v>-6196000000</v>
      </c>
      <c r="D25" s="1">
        <v>-1903000000</v>
      </c>
      <c r="E25" s="1">
        <v>-3044000000</v>
      </c>
    </row>
    <row r="26" spans="1:5" x14ac:dyDescent="0.35">
      <c r="A26" s="4" t="s">
        <v>142</v>
      </c>
      <c r="B26" s="1">
        <v>-46000000</v>
      </c>
      <c r="C26" s="1">
        <v>665000000</v>
      </c>
      <c r="D26" s="1">
        <v>24000000</v>
      </c>
      <c r="E26" s="1">
        <v>192000000</v>
      </c>
    </row>
    <row r="27" spans="1:5" x14ac:dyDescent="0.35">
      <c r="A27" s="4" t="s">
        <v>143</v>
      </c>
      <c r="B27" s="1">
        <v>-1251000000</v>
      </c>
      <c r="C27" s="1">
        <v>-80000000</v>
      </c>
      <c r="D27" s="1">
        <v>5902000000</v>
      </c>
      <c r="E27" s="1">
        <v>-3610000000</v>
      </c>
    </row>
    <row r="28" spans="1:5" x14ac:dyDescent="0.35">
      <c r="A28" s="4" t="s">
        <v>144</v>
      </c>
      <c r="B28" s="1">
        <v>-1364000000</v>
      </c>
      <c r="C28" s="1">
        <v>-578000000</v>
      </c>
      <c r="D28" s="1">
        <v>-2468000000</v>
      </c>
      <c r="E28" s="1">
        <v>5715000000</v>
      </c>
    </row>
    <row r="29" spans="1:5" x14ac:dyDescent="0.35">
      <c r="A29" s="4" t="s">
        <v>145</v>
      </c>
      <c r="B29" s="1"/>
      <c r="C29" s="1">
        <v>215000000</v>
      </c>
      <c r="D29" s="1">
        <v>160000000</v>
      </c>
      <c r="E29" s="1">
        <v>12824000000</v>
      </c>
    </row>
    <row r="30" spans="1:5" x14ac:dyDescent="0.35">
      <c r="A30" s="4" t="s">
        <v>146</v>
      </c>
      <c r="B30" s="1">
        <v>-832000000</v>
      </c>
      <c r="C30" s="1">
        <v>-211000000</v>
      </c>
      <c r="D30" s="1">
        <v>-2628000000</v>
      </c>
      <c r="E30" s="1">
        <v>-7109000000</v>
      </c>
    </row>
    <row r="31" spans="1:5" x14ac:dyDescent="0.35">
      <c r="A31" s="4" t="s">
        <v>147</v>
      </c>
      <c r="B31" s="1"/>
      <c r="C31" s="1"/>
      <c r="D31" s="1"/>
      <c r="E31" s="1">
        <v>-461000000</v>
      </c>
    </row>
    <row r="32" spans="1:5" x14ac:dyDescent="0.35">
      <c r="A32" s="4" t="s">
        <v>148</v>
      </c>
      <c r="B32" s="1"/>
      <c r="C32" s="1"/>
      <c r="D32" s="1"/>
      <c r="E32" s="1">
        <v>-461000000</v>
      </c>
    </row>
    <row r="33" spans="1:6" x14ac:dyDescent="0.35">
      <c r="A33" s="4" t="s">
        <v>149</v>
      </c>
      <c r="B33" s="1">
        <v>-5963000000</v>
      </c>
      <c r="C33" s="1">
        <v>-6203000000</v>
      </c>
      <c r="D33" s="1">
        <v>-5361000000</v>
      </c>
      <c r="E33" s="1">
        <v>-5341000000</v>
      </c>
    </row>
    <row r="34" spans="1:6" x14ac:dyDescent="0.35">
      <c r="A34" s="4" t="s">
        <v>150</v>
      </c>
      <c r="B34" s="1">
        <v>16675000000</v>
      </c>
      <c r="C34" s="1">
        <v>15941000000</v>
      </c>
      <c r="D34" s="1">
        <v>11907000000</v>
      </c>
      <c r="E34" s="1">
        <v>13864000000</v>
      </c>
      <c r="F34" s="22"/>
    </row>
    <row r="35" spans="1:6" x14ac:dyDescent="0.35">
      <c r="A35" s="4" t="s">
        <v>151</v>
      </c>
      <c r="B35" s="1">
        <v>-2411000000</v>
      </c>
      <c r="C35" s="1">
        <v>-2801000000</v>
      </c>
      <c r="D35" s="1">
        <v>-3107000000</v>
      </c>
      <c r="E35" s="1">
        <v>-2722000000</v>
      </c>
    </row>
    <row r="36" spans="1:6" x14ac:dyDescent="0.35">
      <c r="A36" s="4" t="s">
        <v>152</v>
      </c>
      <c r="B36" s="1">
        <v>273000000</v>
      </c>
      <c r="C36" s="1">
        <v>193000000</v>
      </c>
      <c r="D36" s="1">
        <v>118000000</v>
      </c>
      <c r="E36" s="1">
        <v>43000000</v>
      </c>
    </row>
    <row r="37" spans="1:6" x14ac:dyDescent="0.35">
      <c r="A37" s="4" t="s">
        <v>153</v>
      </c>
      <c r="B37" s="1">
        <v>-1539000000</v>
      </c>
      <c r="C37" s="1">
        <v>-1330000000</v>
      </c>
      <c r="D37" s="1">
        <v>-953000000</v>
      </c>
      <c r="E37" s="1">
        <v>-753000000</v>
      </c>
    </row>
    <row r="38" spans="1:6" x14ac:dyDescent="0.35">
      <c r="A38" s="4" t="s">
        <v>154</v>
      </c>
      <c r="B38" s="1">
        <v>759000000</v>
      </c>
      <c r="C38" s="1">
        <v>699000000</v>
      </c>
      <c r="D38" s="1">
        <v>608000000</v>
      </c>
      <c r="E38" s="1">
        <v>651000000</v>
      </c>
    </row>
    <row r="39" spans="1:6" x14ac:dyDescent="0.35">
      <c r="A39" s="4" t="s">
        <v>155</v>
      </c>
      <c r="B39" s="1">
        <v>874000000</v>
      </c>
      <c r="C39" s="1">
        <v>709000000</v>
      </c>
      <c r="D39" s="1">
        <v>-3647000000</v>
      </c>
      <c r="E39" s="1">
        <v>-600000000</v>
      </c>
    </row>
    <row r="40" spans="1:6" x14ac:dyDescent="0.35">
      <c r="A40" s="4" t="s">
        <v>156</v>
      </c>
      <c r="B40" s="1">
        <v>-273000000</v>
      </c>
      <c r="C40" s="1">
        <v>-794000000</v>
      </c>
      <c r="D40" s="1">
        <v>-657000000</v>
      </c>
      <c r="E40" s="1">
        <v>-575000000</v>
      </c>
    </row>
    <row r="41" spans="1:6" x14ac:dyDescent="0.35">
      <c r="A41" s="4" t="s">
        <v>157</v>
      </c>
      <c r="B41" s="1">
        <v>163000000</v>
      </c>
      <c r="C41" s="1">
        <v>351000000</v>
      </c>
      <c r="D41" s="1">
        <v>115000000</v>
      </c>
      <c r="E41" s="1">
        <v>44000000</v>
      </c>
    </row>
    <row r="42" spans="1:6" x14ac:dyDescent="0.35">
      <c r="A42" s="4" t="s">
        <v>158</v>
      </c>
      <c r="B42" s="1">
        <v>2676000000</v>
      </c>
      <c r="C42" s="1">
        <v>65000000</v>
      </c>
      <c r="D42" s="1">
        <v>492000000</v>
      </c>
      <c r="E42" s="1">
        <v>2115000000</v>
      </c>
    </row>
    <row r="43" spans="1:6" x14ac:dyDescent="0.35">
      <c r="A43" s="4" t="s">
        <v>159</v>
      </c>
      <c r="B43" s="1">
        <v>-20000000</v>
      </c>
      <c r="C43" s="1">
        <v>-11000000</v>
      </c>
      <c r="D43" s="1">
        <v>9000000</v>
      </c>
      <c r="E43" s="1">
        <v>-94000000</v>
      </c>
    </row>
    <row r="44" spans="1:6" x14ac:dyDescent="0.35">
      <c r="A44" s="4" t="s">
        <v>160</v>
      </c>
      <c r="B44" s="1">
        <v>-1256000000</v>
      </c>
      <c r="C44" s="1">
        <v>1756000000</v>
      </c>
      <c r="D44" s="1">
        <v>-3428000000</v>
      </c>
      <c r="E44" s="1">
        <v>-1414000000</v>
      </c>
    </row>
    <row r="45" spans="1:6" x14ac:dyDescent="0.35">
      <c r="A45" s="4" t="s">
        <v>161</v>
      </c>
      <c r="B45" s="1">
        <v>-355000000</v>
      </c>
      <c r="C45" s="1">
        <v>-1027000000</v>
      </c>
      <c r="D45" s="1">
        <v>-321000000</v>
      </c>
      <c r="E45" s="1">
        <v>-824000000</v>
      </c>
    </row>
    <row r="46" spans="1:6" x14ac:dyDescent="0.35">
      <c r="A46" s="4" t="s">
        <v>162</v>
      </c>
      <c r="B46" s="1">
        <v>1145000000</v>
      </c>
      <c r="C46" s="1">
        <v>1289000000</v>
      </c>
      <c r="D46" s="1">
        <v>1139000000</v>
      </c>
      <c r="E46" s="1">
        <v>573000000</v>
      </c>
    </row>
    <row r="47" spans="1:6" x14ac:dyDescent="0.35">
      <c r="A47" s="4" t="s">
        <v>163</v>
      </c>
      <c r="B47" s="1">
        <v>116000000</v>
      </c>
      <c r="C47" s="1">
        <v>142000000</v>
      </c>
      <c r="D47" s="1">
        <v>128000000</v>
      </c>
      <c r="E47" s="1">
        <v>130000000</v>
      </c>
    </row>
    <row r="48" spans="1:6" x14ac:dyDescent="0.35">
      <c r="A48" s="4" t="s">
        <v>164</v>
      </c>
      <c r="B48" s="1">
        <v>3314000000</v>
      </c>
      <c r="C48" s="1">
        <v>2314000000</v>
      </c>
      <c r="D48" s="1">
        <v>2730000000</v>
      </c>
      <c r="E48" s="1">
        <v>2261000000</v>
      </c>
    </row>
    <row r="49" spans="1:5" x14ac:dyDescent="0.35">
      <c r="A49" s="4" t="s">
        <v>165</v>
      </c>
      <c r="B49" s="1">
        <v>3582000000</v>
      </c>
      <c r="C49" s="1">
        <v>3458000000</v>
      </c>
      <c r="D49" s="1">
        <v>3541000000</v>
      </c>
      <c r="E49" s="1">
        <v>3440000000</v>
      </c>
    </row>
    <row r="50" spans="1:5" x14ac:dyDescent="0.35">
      <c r="A50" s="4" t="s">
        <v>166</v>
      </c>
      <c r="B50" s="1">
        <v>472000000</v>
      </c>
      <c r="C50" s="1">
        <v>465000000</v>
      </c>
      <c r="D50" s="1">
        <v>444000000</v>
      </c>
      <c r="E50" s="1">
        <v>384000000</v>
      </c>
    </row>
    <row r="51" spans="1:5" x14ac:dyDescent="0.35">
      <c r="A51" s="4" t="s">
        <v>167</v>
      </c>
      <c r="B51" s="1">
        <v>3110000000</v>
      </c>
      <c r="C51" s="1">
        <v>2993000000</v>
      </c>
      <c r="D51" s="1">
        <v>3097000000</v>
      </c>
      <c r="E51" s="1">
        <v>3056000000</v>
      </c>
    </row>
    <row r="52" spans="1:5" x14ac:dyDescent="0.35">
      <c r="A52" s="4" t="s">
        <v>168</v>
      </c>
      <c r="B52" s="1">
        <v>-5000000</v>
      </c>
      <c r="C52" s="1">
        <v>11000000</v>
      </c>
      <c r="D52" s="1">
        <v>-11000000</v>
      </c>
      <c r="E52" s="1">
        <v>-83000000</v>
      </c>
    </row>
    <row r="53" spans="1:5" x14ac:dyDescent="0.35">
      <c r="A53" s="4" t="s">
        <v>169</v>
      </c>
      <c r="B53" s="1">
        <v>62000000</v>
      </c>
      <c r="C53" s="1">
        <v>221000000</v>
      </c>
      <c r="D53" s="1">
        <v>79000000</v>
      </c>
      <c r="E53" s="1">
        <v>-235000000</v>
      </c>
    </row>
    <row r="54" spans="1:5" x14ac:dyDescent="0.35">
      <c r="A54" s="4" t="s">
        <v>170</v>
      </c>
      <c r="B54" s="1">
        <v>11174000000</v>
      </c>
      <c r="C54" s="1">
        <v>11509000000</v>
      </c>
      <c r="D54" s="1">
        <v>9596000000</v>
      </c>
      <c r="E54" s="1">
        <v>17196000000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6F4CE-3D93-4F7C-894E-66C94851BB56}">
  <dimension ref="A2:XFC83"/>
  <sheetViews>
    <sheetView showGridLines="0" tabSelected="1" zoomScale="76" workbookViewId="0">
      <selection activeCell="A2" sqref="A2"/>
    </sheetView>
  </sheetViews>
  <sheetFormatPr defaultRowHeight="14.5" x14ac:dyDescent="0.35"/>
  <cols>
    <col min="1" max="1" width="25.81640625" bestFit="1" customWidth="1"/>
    <col min="2" max="2" width="13.08984375" bestFit="1" customWidth="1"/>
    <col min="3" max="3" width="17.1796875" bestFit="1" customWidth="1"/>
    <col min="4" max="4" width="19.453125" bestFit="1" customWidth="1"/>
    <col min="5" max="6" width="17.1796875" bestFit="1" customWidth="1"/>
    <col min="7" max="7" width="17.7265625" customWidth="1"/>
    <col min="8" max="8" width="17.1796875" bestFit="1" customWidth="1"/>
    <col min="9" max="9" width="18.1796875" bestFit="1" customWidth="1"/>
    <col min="10" max="10" width="19.26953125" bestFit="1" customWidth="1"/>
  </cols>
  <sheetData>
    <row r="2" spans="1:16383" x14ac:dyDescent="0.35">
      <c r="C2" s="31">
        <v>2021</v>
      </c>
      <c r="D2" s="31">
        <v>2022</v>
      </c>
      <c r="E2" s="31">
        <v>2023</v>
      </c>
      <c r="F2" s="31">
        <v>2024</v>
      </c>
      <c r="G2" s="32">
        <v>2025</v>
      </c>
      <c r="H2" s="32">
        <v>2026</v>
      </c>
      <c r="I2" s="32">
        <v>2027</v>
      </c>
    </row>
    <row r="3" spans="1:16383" ht="21.5" thickBot="1" x14ac:dyDescent="0.55000000000000004">
      <c r="A3" s="10" t="s">
        <v>217</v>
      </c>
    </row>
    <row r="5" spans="1:16383" x14ac:dyDescent="0.35">
      <c r="A5" s="55" t="s">
        <v>174</v>
      </c>
      <c r="B5" s="55"/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  <c r="AA5" s="55"/>
      <c r="AB5" s="55"/>
      <c r="AC5" s="55"/>
      <c r="AD5" s="55"/>
      <c r="AE5" s="55"/>
      <c r="AF5" s="55"/>
      <c r="AG5" s="55"/>
      <c r="AH5" s="55"/>
      <c r="AI5" s="55"/>
      <c r="AJ5" s="55"/>
      <c r="AK5" s="55"/>
      <c r="AL5" s="55"/>
      <c r="AM5" s="55"/>
      <c r="AN5" s="55"/>
      <c r="AO5" s="55"/>
      <c r="AP5" s="55"/>
      <c r="AQ5" s="55"/>
      <c r="AR5" s="55"/>
      <c r="AS5" s="55"/>
      <c r="AT5" s="55"/>
      <c r="AU5" s="55"/>
      <c r="AV5" s="55"/>
      <c r="AW5" s="55"/>
      <c r="AX5" s="55"/>
      <c r="AY5" s="55"/>
      <c r="AZ5" s="55"/>
      <c r="BA5" s="55"/>
      <c r="BB5" s="55"/>
      <c r="BC5" s="55"/>
      <c r="BD5" s="55"/>
      <c r="BE5" s="55"/>
      <c r="BF5" s="55"/>
      <c r="BG5" s="55"/>
      <c r="BH5" s="55"/>
      <c r="BI5" s="55"/>
      <c r="BJ5" s="55"/>
      <c r="BK5" s="55"/>
      <c r="BL5" s="55"/>
      <c r="BM5" s="55"/>
      <c r="BN5" s="55"/>
      <c r="BO5" s="55"/>
      <c r="BP5" s="55"/>
      <c r="BQ5" s="55"/>
      <c r="BR5" s="55"/>
      <c r="BS5" s="55"/>
      <c r="BT5" s="55"/>
      <c r="BU5" s="55"/>
      <c r="BV5" s="55"/>
      <c r="BW5" s="55"/>
      <c r="BX5" s="55"/>
      <c r="BY5" s="55"/>
      <c r="BZ5" s="55"/>
      <c r="CA5" s="55"/>
      <c r="CB5" s="55"/>
      <c r="CC5" s="55"/>
      <c r="CD5" s="55"/>
      <c r="CE5" s="55"/>
      <c r="CF5" s="55"/>
      <c r="CG5" s="55"/>
      <c r="CH5" s="55"/>
      <c r="CI5" s="55"/>
      <c r="CJ5" s="55"/>
      <c r="CK5" s="55"/>
      <c r="CL5" s="55"/>
      <c r="CM5" s="55"/>
      <c r="CN5" s="55"/>
      <c r="CO5" s="55"/>
      <c r="CP5" s="55"/>
      <c r="CQ5" s="55"/>
      <c r="CR5" s="55"/>
      <c r="CS5" s="55"/>
      <c r="CT5" s="55"/>
      <c r="CU5" s="55"/>
      <c r="CV5" s="55"/>
      <c r="CW5" s="55"/>
      <c r="CX5" s="55"/>
      <c r="CY5" s="55"/>
      <c r="CZ5" s="55"/>
      <c r="DA5" s="55"/>
      <c r="DB5" s="55"/>
      <c r="DC5" s="55"/>
      <c r="DD5" s="55"/>
      <c r="DE5" s="55"/>
      <c r="DF5" s="55"/>
      <c r="DG5" s="55"/>
      <c r="DH5" s="55"/>
      <c r="DI5" s="55"/>
      <c r="DJ5" s="55"/>
      <c r="DK5" s="55"/>
      <c r="DL5" s="55"/>
      <c r="DM5" s="55"/>
      <c r="DN5" s="55"/>
      <c r="DO5" s="55"/>
      <c r="DP5" s="55"/>
      <c r="DQ5" s="55"/>
      <c r="DR5" s="55"/>
      <c r="DS5" s="55"/>
      <c r="DT5" s="55"/>
      <c r="DU5" s="55"/>
      <c r="DV5" s="55"/>
      <c r="DW5" s="55"/>
      <c r="DX5" s="55"/>
      <c r="DY5" s="55"/>
      <c r="DZ5" s="55"/>
      <c r="EA5" s="55"/>
      <c r="EB5" s="55"/>
      <c r="EC5" s="55"/>
      <c r="ED5" s="55"/>
      <c r="EE5" s="55"/>
      <c r="EF5" s="55"/>
      <c r="EG5" s="55"/>
      <c r="EH5" s="55"/>
      <c r="EI5" s="55"/>
      <c r="EJ5" s="55"/>
      <c r="EK5" s="55"/>
      <c r="EL5" s="55"/>
      <c r="EM5" s="55"/>
      <c r="EN5" s="55"/>
      <c r="EO5" s="55"/>
      <c r="EP5" s="55"/>
      <c r="EQ5" s="55"/>
      <c r="ER5" s="55"/>
      <c r="ES5" s="55"/>
      <c r="ET5" s="55"/>
      <c r="EU5" s="55"/>
      <c r="EV5" s="55"/>
      <c r="EW5" s="55"/>
      <c r="EX5" s="55"/>
      <c r="EY5" s="55"/>
      <c r="EZ5" s="55"/>
      <c r="FA5" s="55"/>
      <c r="FB5" s="55"/>
      <c r="FC5" s="55"/>
      <c r="FD5" s="55"/>
      <c r="FE5" s="55"/>
      <c r="FF5" s="55"/>
      <c r="FG5" s="55"/>
      <c r="FH5" s="55"/>
      <c r="FI5" s="55"/>
      <c r="FJ5" s="55"/>
      <c r="FK5" s="55"/>
      <c r="FL5" s="55"/>
      <c r="FM5" s="55"/>
      <c r="FN5" s="55"/>
      <c r="FO5" s="55"/>
      <c r="FP5" s="55"/>
      <c r="FQ5" s="55"/>
      <c r="FR5" s="55"/>
      <c r="FS5" s="55"/>
      <c r="FT5" s="55"/>
      <c r="FU5" s="55"/>
      <c r="FV5" s="55"/>
      <c r="FW5" s="55"/>
      <c r="FX5" s="55"/>
      <c r="FY5" s="55"/>
      <c r="FZ5" s="55"/>
      <c r="GA5" s="55"/>
      <c r="GB5" s="55"/>
      <c r="GC5" s="55"/>
      <c r="GD5" s="55"/>
      <c r="GE5" s="55"/>
      <c r="GF5" s="55"/>
      <c r="GG5" s="55"/>
      <c r="GH5" s="55"/>
      <c r="GI5" s="55"/>
      <c r="GJ5" s="55"/>
      <c r="GK5" s="55"/>
      <c r="GL5" s="55"/>
      <c r="GM5" s="55"/>
      <c r="GN5" s="55"/>
      <c r="GO5" s="55"/>
      <c r="GP5" s="55"/>
      <c r="GQ5" s="55"/>
      <c r="GR5" s="55"/>
      <c r="GS5" s="55"/>
      <c r="GT5" s="55"/>
      <c r="GU5" s="55"/>
      <c r="GV5" s="55"/>
      <c r="GW5" s="55"/>
      <c r="GX5" s="55"/>
      <c r="GY5" s="55"/>
      <c r="GZ5" s="55"/>
      <c r="HA5" s="55"/>
      <c r="HB5" s="55"/>
      <c r="HC5" s="55"/>
      <c r="HD5" s="55"/>
      <c r="HE5" s="55"/>
      <c r="HF5" s="55"/>
      <c r="HG5" s="55"/>
      <c r="HH5" s="55"/>
      <c r="HI5" s="55"/>
      <c r="HJ5" s="55"/>
      <c r="HK5" s="55"/>
      <c r="HL5" s="55"/>
      <c r="HM5" s="55"/>
      <c r="HN5" s="55"/>
      <c r="HO5" s="55"/>
      <c r="HP5" s="55"/>
      <c r="HQ5" s="55"/>
      <c r="HR5" s="55"/>
      <c r="HS5" s="55"/>
      <c r="HT5" s="55"/>
      <c r="HU5" s="55"/>
      <c r="HV5" s="55"/>
      <c r="HW5" s="55"/>
      <c r="HX5" s="55"/>
      <c r="HY5" s="55"/>
      <c r="HZ5" s="55"/>
      <c r="IA5" s="55"/>
      <c r="IB5" s="55"/>
      <c r="IC5" s="55"/>
      <c r="ID5" s="55"/>
      <c r="IE5" s="55"/>
      <c r="IF5" s="55"/>
      <c r="IG5" s="55"/>
      <c r="IH5" s="55"/>
      <c r="II5" s="55"/>
      <c r="IJ5" s="55"/>
      <c r="IK5" s="55"/>
      <c r="IL5" s="55"/>
      <c r="IM5" s="55"/>
      <c r="IN5" s="55"/>
      <c r="IO5" s="55"/>
      <c r="IP5" s="55"/>
      <c r="IQ5" s="55"/>
      <c r="IR5" s="55"/>
      <c r="IS5" s="55"/>
      <c r="IT5" s="55"/>
      <c r="IU5" s="55"/>
      <c r="IV5" s="55"/>
      <c r="IW5" s="55"/>
      <c r="IX5" s="55"/>
      <c r="IY5" s="55"/>
      <c r="IZ5" s="55"/>
      <c r="JA5" s="55"/>
      <c r="JB5" s="55"/>
      <c r="JC5" s="55"/>
      <c r="JD5" s="55"/>
      <c r="JE5" s="55"/>
      <c r="JF5" s="55"/>
      <c r="JG5" s="55"/>
      <c r="JH5" s="55"/>
      <c r="JI5" s="55"/>
      <c r="JJ5" s="55"/>
      <c r="JK5" s="55"/>
      <c r="JL5" s="55"/>
      <c r="JM5" s="55"/>
      <c r="JN5" s="55"/>
      <c r="JO5" s="55"/>
      <c r="JP5" s="55"/>
      <c r="JQ5" s="55"/>
      <c r="JR5" s="55"/>
      <c r="JS5" s="55"/>
      <c r="JT5" s="55"/>
      <c r="JU5" s="55"/>
      <c r="JV5" s="55"/>
      <c r="JW5" s="55"/>
      <c r="JX5" s="55"/>
      <c r="JY5" s="55"/>
      <c r="JZ5" s="55"/>
      <c r="KA5" s="55"/>
      <c r="KB5" s="55"/>
      <c r="KC5" s="55"/>
      <c r="KD5" s="55"/>
      <c r="KE5" s="55"/>
      <c r="KF5" s="55"/>
      <c r="KG5" s="55"/>
      <c r="KH5" s="55"/>
      <c r="KI5" s="55"/>
      <c r="KJ5" s="55"/>
      <c r="KK5" s="55"/>
      <c r="KL5" s="55"/>
      <c r="KM5" s="55"/>
      <c r="KN5" s="55"/>
      <c r="KO5" s="55"/>
      <c r="KP5" s="55"/>
      <c r="KQ5" s="55"/>
      <c r="KR5" s="55"/>
      <c r="KS5" s="55"/>
      <c r="KT5" s="55"/>
      <c r="KU5" s="55"/>
      <c r="KV5" s="55"/>
      <c r="KW5" s="55"/>
      <c r="KX5" s="55"/>
      <c r="KY5" s="55"/>
      <c r="KZ5" s="55"/>
      <c r="LA5" s="55"/>
      <c r="LB5" s="55"/>
      <c r="LC5" s="55"/>
      <c r="LD5" s="55"/>
      <c r="LE5" s="55"/>
      <c r="LF5" s="55"/>
      <c r="LG5" s="55"/>
      <c r="LH5" s="55"/>
      <c r="LI5" s="55"/>
      <c r="LJ5" s="55"/>
      <c r="LK5" s="55"/>
      <c r="LL5" s="55"/>
      <c r="LM5" s="55"/>
      <c r="LN5" s="55"/>
      <c r="LO5" s="55"/>
      <c r="LP5" s="55"/>
      <c r="LQ5" s="55"/>
      <c r="LR5" s="55"/>
      <c r="LS5" s="55"/>
      <c r="LT5" s="55"/>
      <c r="LU5" s="55"/>
      <c r="LV5" s="55"/>
      <c r="LW5" s="55"/>
      <c r="LX5" s="55"/>
      <c r="LY5" s="55"/>
      <c r="LZ5" s="55"/>
      <c r="MA5" s="55"/>
      <c r="MB5" s="55"/>
      <c r="MC5" s="55"/>
      <c r="MD5" s="55"/>
      <c r="ME5" s="55"/>
      <c r="MF5" s="55"/>
      <c r="MG5" s="55"/>
      <c r="MH5" s="55"/>
      <c r="MI5" s="55"/>
      <c r="MJ5" s="55"/>
      <c r="MK5" s="55"/>
      <c r="ML5" s="55"/>
      <c r="MM5" s="55"/>
      <c r="MN5" s="55"/>
      <c r="MO5" s="55"/>
      <c r="MP5" s="55"/>
      <c r="MQ5" s="55"/>
      <c r="MR5" s="55"/>
      <c r="MS5" s="55"/>
      <c r="MT5" s="55"/>
      <c r="MU5" s="55"/>
      <c r="MV5" s="55"/>
      <c r="MW5" s="55"/>
      <c r="MX5" s="55"/>
      <c r="MY5" s="55"/>
      <c r="MZ5" s="55"/>
      <c r="NA5" s="55"/>
      <c r="NB5" s="55"/>
      <c r="NC5" s="55"/>
      <c r="ND5" s="55"/>
      <c r="NE5" s="55"/>
      <c r="NF5" s="55"/>
      <c r="NG5" s="55"/>
      <c r="NH5" s="55"/>
      <c r="NI5" s="55"/>
      <c r="NJ5" s="55"/>
      <c r="NK5" s="55"/>
      <c r="NL5" s="55"/>
      <c r="NM5" s="55"/>
      <c r="NN5" s="55"/>
      <c r="NO5" s="55"/>
      <c r="NP5" s="55"/>
      <c r="NQ5" s="55"/>
      <c r="NR5" s="55"/>
      <c r="NS5" s="55"/>
      <c r="NT5" s="55"/>
      <c r="NU5" s="55"/>
      <c r="NV5" s="55"/>
      <c r="NW5" s="55"/>
      <c r="NX5" s="55"/>
      <c r="NY5" s="55"/>
      <c r="NZ5" s="55"/>
      <c r="OA5" s="55"/>
      <c r="OB5" s="55"/>
      <c r="OC5" s="55"/>
      <c r="OD5" s="55"/>
      <c r="OE5" s="55"/>
      <c r="OF5" s="55"/>
      <c r="OG5" s="55"/>
      <c r="OH5" s="55"/>
      <c r="OI5" s="55"/>
      <c r="OJ5" s="55"/>
      <c r="OK5" s="55"/>
      <c r="OL5" s="55"/>
      <c r="OM5" s="55"/>
      <c r="ON5" s="55"/>
      <c r="OO5" s="55"/>
      <c r="OP5" s="55"/>
      <c r="OQ5" s="55"/>
      <c r="OR5" s="55"/>
      <c r="OS5" s="55"/>
      <c r="OT5" s="55"/>
      <c r="OU5" s="55"/>
      <c r="OV5" s="55"/>
      <c r="OW5" s="55"/>
      <c r="OX5" s="55"/>
      <c r="OY5" s="55"/>
      <c r="OZ5" s="55"/>
      <c r="PA5" s="55"/>
      <c r="PB5" s="55"/>
      <c r="PC5" s="55"/>
      <c r="PD5" s="55"/>
      <c r="PE5" s="55"/>
      <c r="PF5" s="55"/>
      <c r="PG5" s="55"/>
      <c r="PH5" s="55"/>
      <c r="PI5" s="55"/>
      <c r="PJ5" s="55"/>
      <c r="PK5" s="55"/>
      <c r="PL5" s="55"/>
      <c r="PM5" s="55"/>
      <c r="PN5" s="55"/>
      <c r="PO5" s="55"/>
      <c r="PP5" s="55"/>
      <c r="PQ5" s="55"/>
      <c r="PR5" s="55"/>
      <c r="PS5" s="55"/>
      <c r="PT5" s="55"/>
      <c r="PU5" s="55"/>
      <c r="PV5" s="55"/>
      <c r="PW5" s="55"/>
      <c r="PX5" s="55"/>
      <c r="PY5" s="55"/>
      <c r="PZ5" s="55"/>
      <c r="QA5" s="55"/>
      <c r="QB5" s="55"/>
      <c r="QC5" s="55"/>
      <c r="QD5" s="55"/>
      <c r="QE5" s="55"/>
      <c r="QF5" s="55"/>
      <c r="QG5" s="55"/>
      <c r="QH5" s="55"/>
      <c r="QI5" s="55"/>
      <c r="QJ5" s="55"/>
      <c r="QK5" s="55"/>
      <c r="QL5" s="55"/>
      <c r="QM5" s="55"/>
      <c r="QN5" s="55"/>
      <c r="QO5" s="55"/>
      <c r="QP5" s="55"/>
      <c r="QQ5" s="55"/>
      <c r="QR5" s="55"/>
      <c r="QS5" s="55"/>
      <c r="QT5" s="55"/>
      <c r="QU5" s="55"/>
      <c r="QV5" s="55"/>
      <c r="QW5" s="55"/>
      <c r="QX5" s="55"/>
      <c r="QY5" s="55"/>
      <c r="QZ5" s="55"/>
      <c r="RA5" s="55"/>
      <c r="RB5" s="55"/>
      <c r="RC5" s="55"/>
      <c r="RD5" s="55"/>
      <c r="RE5" s="55"/>
      <c r="RF5" s="55"/>
      <c r="RG5" s="55"/>
      <c r="RH5" s="55"/>
      <c r="RI5" s="55"/>
      <c r="RJ5" s="55"/>
      <c r="RK5" s="55"/>
      <c r="RL5" s="55"/>
      <c r="RM5" s="55"/>
      <c r="RN5" s="55"/>
      <c r="RO5" s="55"/>
      <c r="RP5" s="55"/>
      <c r="RQ5" s="55"/>
      <c r="RR5" s="55"/>
      <c r="RS5" s="55"/>
      <c r="RT5" s="55"/>
      <c r="RU5" s="55"/>
      <c r="RV5" s="55"/>
      <c r="RW5" s="55"/>
      <c r="RX5" s="55"/>
      <c r="RY5" s="55"/>
      <c r="RZ5" s="55"/>
      <c r="SA5" s="55"/>
      <c r="SB5" s="55"/>
      <c r="SC5" s="55"/>
      <c r="SD5" s="55"/>
      <c r="SE5" s="55"/>
      <c r="SF5" s="55"/>
      <c r="SG5" s="55"/>
      <c r="SH5" s="55"/>
      <c r="SI5" s="55"/>
      <c r="SJ5" s="55"/>
      <c r="SK5" s="55"/>
      <c r="SL5" s="55"/>
      <c r="SM5" s="55"/>
      <c r="SN5" s="55"/>
      <c r="SO5" s="55"/>
      <c r="SP5" s="55"/>
      <c r="SQ5" s="55"/>
      <c r="SR5" s="55"/>
      <c r="SS5" s="55"/>
      <c r="ST5" s="55"/>
      <c r="SU5" s="55"/>
      <c r="SV5" s="55"/>
      <c r="SW5" s="55"/>
      <c r="SX5" s="55"/>
      <c r="SY5" s="55"/>
      <c r="SZ5" s="55"/>
      <c r="TA5" s="55"/>
      <c r="TB5" s="55"/>
      <c r="TC5" s="55"/>
      <c r="TD5" s="55"/>
      <c r="TE5" s="55"/>
      <c r="TF5" s="55"/>
      <c r="TG5" s="55"/>
      <c r="TH5" s="55"/>
      <c r="TI5" s="55"/>
      <c r="TJ5" s="55"/>
      <c r="TK5" s="55"/>
      <c r="TL5" s="55"/>
      <c r="TM5" s="55"/>
      <c r="TN5" s="55"/>
      <c r="TO5" s="55"/>
      <c r="TP5" s="55"/>
      <c r="TQ5" s="55"/>
      <c r="TR5" s="55"/>
      <c r="TS5" s="55"/>
      <c r="TT5" s="55"/>
      <c r="TU5" s="55"/>
      <c r="TV5" s="55"/>
      <c r="TW5" s="55"/>
      <c r="TX5" s="55"/>
      <c r="TY5" s="55"/>
      <c r="TZ5" s="55"/>
      <c r="UA5" s="55"/>
      <c r="UB5" s="55"/>
      <c r="UC5" s="55"/>
      <c r="UD5" s="55"/>
      <c r="UE5" s="55"/>
      <c r="UF5" s="55"/>
      <c r="UG5" s="55"/>
      <c r="UH5" s="55"/>
      <c r="UI5" s="55"/>
      <c r="UJ5" s="55"/>
      <c r="UK5" s="55"/>
      <c r="UL5" s="55"/>
      <c r="UM5" s="55"/>
      <c r="UN5" s="55"/>
      <c r="UO5" s="55"/>
      <c r="UP5" s="55"/>
      <c r="UQ5" s="55"/>
      <c r="UR5" s="55"/>
      <c r="US5" s="55"/>
      <c r="UT5" s="55"/>
      <c r="UU5" s="55"/>
      <c r="UV5" s="55"/>
      <c r="UW5" s="55"/>
      <c r="UX5" s="55"/>
      <c r="UY5" s="55"/>
      <c r="UZ5" s="55"/>
      <c r="VA5" s="55"/>
      <c r="VB5" s="55"/>
      <c r="VC5" s="55"/>
      <c r="VD5" s="55"/>
      <c r="VE5" s="55"/>
      <c r="VF5" s="55"/>
      <c r="VG5" s="55"/>
      <c r="VH5" s="55"/>
      <c r="VI5" s="55"/>
      <c r="VJ5" s="55"/>
      <c r="VK5" s="55"/>
      <c r="VL5" s="55"/>
      <c r="VM5" s="55"/>
      <c r="VN5" s="55"/>
      <c r="VO5" s="55"/>
      <c r="VP5" s="55"/>
      <c r="VQ5" s="55"/>
      <c r="VR5" s="55"/>
      <c r="VS5" s="55"/>
      <c r="VT5" s="55"/>
      <c r="VU5" s="55"/>
      <c r="VV5" s="55"/>
      <c r="VW5" s="55"/>
      <c r="VX5" s="55"/>
      <c r="VY5" s="55"/>
      <c r="VZ5" s="55"/>
      <c r="WA5" s="55"/>
      <c r="WB5" s="55"/>
      <c r="WC5" s="55"/>
      <c r="WD5" s="55"/>
      <c r="WE5" s="55"/>
      <c r="WF5" s="55"/>
      <c r="WG5" s="55"/>
      <c r="WH5" s="55"/>
      <c r="WI5" s="55"/>
      <c r="WJ5" s="55"/>
      <c r="WK5" s="55"/>
      <c r="WL5" s="55"/>
      <c r="WM5" s="55"/>
      <c r="WN5" s="55"/>
      <c r="WO5" s="55"/>
      <c r="WP5" s="55"/>
      <c r="WQ5" s="55"/>
      <c r="WR5" s="55"/>
      <c r="WS5" s="55"/>
      <c r="WT5" s="55"/>
      <c r="WU5" s="55"/>
      <c r="WV5" s="55"/>
      <c r="WW5" s="55"/>
      <c r="WX5" s="55"/>
      <c r="WY5" s="55"/>
      <c r="WZ5" s="55"/>
      <c r="XA5" s="55"/>
      <c r="XB5" s="55"/>
      <c r="XC5" s="55"/>
      <c r="XD5" s="55"/>
      <c r="XE5" s="55"/>
      <c r="XF5" s="55"/>
      <c r="XG5" s="55"/>
      <c r="XH5" s="55"/>
      <c r="XI5" s="55"/>
      <c r="XJ5" s="55"/>
      <c r="XK5" s="55"/>
      <c r="XL5" s="55"/>
      <c r="XM5" s="55"/>
      <c r="XN5" s="55"/>
      <c r="XO5" s="55"/>
      <c r="XP5" s="55"/>
      <c r="XQ5" s="55"/>
      <c r="XR5" s="55"/>
      <c r="XS5" s="55"/>
      <c r="XT5" s="55"/>
      <c r="XU5" s="55"/>
      <c r="XV5" s="55"/>
      <c r="XW5" s="55"/>
      <c r="XX5" s="55"/>
      <c r="XY5" s="55"/>
      <c r="XZ5" s="55"/>
      <c r="YA5" s="55"/>
      <c r="YB5" s="55"/>
      <c r="YC5" s="55"/>
      <c r="YD5" s="55"/>
      <c r="YE5" s="55"/>
      <c r="YF5" s="55"/>
      <c r="YG5" s="55"/>
      <c r="YH5" s="55"/>
      <c r="YI5" s="55"/>
      <c r="YJ5" s="55"/>
      <c r="YK5" s="55"/>
      <c r="YL5" s="55"/>
      <c r="YM5" s="55"/>
      <c r="YN5" s="55"/>
      <c r="YO5" s="55"/>
      <c r="YP5" s="55"/>
      <c r="YQ5" s="55"/>
      <c r="YR5" s="55"/>
      <c r="YS5" s="55"/>
      <c r="YT5" s="55"/>
      <c r="YU5" s="55"/>
      <c r="YV5" s="55"/>
      <c r="YW5" s="55"/>
      <c r="YX5" s="55"/>
      <c r="YY5" s="55"/>
      <c r="YZ5" s="55"/>
      <c r="ZA5" s="55"/>
      <c r="ZB5" s="55"/>
      <c r="ZC5" s="55"/>
      <c r="ZD5" s="55"/>
      <c r="ZE5" s="55"/>
      <c r="ZF5" s="55"/>
      <c r="ZG5" s="55"/>
      <c r="ZH5" s="55"/>
      <c r="ZI5" s="55"/>
      <c r="ZJ5" s="55"/>
      <c r="ZK5" s="55"/>
      <c r="ZL5" s="55"/>
      <c r="ZM5" s="55"/>
      <c r="ZN5" s="55"/>
      <c r="ZO5" s="55"/>
      <c r="ZP5" s="55"/>
      <c r="ZQ5" s="55"/>
      <c r="ZR5" s="55"/>
      <c r="ZS5" s="55"/>
      <c r="ZT5" s="55"/>
      <c r="ZU5" s="55"/>
      <c r="ZV5" s="55"/>
      <c r="ZW5" s="55"/>
      <c r="ZX5" s="55"/>
      <c r="ZY5" s="55"/>
      <c r="ZZ5" s="55"/>
      <c r="AAA5" s="55"/>
      <c r="AAB5" s="55"/>
      <c r="AAC5" s="55"/>
      <c r="AAD5" s="55"/>
      <c r="AAE5" s="55"/>
      <c r="AAF5" s="55"/>
      <c r="AAG5" s="55"/>
      <c r="AAH5" s="55"/>
      <c r="AAI5" s="55"/>
      <c r="AAJ5" s="55"/>
      <c r="AAK5" s="55"/>
      <c r="AAL5" s="55"/>
      <c r="AAM5" s="55"/>
      <c r="AAN5" s="55"/>
      <c r="AAO5" s="55"/>
      <c r="AAP5" s="55"/>
      <c r="AAQ5" s="55"/>
      <c r="AAR5" s="55"/>
      <c r="AAS5" s="55"/>
      <c r="AAT5" s="55"/>
      <c r="AAU5" s="55"/>
      <c r="AAV5" s="55"/>
      <c r="AAW5" s="55"/>
      <c r="AAX5" s="55"/>
      <c r="AAY5" s="55"/>
      <c r="AAZ5" s="55"/>
      <c r="ABA5" s="55"/>
      <c r="ABB5" s="55"/>
      <c r="ABC5" s="55"/>
      <c r="ABD5" s="55"/>
      <c r="ABE5" s="55"/>
      <c r="ABF5" s="55"/>
      <c r="ABG5" s="55"/>
      <c r="ABH5" s="55"/>
      <c r="ABI5" s="55"/>
      <c r="ABJ5" s="55"/>
      <c r="ABK5" s="55"/>
      <c r="ABL5" s="55"/>
      <c r="ABM5" s="55"/>
      <c r="ABN5" s="55"/>
      <c r="ABO5" s="55"/>
      <c r="ABP5" s="55"/>
      <c r="ABQ5" s="55"/>
      <c r="ABR5" s="55"/>
      <c r="ABS5" s="55"/>
      <c r="ABT5" s="55"/>
      <c r="ABU5" s="55"/>
      <c r="ABV5" s="55"/>
      <c r="ABW5" s="55"/>
      <c r="ABX5" s="55"/>
      <c r="ABY5" s="55"/>
      <c r="ABZ5" s="55"/>
      <c r="ACA5" s="55"/>
      <c r="ACB5" s="55"/>
      <c r="ACC5" s="55"/>
      <c r="ACD5" s="55"/>
      <c r="ACE5" s="55"/>
      <c r="ACF5" s="55"/>
      <c r="ACG5" s="55"/>
      <c r="ACH5" s="55"/>
      <c r="ACI5" s="55"/>
      <c r="ACJ5" s="55"/>
      <c r="ACK5" s="55"/>
      <c r="ACL5" s="55"/>
      <c r="ACM5" s="55"/>
      <c r="ACN5" s="55"/>
      <c r="ACO5" s="55"/>
      <c r="ACP5" s="55"/>
      <c r="ACQ5" s="55"/>
      <c r="ACR5" s="55"/>
      <c r="ACS5" s="55"/>
      <c r="ACT5" s="55"/>
      <c r="ACU5" s="55"/>
      <c r="ACV5" s="55"/>
      <c r="ACW5" s="55"/>
      <c r="ACX5" s="55"/>
      <c r="ACY5" s="55"/>
      <c r="ACZ5" s="55"/>
      <c r="ADA5" s="55"/>
      <c r="ADB5" s="55"/>
      <c r="ADC5" s="55"/>
      <c r="ADD5" s="55"/>
      <c r="ADE5" s="55"/>
      <c r="ADF5" s="55"/>
      <c r="ADG5" s="55"/>
      <c r="ADH5" s="55"/>
      <c r="ADI5" s="55"/>
      <c r="ADJ5" s="55"/>
      <c r="ADK5" s="55"/>
      <c r="ADL5" s="55"/>
      <c r="ADM5" s="55"/>
      <c r="ADN5" s="55"/>
      <c r="ADO5" s="55"/>
      <c r="ADP5" s="55"/>
      <c r="ADQ5" s="55"/>
      <c r="ADR5" s="55"/>
      <c r="ADS5" s="55"/>
      <c r="ADT5" s="55"/>
      <c r="ADU5" s="55"/>
      <c r="ADV5" s="55"/>
      <c r="ADW5" s="55"/>
      <c r="ADX5" s="55"/>
      <c r="ADY5" s="55"/>
      <c r="ADZ5" s="55"/>
      <c r="AEA5" s="55"/>
      <c r="AEB5" s="55"/>
      <c r="AEC5" s="55"/>
      <c r="AED5" s="55"/>
      <c r="AEE5" s="55"/>
      <c r="AEF5" s="55"/>
      <c r="AEG5" s="55"/>
      <c r="AEH5" s="55"/>
      <c r="AEI5" s="55"/>
      <c r="AEJ5" s="55"/>
      <c r="AEK5" s="55"/>
      <c r="AEL5" s="55"/>
      <c r="AEM5" s="55"/>
      <c r="AEN5" s="55"/>
      <c r="AEO5" s="55"/>
      <c r="AEP5" s="55"/>
      <c r="AEQ5" s="55"/>
      <c r="AER5" s="55"/>
      <c r="AES5" s="55"/>
      <c r="AET5" s="55"/>
      <c r="AEU5" s="55"/>
      <c r="AEV5" s="55"/>
      <c r="AEW5" s="55"/>
      <c r="AEX5" s="55"/>
      <c r="AEY5" s="55"/>
      <c r="AEZ5" s="55"/>
      <c r="AFA5" s="55"/>
      <c r="AFB5" s="55"/>
      <c r="AFC5" s="55"/>
      <c r="AFD5" s="55"/>
      <c r="AFE5" s="55"/>
      <c r="AFF5" s="55"/>
      <c r="AFG5" s="55"/>
      <c r="AFH5" s="55"/>
      <c r="AFI5" s="55"/>
      <c r="AFJ5" s="55"/>
      <c r="AFK5" s="55"/>
      <c r="AFL5" s="55"/>
      <c r="AFM5" s="55"/>
      <c r="AFN5" s="55"/>
      <c r="AFO5" s="55"/>
      <c r="AFP5" s="55"/>
      <c r="AFQ5" s="55"/>
      <c r="AFR5" s="55"/>
      <c r="AFS5" s="55"/>
      <c r="AFT5" s="55"/>
      <c r="AFU5" s="55"/>
      <c r="AFV5" s="55"/>
      <c r="AFW5" s="55"/>
      <c r="AFX5" s="55"/>
      <c r="AFY5" s="55"/>
      <c r="AFZ5" s="55"/>
      <c r="AGA5" s="55"/>
      <c r="AGB5" s="55"/>
      <c r="AGC5" s="55"/>
      <c r="AGD5" s="55"/>
      <c r="AGE5" s="55"/>
      <c r="AGF5" s="55"/>
      <c r="AGG5" s="55"/>
      <c r="AGH5" s="55"/>
      <c r="AGI5" s="55"/>
      <c r="AGJ5" s="55"/>
      <c r="AGK5" s="55"/>
      <c r="AGL5" s="55"/>
      <c r="AGM5" s="55"/>
      <c r="AGN5" s="55"/>
      <c r="AGO5" s="55"/>
      <c r="AGP5" s="55"/>
      <c r="AGQ5" s="55"/>
      <c r="AGR5" s="55"/>
      <c r="AGS5" s="55"/>
      <c r="AGT5" s="55"/>
      <c r="AGU5" s="55"/>
      <c r="AGV5" s="55"/>
      <c r="AGW5" s="55"/>
      <c r="AGX5" s="55"/>
      <c r="AGY5" s="55"/>
      <c r="AGZ5" s="55"/>
      <c r="AHA5" s="55"/>
      <c r="AHB5" s="55"/>
      <c r="AHC5" s="55"/>
      <c r="AHD5" s="55"/>
      <c r="AHE5" s="55"/>
      <c r="AHF5" s="55"/>
      <c r="AHG5" s="55"/>
      <c r="AHH5" s="55"/>
      <c r="AHI5" s="55"/>
      <c r="AHJ5" s="55"/>
      <c r="AHK5" s="55"/>
      <c r="AHL5" s="55"/>
      <c r="AHM5" s="55"/>
      <c r="AHN5" s="55"/>
      <c r="AHO5" s="55"/>
      <c r="AHP5" s="55"/>
      <c r="AHQ5" s="55"/>
      <c r="AHR5" s="55"/>
      <c r="AHS5" s="55"/>
      <c r="AHT5" s="55"/>
      <c r="AHU5" s="55"/>
      <c r="AHV5" s="55"/>
      <c r="AHW5" s="55"/>
      <c r="AHX5" s="55"/>
      <c r="AHY5" s="55"/>
      <c r="AHZ5" s="55"/>
      <c r="AIA5" s="55"/>
      <c r="AIB5" s="55"/>
      <c r="AIC5" s="55"/>
      <c r="AID5" s="55"/>
      <c r="AIE5" s="55"/>
      <c r="AIF5" s="55"/>
      <c r="AIG5" s="55"/>
      <c r="AIH5" s="55"/>
      <c r="AII5" s="55"/>
      <c r="AIJ5" s="55"/>
      <c r="AIK5" s="55"/>
      <c r="AIL5" s="55"/>
      <c r="AIM5" s="55"/>
      <c r="AIN5" s="55"/>
      <c r="AIO5" s="55"/>
      <c r="AIP5" s="55"/>
      <c r="AIQ5" s="55"/>
      <c r="AIR5" s="55"/>
      <c r="AIS5" s="55"/>
      <c r="AIT5" s="55"/>
      <c r="AIU5" s="55"/>
      <c r="AIV5" s="55"/>
      <c r="AIW5" s="55"/>
      <c r="AIX5" s="55"/>
      <c r="AIY5" s="55"/>
      <c r="AIZ5" s="55"/>
      <c r="AJA5" s="55"/>
      <c r="AJB5" s="55"/>
      <c r="AJC5" s="55"/>
      <c r="AJD5" s="55"/>
      <c r="AJE5" s="55"/>
      <c r="AJF5" s="55"/>
      <c r="AJG5" s="55"/>
      <c r="AJH5" s="55"/>
      <c r="AJI5" s="55"/>
      <c r="AJJ5" s="55"/>
      <c r="AJK5" s="55"/>
      <c r="AJL5" s="55"/>
      <c r="AJM5" s="55"/>
      <c r="AJN5" s="55"/>
      <c r="AJO5" s="55"/>
      <c r="AJP5" s="55"/>
      <c r="AJQ5" s="55"/>
      <c r="AJR5" s="55"/>
      <c r="AJS5" s="55"/>
      <c r="AJT5" s="55"/>
      <c r="AJU5" s="55"/>
      <c r="AJV5" s="55"/>
      <c r="AJW5" s="55"/>
      <c r="AJX5" s="55"/>
      <c r="AJY5" s="55"/>
      <c r="AJZ5" s="55"/>
      <c r="AKA5" s="55"/>
      <c r="AKB5" s="55"/>
      <c r="AKC5" s="55"/>
      <c r="AKD5" s="55"/>
      <c r="AKE5" s="55"/>
      <c r="AKF5" s="55"/>
      <c r="AKG5" s="55"/>
      <c r="AKH5" s="55"/>
      <c r="AKI5" s="55"/>
      <c r="AKJ5" s="55"/>
      <c r="AKK5" s="55"/>
      <c r="AKL5" s="55"/>
      <c r="AKM5" s="55"/>
      <c r="AKN5" s="55"/>
      <c r="AKO5" s="55"/>
      <c r="AKP5" s="55"/>
      <c r="AKQ5" s="55"/>
      <c r="AKR5" s="55"/>
      <c r="AKS5" s="55"/>
      <c r="AKT5" s="55"/>
      <c r="AKU5" s="55"/>
      <c r="AKV5" s="55"/>
      <c r="AKW5" s="55"/>
      <c r="AKX5" s="55"/>
      <c r="AKY5" s="55"/>
      <c r="AKZ5" s="55"/>
      <c r="ALA5" s="55"/>
      <c r="ALB5" s="55"/>
      <c r="ALC5" s="55"/>
      <c r="ALD5" s="55"/>
      <c r="ALE5" s="55"/>
      <c r="ALF5" s="55"/>
      <c r="ALG5" s="55"/>
      <c r="ALH5" s="55"/>
      <c r="ALI5" s="55"/>
      <c r="ALJ5" s="55"/>
      <c r="ALK5" s="55"/>
      <c r="ALL5" s="55"/>
      <c r="ALM5" s="55"/>
      <c r="ALN5" s="55"/>
      <c r="ALO5" s="55"/>
      <c r="ALP5" s="55"/>
      <c r="ALQ5" s="55"/>
      <c r="ALR5" s="55"/>
      <c r="ALS5" s="55"/>
      <c r="ALT5" s="55"/>
      <c r="ALU5" s="55"/>
      <c r="ALV5" s="55"/>
      <c r="ALW5" s="55"/>
      <c r="ALX5" s="55"/>
      <c r="ALY5" s="55"/>
      <c r="ALZ5" s="55"/>
      <c r="AMA5" s="55"/>
      <c r="AMB5" s="55"/>
      <c r="AMC5" s="55"/>
      <c r="AMD5" s="55"/>
      <c r="AME5" s="55"/>
      <c r="AMF5" s="55"/>
      <c r="AMG5" s="55"/>
      <c r="AMH5" s="55"/>
      <c r="AMI5" s="55"/>
      <c r="AMJ5" s="55"/>
      <c r="AMK5" s="55"/>
      <c r="AML5" s="55"/>
      <c r="AMM5" s="55"/>
      <c r="AMN5" s="55"/>
      <c r="AMO5" s="55"/>
      <c r="AMP5" s="55"/>
      <c r="AMQ5" s="55"/>
      <c r="AMR5" s="55"/>
      <c r="AMS5" s="55"/>
      <c r="AMT5" s="55"/>
      <c r="AMU5" s="55"/>
      <c r="AMV5" s="55"/>
      <c r="AMW5" s="55"/>
      <c r="AMX5" s="55"/>
      <c r="AMY5" s="55"/>
      <c r="AMZ5" s="55"/>
      <c r="ANA5" s="55"/>
      <c r="ANB5" s="55"/>
      <c r="ANC5" s="55"/>
      <c r="AND5" s="55"/>
      <c r="ANE5" s="55"/>
      <c r="ANF5" s="55"/>
      <c r="ANG5" s="55"/>
      <c r="ANH5" s="55"/>
      <c r="ANI5" s="55"/>
      <c r="ANJ5" s="55"/>
      <c r="ANK5" s="55"/>
      <c r="ANL5" s="55"/>
      <c r="ANM5" s="55"/>
      <c r="ANN5" s="55"/>
      <c r="ANO5" s="55"/>
      <c r="ANP5" s="55"/>
      <c r="ANQ5" s="55"/>
      <c r="ANR5" s="55"/>
      <c r="ANS5" s="55"/>
      <c r="ANT5" s="55"/>
      <c r="ANU5" s="55"/>
      <c r="ANV5" s="55"/>
      <c r="ANW5" s="55"/>
      <c r="ANX5" s="55"/>
      <c r="ANY5" s="55"/>
      <c r="ANZ5" s="55"/>
      <c r="AOA5" s="55"/>
      <c r="AOB5" s="55"/>
      <c r="AOC5" s="55"/>
      <c r="AOD5" s="55"/>
      <c r="AOE5" s="55"/>
      <c r="AOF5" s="55"/>
      <c r="AOG5" s="55"/>
      <c r="AOH5" s="55"/>
      <c r="AOI5" s="55"/>
      <c r="AOJ5" s="55"/>
      <c r="AOK5" s="55"/>
      <c r="AOL5" s="55"/>
      <c r="AOM5" s="55"/>
      <c r="AON5" s="55"/>
      <c r="AOO5" s="55"/>
      <c r="AOP5" s="55"/>
      <c r="AOQ5" s="55"/>
      <c r="AOR5" s="55"/>
      <c r="AOS5" s="55"/>
      <c r="AOT5" s="55"/>
      <c r="AOU5" s="55"/>
      <c r="AOV5" s="55"/>
      <c r="AOW5" s="55"/>
      <c r="AOX5" s="55"/>
      <c r="AOY5" s="55"/>
      <c r="AOZ5" s="55"/>
      <c r="APA5" s="55"/>
      <c r="APB5" s="55"/>
      <c r="APC5" s="55"/>
      <c r="APD5" s="55"/>
      <c r="APE5" s="55"/>
      <c r="APF5" s="55"/>
      <c r="APG5" s="55"/>
      <c r="APH5" s="55"/>
      <c r="API5" s="55"/>
      <c r="APJ5" s="55"/>
      <c r="APK5" s="55"/>
      <c r="APL5" s="55"/>
      <c r="APM5" s="55"/>
      <c r="APN5" s="55"/>
      <c r="APO5" s="55"/>
      <c r="APP5" s="55"/>
      <c r="APQ5" s="55"/>
      <c r="APR5" s="55"/>
      <c r="APS5" s="55"/>
      <c r="APT5" s="55"/>
      <c r="APU5" s="55"/>
      <c r="APV5" s="55"/>
      <c r="APW5" s="55"/>
      <c r="APX5" s="55"/>
      <c r="APY5" s="55"/>
      <c r="APZ5" s="55"/>
      <c r="AQA5" s="55"/>
      <c r="AQB5" s="55"/>
      <c r="AQC5" s="55"/>
      <c r="AQD5" s="55"/>
      <c r="AQE5" s="55"/>
      <c r="AQF5" s="55"/>
      <c r="AQG5" s="55"/>
      <c r="AQH5" s="55"/>
      <c r="AQI5" s="55"/>
      <c r="AQJ5" s="55"/>
      <c r="AQK5" s="55"/>
      <c r="AQL5" s="55"/>
      <c r="AQM5" s="55"/>
      <c r="AQN5" s="55"/>
      <c r="AQO5" s="55"/>
      <c r="AQP5" s="55"/>
      <c r="AQQ5" s="55"/>
      <c r="AQR5" s="55"/>
      <c r="AQS5" s="55"/>
      <c r="AQT5" s="55"/>
      <c r="AQU5" s="55"/>
      <c r="AQV5" s="55"/>
      <c r="AQW5" s="55"/>
      <c r="AQX5" s="55"/>
      <c r="AQY5" s="55"/>
      <c r="AQZ5" s="55"/>
      <c r="ARA5" s="55"/>
      <c r="ARB5" s="55"/>
      <c r="ARC5" s="55"/>
      <c r="ARD5" s="55"/>
      <c r="ARE5" s="55"/>
      <c r="ARF5" s="55"/>
      <c r="ARG5" s="55"/>
      <c r="ARH5" s="55"/>
      <c r="ARI5" s="55"/>
      <c r="ARJ5" s="55"/>
      <c r="ARK5" s="55"/>
      <c r="ARL5" s="55"/>
      <c r="ARM5" s="55"/>
      <c r="ARN5" s="55"/>
      <c r="ARO5" s="55"/>
      <c r="ARP5" s="55"/>
      <c r="ARQ5" s="55"/>
      <c r="ARR5" s="55"/>
      <c r="ARS5" s="55"/>
      <c r="ART5" s="55"/>
      <c r="ARU5" s="55"/>
      <c r="ARV5" s="55"/>
      <c r="ARW5" s="55"/>
      <c r="ARX5" s="55"/>
      <c r="ARY5" s="55"/>
      <c r="ARZ5" s="55"/>
      <c r="ASA5" s="55"/>
      <c r="ASB5" s="55"/>
      <c r="ASC5" s="55"/>
      <c r="ASD5" s="55"/>
      <c r="ASE5" s="55"/>
      <c r="ASF5" s="55"/>
      <c r="ASG5" s="55"/>
      <c r="ASH5" s="55"/>
      <c r="ASI5" s="55"/>
      <c r="ASJ5" s="55"/>
      <c r="ASK5" s="55"/>
      <c r="ASL5" s="55"/>
      <c r="ASM5" s="55"/>
      <c r="ASN5" s="55"/>
      <c r="ASO5" s="55"/>
      <c r="ASP5" s="55"/>
      <c r="ASQ5" s="55"/>
      <c r="ASR5" s="55"/>
      <c r="ASS5" s="55"/>
      <c r="AST5" s="55"/>
      <c r="ASU5" s="55"/>
      <c r="ASV5" s="55"/>
      <c r="ASW5" s="55"/>
      <c r="ASX5" s="55"/>
      <c r="ASY5" s="55"/>
      <c r="ASZ5" s="55"/>
      <c r="ATA5" s="55"/>
      <c r="ATB5" s="55"/>
      <c r="ATC5" s="55"/>
      <c r="ATD5" s="55"/>
      <c r="ATE5" s="55"/>
      <c r="ATF5" s="55"/>
      <c r="ATG5" s="55"/>
      <c r="ATH5" s="55"/>
      <c r="ATI5" s="55"/>
      <c r="ATJ5" s="55"/>
      <c r="ATK5" s="55"/>
      <c r="ATL5" s="55"/>
      <c r="ATM5" s="55"/>
      <c r="ATN5" s="55"/>
      <c r="ATO5" s="55"/>
      <c r="ATP5" s="55"/>
      <c r="ATQ5" s="55"/>
      <c r="ATR5" s="55"/>
      <c r="ATS5" s="55"/>
      <c r="ATT5" s="55"/>
      <c r="ATU5" s="55"/>
      <c r="ATV5" s="55"/>
      <c r="ATW5" s="55"/>
      <c r="ATX5" s="55"/>
      <c r="ATY5" s="55"/>
      <c r="ATZ5" s="55"/>
      <c r="AUA5" s="55"/>
      <c r="AUB5" s="55"/>
      <c r="AUC5" s="55"/>
      <c r="AUD5" s="55"/>
      <c r="AUE5" s="55"/>
      <c r="AUF5" s="55"/>
      <c r="AUG5" s="55"/>
      <c r="AUH5" s="55"/>
      <c r="AUI5" s="55"/>
      <c r="AUJ5" s="55"/>
      <c r="AUK5" s="55"/>
      <c r="AUL5" s="55"/>
      <c r="AUM5" s="55"/>
      <c r="AUN5" s="55"/>
      <c r="AUO5" s="55"/>
      <c r="AUP5" s="55"/>
      <c r="AUQ5" s="55"/>
      <c r="AUR5" s="55"/>
      <c r="AUS5" s="55"/>
      <c r="AUT5" s="55"/>
      <c r="AUU5" s="55"/>
      <c r="AUV5" s="55"/>
      <c r="AUW5" s="55"/>
      <c r="AUX5" s="55"/>
      <c r="AUY5" s="55"/>
      <c r="AUZ5" s="55"/>
      <c r="AVA5" s="55"/>
      <c r="AVB5" s="55"/>
      <c r="AVC5" s="55"/>
      <c r="AVD5" s="55"/>
      <c r="AVE5" s="55"/>
      <c r="AVF5" s="55"/>
      <c r="AVG5" s="55"/>
      <c r="AVH5" s="55"/>
      <c r="AVI5" s="55"/>
      <c r="AVJ5" s="55"/>
      <c r="AVK5" s="55"/>
      <c r="AVL5" s="55"/>
      <c r="AVM5" s="55"/>
      <c r="AVN5" s="55"/>
      <c r="AVO5" s="55"/>
      <c r="AVP5" s="55"/>
      <c r="AVQ5" s="55"/>
      <c r="AVR5" s="55"/>
      <c r="AVS5" s="55"/>
      <c r="AVT5" s="55"/>
      <c r="AVU5" s="55"/>
      <c r="AVV5" s="55"/>
      <c r="AVW5" s="55"/>
      <c r="AVX5" s="55"/>
      <c r="AVY5" s="55"/>
      <c r="AVZ5" s="55"/>
      <c r="AWA5" s="55"/>
      <c r="AWB5" s="55"/>
      <c r="AWC5" s="55"/>
      <c r="AWD5" s="55"/>
      <c r="AWE5" s="55"/>
      <c r="AWF5" s="55"/>
      <c r="AWG5" s="55"/>
      <c r="AWH5" s="55"/>
      <c r="AWI5" s="55"/>
      <c r="AWJ5" s="55"/>
      <c r="AWK5" s="55"/>
      <c r="AWL5" s="55"/>
      <c r="AWM5" s="55"/>
      <c r="AWN5" s="55"/>
      <c r="AWO5" s="55"/>
      <c r="AWP5" s="55"/>
      <c r="AWQ5" s="55"/>
      <c r="AWR5" s="55"/>
      <c r="AWS5" s="55"/>
      <c r="AWT5" s="55"/>
      <c r="AWU5" s="55"/>
      <c r="AWV5" s="55"/>
      <c r="AWW5" s="55"/>
      <c r="AWX5" s="55"/>
      <c r="AWY5" s="55"/>
      <c r="AWZ5" s="55"/>
      <c r="AXA5" s="55"/>
      <c r="AXB5" s="55"/>
      <c r="AXC5" s="55"/>
      <c r="AXD5" s="55"/>
      <c r="AXE5" s="55"/>
      <c r="AXF5" s="55"/>
      <c r="AXG5" s="55"/>
      <c r="AXH5" s="55"/>
      <c r="AXI5" s="55"/>
      <c r="AXJ5" s="55"/>
      <c r="AXK5" s="55"/>
      <c r="AXL5" s="55"/>
      <c r="AXM5" s="55"/>
      <c r="AXN5" s="55"/>
      <c r="AXO5" s="55"/>
      <c r="AXP5" s="55"/>
      <c r="AXQ5" s="55"/>
      <c r="AXR5" s="55"/>
      <c r="AXS5" s="55"/>
      <c r="AXT5" s="55"/>
      <c r="AXU5" s="55"/>
      <c r="AXV5" s="55"/>
      <c r="AXW5" s="55"/>
      <c r="AXX5" s="55"/>
      <c r="AXY5" s="55"/>
      <c r="AXZ5" s="55"/>
      <c r="AYA5" s="55"/>
      <c r="AYB5" s="55"/>
      <c r="AYC5" s="55"/>
      <c r="AYD5" s="55"/>
      <c r="AYE5" s="55"/>
      <c r="AYF5" s="55"/>
      <c r="AYG5" s="55"/>
      <c r="AYH5" s="55"/>
      <c r="AYI5" s="55"/>
      <c r="AYJ5" s="55"/>
      <c r="AYK5" s="55"/>
      <c r="AYL5" s="55"/>
      <c r="AYM5" s="55"/>
      <c r="AYN5" s="55"/>
      <c r="AYO5" s="55"/>
      <c r="AYP5" s="55"/>
      <c r="AYQ5" s="55"/>
      <c r="AYR5" s="55"/>
      <c r="AYS5" s="55"/>
      <c r="AYT5" s="55"/>
      <c r="AYU5" s="55"/>
      <c r="AYV5" s="55"/>
      <c r="AYW5" s="55"/>
      <c r="AYX5" s="55"/>
      <c r="AYY5" s="55"/>
      <c r="AYZ5" s="55"/>
      <c r="AZA5" s="55"/>
      <c r="AZB5" s="55"/>
      <c r="AZC5" s="55"/>
      <c r="AZD5" s="55"/>
      <c r="AZE5" s="55"/>
      <c r="AZF5" s="55"/>
      <c r="AZG5" s="55"/>
      <c r="AZH5" s="55"/>
      <c r="AZI5" s="55"/>
      <c r="AZJ5" s="55"/>
      <c r="AZK5" s="55"/>
      <c r="AZL5" s="55"/>
      <c r="AZM5" s="55"/>
      <c r="AZN5" s="55"/>
      <c r="AZO5" s="55"/>
      <c r="AZP5" s="55"/>
      <c r="AZQ5" s="55"/>
      <c r="AZR5" s="55"/>
      <c r="AZS5" s="55"/>
      <c r="AZT5" s="55"/>
      <c r="AZU5" s="55"/>
      <c r="AZV5" s="55"/>
      <c r="AZW5" s="55"/>
      <c r="AZX5" s="55"/>
      <c r="AZY5" s="55"/>
      <c r="AZZ5" s="55"/>
      <c r="BAA5" s="55"/>
      <c r="BAB5" s="55"/>
      <c r="BAC5" s="55"/>
      <c r="BAD5" s="55"/>
      <c r="BAE5" s="55"/>
      <c r="BAF5" s="55"/>
      <c r="BAG5" s="55"/>
      <c r="BAH5" s="55"/>
      <c r="BAI5" s="55"/>
      <c r="BAJ5" s="55"/>
      <c r="BAK5" s="55"/>
      <c r="BAL5" s="55"/>
      <c r="BAM5" s="55"/>
      <c r="BAN5" s="55"/>
      <c r="BAO5" s="55"/>
      <c r="BAP5" s="55"/>
      <c r="BAQ5" s="55"/>
      <c r="BAR5" s="55"/>
      <c r="BAS5" s="55"/>
      <c r="BAT5" s="55"/>
      <c r="BAU5" s="55"/>
      <c r="BAV5" s="55"/>
      <c r="BAW5" s="55"/>
      <c r="BAX5" s="55"/>
      <c r="BAY5" s="55"/>
      <c r="BAZ5" s="55"/>
      <c r="BBA5" s="55"/>
      <c r="BBB5" s="55"/>
      <c r="BBC5" s="55"/>
      <c r="BBD5" s="55"/>
      <c r="BBE5" s="55"/>
      <c r="BBF5" s="55"/>
      <c r="BBG5" s="55"/>
      <c r="BBH5" s="55"/>
      <c r="BBI5" s="55"/>
      <c r="BBJ5" s="55"/>
      <c r="BBK5" s="55"/>
      <c r="BBL5" s="55"/>
      <c r="BBM5" s="55"/>
      <c r="BBN5" s="55"/>
      <c r="BBO5" s="55"/>
      <c r="BBP5" s="55"/>
      <c r="BBQ5" s="55"/>
      <c r="BBR5" s="55"/>
      <c r="BBS5" s="55"/>
      <c r="BBT5" s="55"/>
      <c r="BBU5" s="55"/>
      <c r="BBV5" s="55"/>
      <c r="BBW5" s="55"/>
      <c r="BBX5" s="55"/>
      <c r="BBY5" s="55"/>
      <c r="BBZ5" s="55"/>
      <c r="BCA5" s="55"/>
      <c r="BCB5" s="55"/>
      <c r="BCC5" s="55"/>
      <c r="BCD5" s="55"/>
      <c r="BCE5" s="55"/>
      <c r="BCF5" s="55"/>
      <c r="BCG5" s="55"/>
      <c r="BCH5" s="55"/>
      <c r="BCI5" s="55"/>
      <c r="BCJ5" s="55"/>
      <c r="BCK5" s="55"/>
      <c r="BCL5" s="55"/>
      <c r="BCM5" s="55"/>
      <c r="BCN5" s="55"/>
      <c r="BCO5" s="55"/>
      <c r="BCP5" s="55"/>
      <c r="BCQ5" s="55"/>
      <c r="BCR5" s="55"/>
      <c r="BCS5" s="55"/>
      <c r="BCT5" s="55"/>
      <c r="BCU5" s="55"/>
      <c r="BCV5" s="55"/>
      <c r="BCW5" s="55"/>
      <c r="BCX5" s="55"/>
      <c r="BCY5" s="55"/>
      <c r="BCZ5" s="55"/>
      <c r="BDA5" s="55"/>
      <c r="BDB5" s="55"/>
      <c r="BDC5" s="55"/>
      <c r="BDD5" s="55"/>
      <c r="BDE5" s="55"/>
      <c r="BDF5" s="55"/>
      <c r="BDG5" s="55"/>
      <c r="BDH5" s="55"/>
      <c r="BDI5" s="55"/>
      <c r="BDJ5" s="55"/>
      <c r="BDK5" s="55"/>
      <c r="BDL5" s="55"/>
      <c r="BDM5" s="55"/>
      <c r="BDN5" s="55"/>
      <c r="BDO5" s="55"/>
      <c r="BDP5" s="55"/>
      <c r="BDQ5" s="55"/>
      <c r="BDR5" s="55"/>
      <c r="BDS5" s="55"/>
      <c r="BDT5" s="55"/>
      <c r="BDU5" s="55"/>
      <c r="BDV5" s="55"/>
      <c r="BDW5" s="55"/>
      <c r="BDX5" s="55"/>
      <c r="BDY5" s="55"/>
      <c r="BDZ5" s="55"/>
      <c r="BEA5" s="55"/>
      <c r="BEB5" s="55"/>
      <c r="BEC5" s="55"/>
      <c r="BED5" s="55"/>
      <c r="BEE5" s="55"/>
      <c r="BEF5" s="55"/>
      <c r="BEG5" s="55"/>
      <c r="BEH5" s="55"/>
      <c r="BEI5" s="55"/>
      <c r="BEJ5" s="55"/>
      <c r="BEK5" s="55"/>
      <c r="BEL5" s="55"/>
      <c r="BEM5" s="55"/>
      <c r="BEN5" s="55"/>
      <c r="BEO5" s="55"/>
      <c r="BEP5" s="55"/>
      <c r="BEQ5" s="55"/>
      <c r="BER5" s="55"/>
      <c r="BES5" s="55"/>
      <c r="BET5" s="55"/>
      <c r="BEU5" s="55"/>
      <c r="BEV5" s="55"/>
      <c r="BEW5" s="55"/>
      <c r="BEX5" s="55"/>
      <c r="BEY5" s="55"/>
      <c r="BEZ5" s="55"/>
      <c r="BFA5" s="55"/>
      <c r="BFB5" s="55"/>
      <c r="BFC5" s="55"/>
      <c r="BFD5" s="55"/>
      <c r="BFE5" s="55"/>
      <c r="BFF5" s="55"/>
      <c r="BFG5" s="55"/>
      <c r="BFH5" s="55"/>
      <c r="BFI5" s="55"/>
      <c r="BFJ5" s="55"/>
      <c r="BFK5" s="55"/>
      <c r="BFL5" s="55"/>
      <c r="BFM5" s="55"/>
      <c r="BFN5" s="55"/>
      <c r="BFO5" s="55"/>
      <c r="BFP5" s="55"/>
      <c r="BFQ5" s="55"/>
      <c r="BFR5" s="55"/>
      <c r="BFS5" s="55"/>
      <c r="BFT5" s="55"/>
      <c r="BFU5" s="55"/>
      <c r="BFV5" s="55"/>
      <c r="BFW5" s="55"/>
      <c r="BFX5" s="55"/>
      <c r="BFY5" s="55"/>
      <c r="BFZ5" s="55"/>
      <c r="BGA5" s="55"/>
      <c r="BGB5" s="55"/>
      <c r="BGC5" s="55"/>
      <c r="BGD5" s="55"/>
      <c r="BGE5" s="55"/>
      <c r="BGF5" s="55"/>
      <c r="BGG5" s="55"/>
      <c r="BGH5" s="55"/>
      <c r="BGI5" s="55"/>
      <c r="BGJ5" s="55"/>
      <c r="BGK5" s="55"/>
      <c r="BGL5" s="55"/>
      <c r="BGM5" s="55"/>
      <c r="BGN5" s="55"/>
      <c r="BGO5" s="55"/>
      <c r="BGP5" s="55"/>
      <c r="BGQ5" s="55"/>
      <c r="BGR5" s="55"/>
      <c r="BGS5" s="55"/>
      <c r="BGT5" s="55"/>
      <c r="BGU5" s="55"/>
      <c r="BGV5" s="55"/>
      <c r="BGW5" s="55"/>
      <c r="BGX5" s="55"/>
      <c r="BGY5" s="55"/>
      <c r="BGZ5" s="55"/>
      <c r="BHA5" s="55"/>
      <c r="BHB5" s="55"/>
      <c r="BHC5" s="55"/>
      <c r="BHD5" s="55"/>
      <c r="BHE5" s="55"/>
      <c r="BHF5" s="55"/>
      <c r="BHG5" s="55"/>
      <c r="BHH5" s="55"/>
      <c r="BHI5" s="55"/>
      <c r="BHJ5" s="55"/>
      <c r="BHK5" s="55"/>
      <c r="BHL5" s="55"/>
      <c r="BHM5" s="55"/>
      <c r="BHN5" s="55"/>
      <c r="BHO5" s="55"/>
      <c r="BHP5" s="55"/>
      <c r="BHQ5" s="55"/>
      <c r="BHR5" s="55"/>
      <c r="BHS5" s="55"/>
      <c r="BHT5" s="55"/>
      <c r="BHU5" s="55"/>
      <c r="BHV5" s="55"/>
      <c r="BHW5" s="55"/>
      <c r="BHX5" s="55"/>
      <c r="BHY5" s="55"/>
      <c r="BHZ5" s="55"/>
      <c r="BIA5" s="55"/>
      <c r="BIB5" s="55"/>
      <c r="BIC5" s="55"/>
      <c r="BID5" s="55"/>
      <c r="BIE5" s="55"/>
      <c r="BIF5" s="55"/>
      <c r="BIG5" s="55"/>
      <c r="BIH5" s="55"/>
      <c r="BII5" s="55"/>
      <c r="BIJ5" s="55"/>
      <c r="BIK5" s="55"/>
      <c r="BIL5" s="55"/>
      <c r="BIM5" s="55"/>
      <c r="BIN5" s="55"/>
      <c r="BIO5" s="55"/>
      <c r="BIP5" s="55"/>
      <c r="BIQ5" s="55"/>
      <c r="BIR5" s="55"/>
      <c r="BIS5" s="55"/>
      <c r="BIT5" s="55"/>
      <c r="BIU5" s="55"/>
      <c r="BIV5" s="55"/>
      <c r="BIW5" s="55"/>
      <c r="BIX5" s="55"/>
      <c r="BIY5" s="55"/>
      <c r="BIZ5" s="55"/>
      <c r="BJA5" s="55"/>
      <c r="BJB5" s="55"/>
      <c r="BJC5" s="55"/>
      <c r="BJD5" s="55"/>
      <c r="BJE5" s="55"/>
      <c r="BJF5" s="55"/>
      <c r="BJG5" s="55"/>
      <c r="BJH5" s="55"/>
      <c r="BJI5" s="55"/>
      <c r="BJJ5" s="55"/>
      <c r="BJK5" s="55"/>
      <c r="BJL5" s="55"/>
      <c r="BJM5" s="55"/>
      <c r="BJN5" s="55"/>
      <c r="BJO5" s="55"/>
      <c r="BJP5" s="55"/>
      <c r="BJQ5" s="55"/>
      <c r="BJR5" s="55"/>
      <c r="BJS5" s="55"/>
      <c r="BJT5" s="55"/>
      <c r="BJU5" s="55"/>
      <c r="BJV5" s="55"/>
      <c r="BJW5" s="55"/>
      <c r="BJX5" s="55"/>
      <c r="BJY5" s="55"/>
      <c r="BJZ5" s="55"/>
      <c r="BKA5" s="55"/>
      <c r="BKB5" s="55"/>
      <c r="BKC5" s="55"/>
      <c r="BKD5" s="55"/>
      <c r="BKE5" s="55"/>
      <c r="BKF5" s="55"/>
      <c r="BKG5" s="55"/>
      <c r="BKH5" s="55"/>
      <c r="BKI5" s="55"/>
      <c r="BKJ5" s="55"/>
      <c r="BKK5" s="55"/>
      <c r="BKL5" s="55"/>
      <c r="BKM5" s="55"/>
      <c r="BKN5" s="55"/>
      <c r="BKO5" s="55"/>
      <c r="BKP5" s="55"/>
      <c r="BKQ5" s="55"/>
      <c r="BKR5" s="55"/>
      <c r="BKS5" s="55"/>
      <c r="BKT5" s="55"/>
      <c r="BKU5" s="55"/>
      <c r="BKV5" s="55"/>
      <c r="BKW5" s="55"/>
      <c r="BKX5" s="55"/>
      <c r="BKY5" s="55"/>
      <c r="BKZ5" s="55"/>
      <c r="BLA5" s="55"/>
      <c r="BLB5" s="55"/>
      <c r="BLC5" s="55"/>
      <c r="BLD5" s="55"/>
      <c r="BLE5" s="55"/>
      <c r="BLF5" s="55"/>
      <c r="BLG5" s="55"/>
      <c r="BLH5" s="55"/>
      <c r="BLI5" s="55"/>
      <c r="BLJ5" s="55"/>
      <c r="BLK5" s="55"/>
      <c r="BLL5" s="55"/>
      <c r="BLM5" s="55"/>
      <c r="BLN5" s="55"/>
      <c r="BLO5" s="55"/>
      <c r="BLP5" s="55"/>
      <c r="BLQ5" s="55"/>
      <c r="BLR5" s="55"/>
      <c r="BLS5" s="55"/>
      <c r="BLT5" s="55"/>
      <c r="BLU5" s="55"/>
      <c r="BLV5" s="55"/>
      <c r="BLW5" s="55"/>
      <c r="BLX5" s="55"/>
      <c r="BLY5" s="55"/>
      <c r="BLZ5" s="55"/>
      <c r="BMA5" s="55"/>
      <c r="BMB5" s="55"/>
      <c r="BMC5" s="55"/>
      <c r="BMD5" s="55"/>
      <c r="BME5" s="55"/>
      <c r="BMF5" s="55"/>
      <c r="BMG5" s="55"/>
      <c r="BMH5" s="55"/>
      <c r="BMI5" s="55"/>
      <c r="BMJ5" s="55"/>
      <c r="BMK5" s="55"/>
      <c r="BML5" s="55"/>
      <c r="BMM5" s="55"/>
      <c r="BMN5" s="55"/>
      <c r="BMO5" s="55"/>
      <c r="BMP5" s="55"/>
      <c r="BMQ5" s="55"/>
      <c r="BMR5" s="55"/>
      <c r="BMS5" s="55"/>
      <c r="BMT5" s="55"/>
      <c r="BMU5" s="55"/>
      <c r="BMV5" s="55"/>
      <c r="BMW5" s="55"/>
      <c r="BMX5" s="55"/>
      <c r="BMY5" s="55"/>
      <c r="BMZ5" s="55"/>
      <c r="BNA5" s="55"/>
      <c r="BNB5" s="55"/>
      <c r="BNC5" s="55"/>
      <c r="BND5" s="55"/>
      <c r="BNE5" s="55"/>
      <c r="BNF5" s="55"/>
      <c r="BNG5" s="55"/>
      <c r="BNH5" s="55"/>
      <c r="BNI5" s="55"/>
      <c r="BNJ5" s="55"/>
      <c r="BNK5" s="55"/>
      <c r="BNL5" s="55"/>
      <c r="BNM5" s="55"/>
      <c r="BNN5" s="55"/>
      <c r="BNO5" s="55"/>
      <c r="BNP5" s="55"/>
      <c r="BNQ5" s="55"/>
      <c r="BNR5" s="55"/>
      <c r="BNS5" s="55"/>
      <c r="BNT5" s="55"/>
      <c r="BNU5" s="55"/>
      <c r="BNV5" s="55"/>
      <c r="BNW5" s="55"/>
      <c r="BNX5" s="55"/>
      <c r="BNY5" s="55"/>
      <c r="BNZ5" s="55"/>
      <c r="BOA5" s="55"/>
      <c r="BOB5" s="55"/>
      <c r="BOC5" s="55"/>
      <c r="BOD5" s="55"/>
      <c r="BOE5" s="55"/>
      <c r="BOF5" s="55"/>
      <c r="BOG5" s="55"/>
      <c r="BOH5" s="55"/>
      <c r="BOI5" s="55"/>
      <c r="BOJ5" s="55"/>
      <c r="BOK5" s="55"/>
      <c r="BOL5" s="55"/>
      <c r="BOM5" s="55"/>
      <c r="BON5" s="55"/>
      <c r="BOO5" s="55"/>
      <c r="BOP5" s="55"/>
      <c r="BOQ5" s="55"/>
      <c r="BOR5" s="55"/>
      <c r="BOS5" s="55"/>
      <c r="BOT5" s="55"/>
      <c r="BOU5" s="55"/>
      <c r="BOV5" s="55"/>
      <c r="BOW5" s="55"/>
      <c r="BOX5" s="55"/>
      <c r="BOY5" s="55"/>
      <c r="BOZ5" s="55"/>
      <c r="BPA5" s="55"/>
      <c r="BPB5" s="55"/>
      <c r="BPC5" s="55"/>
      <c r="BPD5" s="55"/>
      <c r="BPE5" s="55"/>
      <c r="BPF5" s="55"/>
      <c r="BPG5" s="55"/>
      <c r="BPH5" s="55"/>
      <c r="BPI5" s="55"/>
      <c r="BPJ5" s="55"/>
      <c r="BPK5" s="55"/>
      <c r="BPL5" s="55"/>
      <c r="BPM5" s="55"/>
      <c r="BPN5" s="55"/>
      <c r="BPO5" s="55"/>
      <c r="BPP5" s="55"/>
      <c r="BPQ5" s="55"/>
      <c r="BPR5" s="55"/>
      <c r="BPS5" s="55"/>
      <c r="BPT5" s="55"/>
      <c r="BPU5" s="55"/>
      <c r="BPV5" s="55"/>
      <c r="BPW5" s="55"/>
      <c r="BPX5" s="55"/>
      <c r="BPY5" s="55"/>
      <c r="BPZ5" s="55"/>
      <c r="BQA5" s="55"/>
      <c r="BQB5" s="55"/>
      <c r="BQC5" s="55"/>
      <c r="BQD5" s="55"/>
      <c r="BQE5" s="55"/>
      <c r="BQF5" s="55"/>
      <c r="BQG5" s="55"/>
      <c r="BQH5" s="55"/>
      <c r="BQI5" s="55"/>
      <c r="BQJ5" s="55"/>
      <c r="BQK5" s="55"/>
      <c r="BQL5" s="55"/>
      <c r="BQM5" s="55"/>
      <c r="BQN5" s="55"/>
      <c r="BQO5" s="55"/>
      <c r="BQP5" s="55"/>
      <c r="BQQ5" s="55"/>
      <c r="BQR5" s="55"/>
      <c r="BQS5" s="55"/>
      <c r="BQT5" s="55"/>
      <c r="BQU5" s="55"/>
      <c r="BQV5" s="55"/>
      <c r="BQW5" s="55"/>
      <c r="BQX5" s="55"/>
      <c r="BQY5" s="55"/>
      <c r="BQZ5" s="55"/>
      <c r="BRA5" s="55"/>
      <c r="BRB5" s="55"/>
      <c r="BRC5" s="55"/>
      <c r="BRD5" s="55"/>
      <c r="BRE5" s="55"/>
      <c r="BRF5" s="55"/>
      <c r="BRG5" s="55"/>
      <c r="BRH5" s="55"/>
      <c r="BRI5" s="55"/>
      <c r="BRJ5" s="55"/>
      <c r="BRK5" s="55"/>
      <c r="BRL5" s="55"/>
      <c r="BRM5" s="55"/>
      <c r="BRN5" s="55"/>
      <c r="BRO5" s="55"/>
      <c r="BRP5" s="55"/>
      <c r="BRQ5" s="55"/>
      <c r="BRR5" s="55"/>
      <c r="BRS5" s="55"/>
      <c r="BRT5" s="55"/>
      <c r="BRU5" s="55"/>
      <c r="BRV5" s="55"/>
      <c r="BRW5" s="55"/>
      <c r="BRX5" s="55"/>
      <c r="BRY5" s="55"/>
      <c r="BRZ5" s="55"/>
      <c r="BSA5" s="55"/>
      <c r="BSB5" s="55"/>
      <c r="BSC5" s="55"/>
      <c r="BSD5" s="55"/>
      <c r="BSE5" s="55"/>
      <c r="BSF5" s="55"/>
      <c r="BSG5" s="55"/>
      <c r="BSH5" s="55"/>
      <c r="BSI5" s="55"/>
      <c r="BSJ5" s="55"/>
      <c r="BSK5" s="55"/>
      <c r="BSL5" s="55"/>
      <c r="BSM5" s="55"/>
      <c r="BSN5" s="55"/>
      <c r="BSO5" s="55"/>
      <c r="BSP5" s="55"/>
      <c r="BSQ5" s="55"/>
      <c r="BSR5" s="55"/>
      <c r="BSS5" s="55"/>
      <c r="BST5" s="55"/>
      <c r="BSU5" s="55"/>
      <c r="BSV5" s="55"/>
      <c r="BSW5" s="55"/>
      <c r="BSX5" s="55"/>
      <c r="BSY5" s="55"/>
      <c r="BSZ5" s="55"/>
      <c r="BTA5" s="55"/>
      <c r="BTB5" s="55"/>
      <c r="BTC5" s="55"/>
      <c r="BTD5" s="55"/>
      <c r="BTE5" s="55"/>
      <c r="BTF5" s="55"/>
      <c r="BTG5" s="55"/>
      <c r="BTH5" s="55"/>
      <c r="BTI5" s="55"/>
      <c r="BTJ5" s="55"/>
      <c r="BTK5" s="55"/>
      <c r="BTL5" s="55"/>
      <c r="BTM5" s="55"/>
      <c r="BTN5" s="55"/>
      <c r="BTO5" s="55"/>
      <c r="BTP5" s="55"/>
      <c r="BTQ5" s="55"/>
      <c r="BTR5" s="55"/>
      <c r="BTS5" s="55"/>
      <c r="BTT5" s="55"/>
      <c r="BTU5" s="55"/>
      <c r="BTV5" s="55"/>
      <c r="BTW5" s="55"/>
      <c r="BTX5" s="55"/>
      <c r="BTY5" s="55"/>
      <c r="BTZ5" s="55"/>
      <c r="BUA5" s="55"/>
      <c r="BUB5" s="55"/>
      <c r="BUC5" s="55"/>
      <c r="BUD5" s="55"/>
      <c r="BUE5" s="55"/>
      <c r="BUF5" s="55"/>
      <c r="BUG5" s="55"/>
      <c r="BUH5" s="55"/>
      <c r="BUI5" s="55"/>
      <c r="BUJ5" s="55"/>
      <c r="BUK5" s="55"/>
      <c r="BUL5" s="55"/>
      <c r="BUM5" s="55"/>
      <c r="BUN5" s="55"/>
      <c r="BUO5" s="55"/>
      <c r="BUP5" s="55"/>
      <c r="BUQ5" s="55"/>
      <c r="BUR5" s="55"/>
      <c r="BUS5" s="55"/>
      <c r="BUT5" s="55"/>
      <c r="BUU5" s="55"/>
      <c r="BUV5" s="55"/>
      <c r="BUW5" s="55"/>
      <c r="BUX5" s="55"/>
      <c r="BUY5" s="55"/>
      <c r="BUZ5" s="55"/>
      <c r="BVA5" s="55"/>
      <c r="BVB5" s="55"/>
      <c r="BVC5" s="55"/>
      <c r="BVD5" s="55"/>
      <c r="BVE5" s="55"/>
      <c r="BVF5" s="55"/>
      <c r="BVG5" s="55"/>
      <c r="BVH5" s="55"/>
      <c r="BVI5" s="55"/>
      <c r="BVJ5" s="55"/>
      <c r="BVK5" s="55"/>
      <c r="BVL5" s="55"/>
      <c r="BVM5" s="55"/>
      <c r="BVN5" s="55"/>
      <c r="BVO5" s="55"/>
      <c r="BVP5" s="55"/>
      <c r="BVQ5" s="55"/>
      <c r="BVR5" s="55"/>
      <c r="BVS5" s="55"/>
      <c r="BVT5" s="55"/>
      <c r="BVU5" s="55"/>
      <c r="BVV5" s="55"/>
      <c r="BVW5" s="55"/>
      <c r="BVX5" s="55"/>
      <c r="BVY5" s="55"/>
      <c r="BVZ5" s="55"/>
      <c r="BWA5" s="55"/>
      <c r="BWB5" s="55"/>
      <c r="BWC5" s="55"/>
      <c r="BWD5" s="55"/>
      <c r="BWE5" s="55"/>
      <c r="BWF5" s="55"/>
      <c r="BWG5" s="55"/>
      <c r="BWH5" s="55"/>
      <c r="BWI5" s="55"/>
      <c r="BWJ5" s="55"/>
      <c r="BWK5" s="55"/>
      <c r="BWL5" s="55"/>
      <c r="BWM5" s="55"/>
      <c r="BWN5" s="55"/>
      <c r="BWO5" s="55"/>
      <c r="BWP5" s="55"/>
      <c r="BWQ5" s="55"/>
      <c r="BWR5" s="55"/>
      <c r="BWS5" s="55"/>
      <c r="BWT5" s="55"/>
      <c r="BWU5" s="55"/>
      <c r="BWV5" s="55"/>
      <c r="BWW5" s="55"/>
      <c r="BWX5" s="55"/>
      <c r="BWY5" s="55"/>
      <c r="BWZ5" s="55"/>
      <c r="BXA5" s="55"/>
      <c r="BXB5" s="55"/>
      <c r="BXC5" s="55"/>
      <c r="BXD5" s="55"/>
      <c r="BXE5" s="55"/>
      <c r="BXF5" s="55"/>
      <c r="BXG5" s="55"/>
      <c r="BXH5" s="55"/>
      <c r="BXI5" s="55"/>
      <c r="BXJ5" s="55"/>
      <c r="BXK5" s="55"/>
      <c r="BXL5" s="55"/>
      <c r="BXM5" s="55"/>
      <c r="BXN5" s="55"/>
      <c r="BXO5" s="55"/>
      <c r="BXP5" s="55"/>
      <c r="BXQ5" s="55"/>
      <c r="BXR5" s="55"/>
      <c r="BXS5" s="55"/>
      <c r="BXT5" s="55"/>
      <c r="BXU5" s="55"/>
      <c r="BXV5" s="55"/>
      <c r="BXW5" s="55"/>
      <c r="BXX5" s="55"/>
      <c r="BXY5" s="55"/>
      <c r="BXZ5" s="55"/>
      <c r="BYA5" s="55"/>
      <c r="BYB5" s="55"/>
      <c r="BYC5" s="55"/>
      <c r="BYD5" s="55"/>
      <c r="BYE5" s="55"/>
      <c r="BYF5" s="55"/>
      <c r="BYG5" s="55"/>
      <c r="BYH5" s="55"/>
      <c r="BYI5" s="55"/>
      <c r="BYJ5" s="55"/>
      <c r="BYK5" s="55"/>
      <c r="BYL5" s="55"/>
      <c r="BYM5" s="55"/>
      <c r="BYN5" s="55"/>
      <c r="BYO5" s="55"/>
      <c r="BYP5" s="55"/>
      <c r="BYQ5" s="55"/>
      <c r="BYR5" s="55"/>
      <c r="BYS5" s="55"/>
      <c r="BYT5" s="55"/>
      <c r="BYU5" s="55"/>
      <c r="BYV5" s="55"/>
      <c r="BYW5" s="55"/>
      <c r="BYX5" s="55"/>
      <c r="BYY5" s="55"/>
      <c r="BYZ5" s="55"/>
      <c r="BZA5" s="55"/>
      <c r="BZB5" s="55"/>
      <c r="BZC5" s="55"/>
      <c r="BZD5" s="55"/>
      <c r="BZE5" s="55"/>
      <c r="BZF5" s="55"/>
      <c r="BZG5" s="55"/>
      <c r="BZH5" s="55"/>
      <c r="BZI5" s="55"/>
      <c r="BZJ5" s="55"/>
      <c r="BZK5" s="55"/>
      <c r="BZL5" s="55"/>
      <c r="BZM5" s="55"/>
      <c r="BZN5" s="55"/>
      <c r="BZO5" s="55"/>
      <c r="BZP5" s="55"/>
      <c r="BZQ5" s="55"/>
      <c r="BZR5" s="55"/>
      <c r="BZS5" s="55"/>
      <c r="BZT5" s="55"/>
      <c r="BZU5" s="55"/>
      <c r="BZV5" s="55"/>
      <c r="BZW5" s="55"/>
      <c r="BZX5" s="55"/>
      <c r="BZY5" s="55"/>
      <c r="BZZ5" s="55"/>
      <c r="CAA5" s="55"/>
      <c r="CAB5" s="55"/>
      <c r="CAC5" s="55"/>
      <c r="CAD5" s="55"/>
      <c r="CAE5" s="55"/>
      <c r="CAF5" s="55"/>
      <c r="CAG5" s="55"/>
      <c r="CAH5" s="55"/>
      <c r="CAI5" s="55"/>
      <c r="CAJ5" s="55"/>
      <c r="CAK5" s="55"/>
      <c r="CAL5" s="55"/>
      <c r="CAM5" s="55"/>
      <c r="CAN5" s="55"/>
      <c r="CAO5" s="55"/>
      <c r="CAP5" s="55"/>
      <c r="CAQ5" s="55"/>
      <c r="CAR5" s="55"/>
      <c r="CAS5" s="55"/>
      <c r="CAT5" s="55"/>
      <c r="CAU5" s="55"/>
      <c r="CAV5" s="55"/>
      <c r="CAW5" s="55"/>
      <c r="CAX5" s="55"/>
      <c r="CAY5" s="55"/>
      <c r="CAZ5" s="55"/>
      <c r="CBA5" s="55"/>
      <c r="CBB5" s="55"/>
      <c r="CBC5" s="55"/>
      <c r="CBD5" s="55"/>
      <c r="CBE5" s="55"/>
      <c r="CBF5" s="55"/>
      <c r="CBG5" s="55"/>
      <c r="CBH5" s="55"/>
      <c r="CBI5" s="55"/>
      <c r="CBJ5" s="55"/>
      <c r="CBK5" s="55"/>
      <c r="CBL5" s="55"/>
      <c r="CBM5" s="55"/>
      <c r="CBN5" s="55"/>
      <c r="CBO5" s="55"/>
      <c r="CBP5" s="55"/>
      <c r="CBQ5" s="55"/>
      <c r="CBR5" s="55"/>
      <c r="CBS5" s="55"/>
      <c r="CBT5" s="55"/>
      <c r="CBU5" s="55"/>
      <c r="CBV5" s="55"/>
      <c r="CBW5" s="55"/>
      <c r="CBX5" s="55"/>
      <c r="CBY5" s="55"/>
      <c r="CBZ5" s="55"/>
      <c r="CCA5" s="55"/>
      <c r="CCB5" s="55"/>
      <c r="CCC5" s="55"/>
      <c r="CCD5" s="55"/>
      <c r="CCE5" s="55"/>
      <c r="CCF5" s="55"/>
      <c r="CCG5" s="55"/>
      <c r="CCH5" s="55"/>
      <c r="CCI5" s="55"/>
      <c r="CCJ5" s="55"/>
      <c r="CCK5" s="55"/>
      <c r="CCL5" s="55"/>
      <c r="CCM5" s="55"/>
      <c r="CCN5" s="55"/>
      <c r="CCO5" s="55"/>
      <c r="CCP5" s="55"/>
      <c r="CCQ5" s="55"/>
      <c r="CCR5" s="55"/>
      <c r="CCS5" s="55"/>
      <c r="CCT5" s="55"/>
      <c r="CCU5" s="55"/>
      <c r="CCV5" s="55"/>
      <c r="CCW5" s="55"/>
      <c r="CCX5" s="55"/>
      <c r="CCY5" s="55"/>
      <c r="CCZ5" s="55"/>
      <c r="CDA5" s="55"/>
      <c r="CDB5" s="55"/>
      <c r="CDC5" s="55"/>
      <c r="CDD5" s="55"/>
      <c r="CDE5" s="55"/>
      <c r="CDF5" s="55"/>
      <c r="CDG5" s="55"/>
      <c r="CDH5" s="55"/>
      <c r="CDI5" s="55"/>
      <c r="CDJ5" s="55"/>
      <c r="CDK5" s="55"/>
      <c r="CDL5" s="55"/>
      <c r="CDM5" s="55"/>
      <c r="CDN5" s="55"/>
      <c r="CDO5" s="55"/>
      <c r="CDP5" s="55"/>
      <c r="CDQ5" s="55"/>
      <c r="CDR5" s="55"/>
      <c r="CDS5" s="55"/>
      <c r="CDT5" s="55"/>
      <c r="CDU5" s="55"/>
      <c r="CDV5" s="55"/>
      <c r="CDW5" s="55"/>
      <c r="CDX5" s="55"/>
      <c r="CDY5" s="55"/>
      <c r="CDZ5" s="55"/>
      <c r="CEA5" s="55"/>
      <c r="CEB5" s="55"/>
      <c r="CEC5" s="55"/>
      <c r="CED5" s="55"/>
      <c r="CEE5" s="55"/>
      <c r="CEF5" s="55"/>
      <c r="CEG5" s="55"/>
      <c r="CEH5" s="55"/>
      <c r="CEI5" s="55"/>
      <c r="CEJ5" s="55"/>
      <c r="CEK5" s="55"/>
      <c r="CEL5" s="55"/>
      <c r="CEM5" s="55"/>
      <c r="CEN5" s="55"/>
      <c r="CEO5" s="55"/>
      <c r="CEP5" s="55"/>
      <c r="CEQ5" s="55"/>
      <c r="CER5" s="55"/>
      <c r="CES5" s="55"/>
      <c r="CET5" s="55"/>
      <c r="CEU5" s="55"/>
      <c r="CEV5" s="55"/>
      <c r="CEW5" s="55"/>
      <c r="CEX5" s="55"/>
      <c r="CEY5" s="55"/>
      <c r="CEZ5" s="55"/>
      <c r="CFA5" s="55"/>
      <c r="CFB5" s="55"/>
      <c r="CFC5" s="55"/>
      <c r="CFD5" s="55"/>
      <c r="CFE5" s="55"/>
      <c r="CFF5" s="55"/>
      <c r="CFG5" s="55"/>
      <c r="CFH5" s="55"/>
      <c r="CFI5" s="55"/>
      <c r="CFJ5" s="55"/>
      <c r="CFK5" s="55"/>
      <c r="CFL5" s="55"/>
      <c r="CFM5" s="55"/>
      <c r="CFN5" s="55"/>
      <c r="CFO5" s="55"/>
      <c r="CFP5" s="55"/>
      <c r="CFQ5" s="55"/>
      <c r="CFR5" s="55"/>
      <c r="CFS5" s="55"/>
      <c r="CFT5" s="55"/>
      <c r="CFU5" s="55"/>
      <c r="CFV5" s="55"/>
      <c r="CFW5" s="55"/>
      <c r="CFX5" s="55"/>
      <c r="CFY5" s="55"/>
      <c r="CFZ5" s="55"/>
      <c r="CGA5" s="55"/>
      <c r="CGB5" s="55"/>
      <c r="CGC5" s="55"/>
      <c r="CGD5" s="55"/>
      <c r="CGE5" s="55"/>
      <c r="CGF5" s="55"/>
      <c r="CGG5" s="55"/>
      <c r="CGH5" s="55"/>
      <c r="CGI5" s="55"/>
      <c r="CGJ5" s="55"/>
      <c r="CGK5" s="55"/>
      <c r="CGL5" s="55"/>
      <c r="CGM5" s="55"/>
      <c r="CGN5" s="55"/>
      <c r="CGO5" s="55"/>
      <c r="CGP5" s="55"/>
      <c r="CGQ5" s="55"/>
      <c r="CGR5" s="55"/>
      <c r="CGS5" s="55"/>
      <c r="CGT5" s="55"/>
      <c r="CGU5" s="55"/>
      <c r="CGV5" s="55"/>
      <c r="CGW5" s="55"/>
      <c r="CGX5" s="55"/>
      <c r="CGY5" s="55"/>
      <c r="CGZ5" s="55"/>
      <c r="CHA5" s="55"/>
      <c r="CHB5" s="55"/>
      <c r="CHC5" s="55"/>
      <c r="CHD5" s="55"/>
      <c r="CHE5" s="55"/>
      <c r="CHF5" s="55"/>
      <c r="CHG5" s="55"/>
      <c r="CHH5" s="55"/>
      <c r="CHI5" s="55"/>
      <c r="CHJ5" s="55"/>
      <c r="CHK5" s="55"/>
      <c r="CHL5" s="55"/>
      <c r="CHM5" s="55"/>
      <c r="CHN5" s="55"/>
      <c r="CHO5" s="55"/>
      <c r="CHP5" s="55"/>
      <c r="CHQ5" s="55"/>
      <c r="CHR5" s="55"/>
      <c r="CHS5" s="55"/>
      <c r="CHT5" s="55"/>
      <c r="CHU5" s="55"/>
      <c r="CHV5" s="55"/>
      <c r="CHW5" s="55"/>
      <c r="CHX5" s="55"/>
      <c r="CHY5" s="55"/>
      <c r="CHZ5" s="55"/>
      <c r="CIA5" s="55"/>
      <c r="CIB5" s="55"/>
      <c r="CIC5" s="55"/>
      <c r="CID5" s="55"/>
      <c r="CIE5" s="55"/>
      <c r="CIF5" s="55"/>
      <c r="CIG5" s="55"/>
      <c r="CIH5" s="55"/>
      <c r="CII5" s="55"/>
      <c r="CIJ5" s="55"/>
      <c r="CIK5" s="55"/>
      <c r="CIL5" s="55"/>
      <c r="CIM5" s="55"/>
      <c r="CIN5" s="55"/>
      <c r="CIO5" s="55"/>
      <c r="CIP5" s="55"/>
      <c r="CIQ5" s="55"/>
      <c r="CIR5" s="55"/>
      <c r="CIS5" s="55"/>
      <c r="CIT5" s="55"/>
      <c r="CIU5" s="55"/>
      <c r="CIV5" s="55"/>
      <c r="CIW5" s="55"/>
      <c r="CIX5" s="55"/>
      <c r="CIY5" s="55"/>
      <c r="CIZ5" s="55"/>
      <c r="CJA5" s="55"/>
      <c r="CJB5" s="55"/>
      <c r="CJC5" s="55"/>
      <c r="CJD5" s="55"/>
      <c r="CJE5" s="55"/>
      <c r="CJF5" s="55"/>
      <c r="CJG5" s="55"/>
      <c r="CJH5" s="55"/>
      <c r="CJI5" s="55"/>
      <c r="CJJ5" s="55"/>
      <c r="CJK5" s="55"/>
      <c r="CJL5" s="55"/>
      <c r="CJM5" s="55"/>
      <c r="CJN5" s="55"/>
      <c r="CJO5" s="55"/>
      <c r="CJP5" s="55"/>
      <c r="CJQ5" s="55"/>
      <c r="CJR5" s="55"/>
      <c r="CJS5" s="55"/>
      <c r="CJT5" s="55"/>
      <c r="CJU5" s="55"/>
      <c r="CJV5" s="55"/>
      <c r="CJW5" s="55"/>
      <c r="CJX5" s="55"/>
      <c r="CJY5" s="55"/>
      <c r="CJZ5" s="55"/>
      <c r="CKA5" s="55"/>
      <c r="CKB5" s="55"/>
      <c r="CKC5" s="55"/>
      <c r="CKD5" s="55"/>
      <c r="CKE5" s="55"/>
      <c r="CKF5" s="55"/>
      <c r="CKG5" s="55"/>
      <c r="CKH5" s="55"/>
      <c r="CKI5" s="55"/>
      <c r="CKJ5" s="55"/>
      <c r="CKK5" s="55"/>
      <c r="CKL5" s="55"/>
      <c r="CKM5" s="55"/>
      <c r="CKN5" s="55"/>
      <c r="CKO5" s="55"/>
      <c r="CKP5" s="55"/>
      <c r="CKQ5" s="55"/>
      <c r="CKR5" s="55"/>
      <c r="CKS5" s="55"/>
      <c r="CKT5" s="55"/>
      <c r="CKU5" s="55"/>
      <c r="CKV5" s="55"/>
      <c r="CKW5" s="55"/>
      <c r="CKX5" s="55"/>
      <c r="CKY5" s="55"/>
      <c r="CKZ5" s="55"/>
      <c r="CLA5" s="55"/>
      <c r="CLB5" s="55"/>
      <c r="CLC5" s="55"/>
      <c r="CLD5" s="55"/>
      <c r="CLE5" s="55"/>
      <c r="CLF5" s="55"/>
      <c r="CLG5" s="55"/>
      <c r="CLH5" s="55"/>
      <c r="CLI5" s="55"/>
      <c r="CLJ5" s="55"/>
      <c r="CLK5" s="55"/>
      <c r="CLL5" s="55"/>
      <c r="CLM5" s="55"/>
      <c r="CLN5" s="55"/>
      <c r="CLO5" s="55"/>
      <c r="CLP5" s="55"/>
      <c r="CLQ5" s="55"/>
      <c r="CLR5" s="55"/>
      <c r="CLS5" s="55"/>
      <c r="CLT5" s="55"/>
      <c r="CLU5" s="55"/>
      <c r="CLV5" s="55"/>
      <c r="CLW5" s="55"/>
      <c r="CLX5" s="55"/>
      <c r="CLY5" s="55"/>
      <c r="CLZ5" s="55"/>
      <c r="CMA5" s="55"/>
      <c r="CMB5" s="55"/>
      <c r="CMC5" s="55"/>
      <c r="CMD5" s="55"/>
      <c r="CME5" s="55"/>
      <c r="CMF5" s="55"/>
      <c r="CMG5" s="55"/>
      <c r="CMH5" s="55"/>
      <c r="CMI5" s="55"/>
      <c r="CMJ5" s="55"/>
      <c r="CMK5" s="55"/>
      <c r="CML5" s="55"/>
      <c r="CMM5" s="55"/>
      <c r="CMN5" s="55"/>
      <c r="CMO5" s="55"/>
      <c r="CMP5" s="55"/>
      <c r="CMQ5" s="55"/>
      <c r="CMR5" s="55"/>
      <c r="CMS5" s="55"/>
      <c r="CMT5" s="55"/>
      <c r="CMU5" s="55"/>
      <c r="CMV5" s="55"/>
      <c r="CMW5" s="55"/>
      <c r="CMX5" s="55"/>
      <c r="CMY5" s="55"/>
      <c r="CMZ5" s="55"/>
      <c r="CNA5" s="55"/>
      <c r="CNB5" s="55"/>
      <c r="CNC5" s="55"/>
      <c r="CND5" s="55"/>
      <c r="CNE5" s="55"/>
      <c r="CNF5" s="55"/>
      <c r="CNG5" s="55"/>
      <c r="CNH5" s="55"/>
      <c r="CNI5" s="55"/>
      <c r="CNJ5" s="55"/>
      <c r="CNK5" s="55"/>
      <c r="CNL5" s="55"/>
      <c r="CNM5" s="55"/>
      <c r="CNN5" s="55"/>
      <c r="CNO5" s="55"/>
      <c r="CNP5" s="55"/>
      <c r="CNQ5" s="55"/>
      <c r="CNR5" s="55"/>
      <c r="CNS5" s="55"/>
      <c r="CNT5" s="55"/>
      <c r="CNU5" s="55"/>
      <c r="CNV5" s="55"/>
      <c r="CNW5" s="55"/>
      <c r="CNX5" s="55"/>
      <c r="CNY5" s="55"/>
      <c r="CNZ5" s="55"/>
      <c r="COA5" s="55"/>
      <c r="COB5" s="55"/>
      <c r="COC5" s="55"/>
      <c r="COD5" s="55"/>
      <c r="COE5" s="55"/>
      <c r="COF5" s="55"/>
      <c r="COG5" s="55"/>
      <c r="COH5" s="55"/>
      <c r="COI5" s="55"/>
      <c r="COJ5" s="55"/>
      <c r="COK5" s="55"/>
      <c r="COL5" s="55"/>
      <c r="COM5" s="55"/>
      <c r="CON5" s="55"/>
      <c r="COO5" s="55"/>
      <c r="COP5" s="55"/>
      <c r="COQ5" s="55"/>
      <c r="COR5" s="55"/>
      <c r="COS5" s="55"/>
      <c r="COT5" s="55"/>
      <c r="COU5" s="55"/>
      <c r="COV5" s="55"/>
      <c r="COW5" s="55"/>
      <c r="COX5" s="55"/>
      <c r="COY5" s="55"/>
      <c r="COZ5" s="55"/>
      <c r="CPA5" s="55"/>
      <c r="CPB5" s="55"/>
      <c r="CPC5" s="55"/>
      <c r="CPD5" s="55"/>
      <c r="CPE5" s="55"/>
      <c r="CPF5" s="55"/>
      <c r="CPG5" s="55"/>
      <c r="CPH5" s="55"/>
      <c r="CPI5" s="55"/>
      <c r="CPJ5" s="55"/>
      <c r="CPK5" s="55"/>
      <c r="CPL5" s="55"/>
      <c r="CPM5" s="55"/>
      <c r="CPN5" s="55"/>
      <c r="CPO5" s="55"/>
      <c r="CPP5" s="55"/>
      <c r="CPQ5" s="55"/>
      <c r="CPR5" s="55"/>
      <c r="CPS5" s="55"/>
      <c r="CPT5" s="55"/>
      <c r="CPU5" s="55"/>
      <c r="CPV5" s="55"/>
      <c r="CPW5" s="55"/>
      <c r="CPX5" s="55"/>
      <c r="CPY5" s="55"/>
      <c r="CPZ5" s="55"/>
      <c r="CQA5" s="55"/>
      <c r="CQB5" s="55"/>
      <c r="CQC5" s="55"/>
      <c r="CQD5" s="55"/>
      <c r="CQE5" s="55"/>
      <c r="CQF5" s="55"/>
      <c r="CQG5" s="55"/>
      <c r="CQH5" s="55"/>
      <c r="CQI5" s="55"/>
      <c r="CQJ5" s="55"/>
      <c r="CQK5" s="55"/>
      <c r="CQL5" s="55"/>
      <c r="CQM5" s="55"/>
      <c r="CQN5" s="55"/>
      <c r="CQO5" s="55"/>
      <c r="CQP5" s="55"/>
      <c r="CQQ5" s="55"/>
      <c r="CQR5" s="55"/>
      <c r="CQS5" s="55"/>
      <c r="CQT5" s="55"/>
      <c r="CQU5" s="55"/>
      <c r="CQV5" s="55"/>
      <c r="CQW5" s="55"/>
      <c r="CQX5" s="55"/>
      <c r="CQY5" s="55"/>
      <c r="CQZ5" s="55"/>
      <c r="CRA5" s="55"/>
      <c r="CRB5" s="55"/>
      <c r="CRC5" s="55"/>
      <c r="CRD5" s="55"/>
      <c r="CRE5" s="55"/>
      <c r="CRF5" s="55"/>
      <c r="CRG5" s="55"/>
      <c r="CRH5" s="55"/>
      <c r="CRI5" s="55"/>
      <c r="CRJ5" s="55"/>
      <c r="CRK5" s="55"/>
      <c r="CRL5" s="55"/>
      <c r="CRM5" s="55"/>
      <c r="CRN5" s="55"/>
      <c r="CRO5" s="55"/>
      <c r="CRP5" s="55"/>
      <c r="CRQ5" s="55"/>
      <c r="CRR5" s="55"/>
      <c r="CRS5" s="55"/>
      <c r="CRT5" s="55"/>
      <c r="CRU5" s="55"/>
      <c r="CRV5" s="55"/>
      <c r="CRW5" s="55"/>
      <c r="CRX5" s="55"/>
      <c r="CRY5" s="55"/>
      <c r="CRZ5" s="55"/>
      <c r="CSA5" s="55"/>
      <c r="CSB5" s="55"/>
      <c r="CSC5" s="55"/>
      <c r="CSD5" s="55"/>
      <c r="CSE5" s="55"/>
      <c r="CSF5" s="55"/>
      <c r="CSG5" s="55"/>
      <c r="CSH5" s="55"/>
      <c r="CSI5" s="55"/>
      <c r="CSJ5" s="55"/>
      <c r="CSK5" s="55"/>
      <c r="CSL5" s="55"/>
      <c r="CSM5" s="55"/>
      <c r="CSN5" s="55"/>
      <c r="CSO5" s="55"/>
      <c r="CSP5" s="55"/>
      <c r="CSQ5" s="55"/>
      <c r="CSR5" s="55"/>
      <c r="CSS5" s="55"/>
      <c r="CST5" s="55"/>
      <c r="CSU5" s="55"/>
      <c r="CSV5" s="55"/>
      <c r="CSW5" s="55"/>
      <c r="CSX5" s="55"/>
      <c r="CSY5" s="55"/>
      <c r="CSZ5" s="55"/>
      <c r="CTA5" s="55"/>
      <c r="CTB5" s="55"/>
      <c r="CTC5" s="55"/>
      <c r="CTD5" s="55"/>
      <c r="CTE5" s="55"/>
      <c r="CTF5" s="55"/>
      <c r="CTG5" s="55"/>
      <c r="CTH5" s="55"/>
      <c r="CTI5" s="55"/>
      <c r="CTJ5" s="55"/>
      <c r="CTK5" s="55"/>
      <c r="CTL5" s="55"/>
      <c r="CTM5" s="55"/>
      <c r="CTN5" s="55"/>
      <c r="CTO5" s="55"/>
      <c r="CTP5" s="55"/>
      <c r="CTQ5" s="55"/>
      <c r="CTR5" s="55"/>
      <c r="CTS5" s="55"/>
      <c r="CTT5" s="55"/>
      <c r="CTU5" s="55"/>
      <c r="CTV5" s="55"/>
      <c r="CTW5" s="55"/>
      <c r="CTX5" s="55"/>
      <c r="CTY5" s="55"/>
      <c r="CTZ5" s="55"/>
      <c r="CUA5" s="55"/>
      <c r="CUB5" s="55"/>
      <c r="CUC5" s="55"/>
      <c r="CUD5" s="55"/>
      <c r="CUE5" s="55"/>
      <c r="CUF5" s="55"/>
      <c r="CUG5" s="55"/>
      <c r="CUH5" s="55"/>
      <c r="CUI5" s="55"/>
      <c r="CUJ5" s="55"/>
      <c r="CUK5" s="55"/>
      <c r="CUL5" s="55"/>
      <c r="CUM5" s="55"/>
      <c r="CUN5" s="55"/>
      <c r="CUO5" s="55"/>
      <c r="CUP5" s="55"/>
      <c r="CUQ5" s="55"/>
      <c r="CUR5" s="55"/>
      <c r="CUS5" s="55"/>
      <c r="CUT5" s="55"/>
      <c r="CUU5" s="55"/>
      <c r="CUV5" s="55"/>
      <c r="CUW5" s="55"/>
      <c r="CUX5" s="55"/>
      <c r="CUY5" s="55"/>
      <c r="CUZ5" s="55"/>
      <c r="CVA5" s="55"/>
      <c r="CVB5" s="55"/>
      <c r="CVC5" s="55"/>
      <c r="CVD5" s="55"/>
      <c r="CVE5" s="55"/>
      <c r="CVF5" s="55"/>
      <c r="CVG5" s="55"/>
      <c r="CVH5" s="55"/>
      <c r="CVI5" s="55"/>
      <c r="CVJ5" s="55"/>
      <c r="CVK5" s="55"/>
      <c r="CVL5" s="55"/>
      <c r="CVM5" s="55"/>
      <c r="CVN5" s="55"/>
      <c r="CVO5" s="55"/>
      <c r="CVP5" s="55"/>
      <c r="CVQ5" s="55"/>
      <c r="CVR5" s="55"/>
      <c r="CVS5" s="55"/>
      <c r="CVT5" s="55"/>
      <c r="CVU5" s="55"/>
      <c r="CVV5" s="55"/>
      <c r="CVW5" s="55"/>
      <c r="CVX5" s="55"/>
      <c r="CVY5" s="55"/>
      <c r="CVZ5" s="55"/>
      <c r="CWA5" s="55"/>
      <c r="CWB5" s="55"/>
      <c r="CWC5" s="55"/>
      <c r="CWD5" s="55"/>
      <c r="CWE5" s="55"/>
      <c r="CWF5" s="55"/>
      <c r="CWG5" s="55"/>
      <c r="CWH5" s="55"/>
      <c r="CWI5" s="55"/>
      <c r="CWJ5" s="55"/>
      <c r="CWK5" s="55"/>
      <c r="CWL5" s="55"/>
      <c r="CWM5" s="55"/>
      <c r="CWN5" s="55"/>
      <c r="CWO5" s="55"/>
      <c r="CWP5" s="55"/>
      <c r="CWQ5" s="55"/>
      <c r="CWR5" s="55"/>
      <c r="CWS5" s="55"/>
      <c r="CWT5" s="55"/>
      <c r="CWU5" s="55"/>
      <c r="CWV5" s="55"/>
      <c r="CWW5" s="55"/>
      <c r="CWX5" s="55"/>
      <c r="CWY5" s="55"/>
      <c r="CWZ5" s="55"/>
      <c r="CXA5" s="55"/>
      <c r="CXB5" s="55"/>
      <c r="CXC5" s="55"/>
      <c r="CXD5" s="55"/>
      <c r="CXE5" s="55"/>
      <c r="CXF5" s="55"/>
      <c r="CXG5" s="55"/>
      <c r="CXH5" s="55"/>
      <c r="CXI5" s="55"/>
      <c r="CXJ5" s="55"/>
      <c r="CXK5" s="55"/>
      <c r="CXL5" s="55"/>
      <c r="CXM5" s="55"/>
      <c r="CXN5" s="55"/>
      <c r="CXO5" s="55"/>
      <c r="CXP5" s="55"/>
      <c r="CXQ5" s="55"/>
      <c r="CXR5" s="55"/>
      <c r="CXS5" s="55"/>
      <c r="CXT5" s="55"/>
      <c r="CXU5" s="55"/>
      <c r="CXV5" s="55"/>
      <c r="CXW5" s="55"/>
      <c r="CXX5" s="55"/>
      <c r="CXY5" s="55"/>
      <c r="CXZ5" s="55"/>
      <c r="CYA5" s="55"/>
      <c r="CYB5" s="55"/>
      <c r="CYC5" s="55"/>
      <c r="CYD5" s="55"/>
      <c r="CYE5" s="55"/>
      <c r="CYF5" s="55"/>
      <c r="CYG5" s="55"/>
      <c r="CYH5" s="55"/>
      <c r="CYI5" s="55"/>
      <c r="CYJ5" s="55"/>
      <c r="CYK5" s="55"/>
      <c r="CYL5" s="55"/>
      <c r="CYM5" s="55"/>
      <c r="CYN5" s="55"/>
      <c r="CYO5" s="55"/>
      <c r="CYP5" s="55"/>
      <c r="CYQ5" s="55"/>
      <c r="CYR5" s="55"/>
      <c r="CYS5" s="55"/>
      <c r="CYT5" s="55"/>
      <c r="CYU5" s="55"/>
      <c r="CYV5" s="55"/>
      <c r="CYW5" s="55"/>
      <c r="CYX5" s="55"/>
      <c r="CYY5" s="55"/>
      <c r="CYZ5" s="55"/>
      <c r="CZA5" s="55"/>
      <c r="CZB5" s="55"/>
      <c r="CZC5" s="55"/>
      <c r="CZD5" s="55"/>
      <c r="CZE5" s="55"/>
      <c r="CZF5" s="55"/>
      <c r="CZG5" s="55"/>
      <c r="CZH5" s="55"/>
      <c r="CZI5" s="55"/>
      <c r="CZJ5" s="55"/>
      <c r="CZK5" s="55"/>
      <c r="CZL5" s="55"/>
      <c r="CZM5" s="55"/>
      <c r="CZN5" s="55"/>
      <c r="CZO5" s="55"/>
      <c r="CZP5" s="55"/>
      <c r="CZQ5" s="55"/>
      <c r="CZR5" s="55"/>
      <c r="CZS5" s="55"/>
      <c r="CZT5" s="55"/>
      <c r="CZU5" s="55"/>
      <c r="CZV5" s="55"/>
      <c r="CZW5" s="55"/>
      <c r="CZX5" s="55"/>
      <c r="CZY5" s="55"/>
      <c r="CZZ5" s="55"/>
      <c r="DAA5" s="55"/>
      <c r="DAB5" s="55"/>
      <c r="DAC5" s="55"/>
      <c r="DAD5" s="55"/>
      <c r="DAE5" s="55"/>
      <c r="DAF5" s="55"/>
      <c r="DAG5" s="55"/>
      <c r="DAH5" s="55"/>
      <c r="DAI5" s="55"/>
      <c r="DAJ5" s="55"/>
      <c r="DAK5" s="55"/>
      <c r="DAL5" s="55"/>
      <c r="DAM5" s="55"/>
      <c r="DAN5" s="55"/>
      <c r="DAO5" s="55"/>
      <c r="DAP5" s="55"/>
      <c r="DAQ5" s="55"/>
      <c r="DAR5" s="55"/>
      <c r="DAS5" s="55"/>
      <c r="DAT5" s="55"/>
      <c r="DAU5" s="55"/>
      <c r="DAV5" s="55"/>
      <c r="DAW5" s="55"/>
      <c r="DAX5" s="55"/>
      <c r="DAY5" s="55"/>
      <c r="DAZ5" s="55"/>
      <c r="DBA5" s="55"/>
      <c r="DBB5" s="55"/>
      <c r="DBC5" s="55"/>
      <c r="DBD5" s="55"/>
      <c r="DBE5" s="55"/>
      <c r="DBF5" s="55"/>
      <c r="DBG5" s="55"/>
      <c r="DBH5" s="55"/>
      <c r="DBI5" s="55"/>
      <c r="DBJ5" s="55"/>
      <c r="DBK5" s="55"/>
      <c r="DBL5" s="55"/>
      <c r="DBM5" s="55"/>
      <c r="DBN5" s="55"/>
      <c r="DBO5" s="55"/>
      <c r="DBP5" s="55"/>
      <c r="DBQ5" s="55"/>
      <c r="DBR5" s="55"/>
      <c r="DBS5" s="55"/>
      <c r="DBT5" s="55"/>
      <c r="DBU5" s="55"/>
      <c r="DBV5" s="55"/>
      <c r="DBW5" s="55"/>
      <c r="DBX5" s="55"/>
      <c r="DBY5" s="55"/>
      <c r="DBZ5" s="55"/>
      <c r="DCA5" s="55"/>
      <c r="DCB5" s="55"/>
      <c r="DCC5" s="55"/>
      <c r="DCD5" s="55"/>
      <c r="DCE5" s="55"/>
      <c r="DCF5" s="55"/>
      <c r="DCG5" s="55"/>
      <c r="DCH5" s="55"/>
      <c r="DCI5" s="55"/>
      <c r="DCJ5" s="55"/>
      <c r="DCK5" s="55"/>
      <c r="DCL5" s="55"/>
      <c r="DCM5" s="55"/>
      <c r="DCN5" s="55"/>
      <c r="DCO5" s="55"/>
      <c r="DCP5" s="55"/>
      <c r="DCQ5" s="55"/>
      <c r="DCR5" s="55"/>
      <c r="DCS5" s="55"/>
      <c r="DCT5" s="55"/>
      <c r="DCU5" s="55"/>
      <c r="DCV5" s="55"/>
      <c r="DCW5" s="55"/>
      <c r="DCX5" s="55"/>
      <c r="DCY5" s="55"/>
      <c r="DCZ5" s="55"/>
      <c r="DDA5" s="55"/>
      <c r="DDB5" s="55"/>
      <c r="DDC5" s="55"/>
      <c r="DDD5" s="55"/>
      <c r="DDE5" s="55"/>
      <c r="DDF5" s="55"/>
      <c r="DDG5" s="55"/>
      <c r="DDH5" s="55"/>
      <c r="DDI5" s="55"/>
      <c r="DDJ5" s="55"/>
      <c r="DDK5" s="55"/>
      <c r="DDL5" s="55"/>
      <c r="DDM5" s="55"/>
      <c r="DDN5" s="55"/>
      <c r="DDO5" s="55"/>
      <c r="DDP5" s="55"/>
      <c r="DDQ5" s="55"/>
      <c r="DDR5" s="55"/>
      <c r="DDS5" s="55"/>
      <c r="DDT5" s="55"/>
      <c r="DDU5" s="55"/>
      <c r="DDV5" s="55"/>
      <c r="DDW5" s="55"/>
      <c r="DDX5" s="55"/>
      <c r="DDY5" s="55"/>
      <c r="DDZ5" s="55"/>
      <c r="DEA5" s="55"/>
      <c r="DEB5" s="55"/>
      <c r="DEC5" s="55"/>
      <c r="DED5" s="55"/>
      <c r="DEE5" s="55"/>
      <c r="DEF5" s="55"/>
      <c r="DEG5" s="55"/>
      <c r="DEH5" s="55"/>
      <c r="DEI5" s="55"/>
      <c r="DEJ5" s="55"/>
      <c r="DEK5" s="55"/>
      <c r="DEL5" s="55"/>
      <c r="DEM5" s="55"/>
      <c r="DEN5" s="55"/>
      <c r="DEO5" s="55"/>
      <c r="DEP5" s="55"/>
      <c r="DEQ5" s="55"/>
      <c r="DER5" s="55"/>
      <c r="DES5" s="55"/>
      <c r="DET5" s="55"/>
      <c r="DEU5" s="55"/>
      <c r="DEV5" s="55"/>
      <c r="DEW5" s="55"/>
      <c r="DEX5" s="55"/>
      <c r="DEY5" s="55"/>
      <c r="DEZ5" s="55"/>
      <c r="DFA5" s="55"/>
      <c r="DFB5" s="55"/>
      <c r="DFC5" s="55"/>
      <c r="DFD5" s="55"/>
      <c r="DFE5" s="55"/>
      <c r="DFF5" s="55"/>
      <c r="DFG5" s="55"/>
      <c r="DFH5" s="55"/>
      <c r="DFI5" s="55"/>
      <c r="DFJ5" s="55"/>
      <c r="DFK5" s="55"/>
      <c r="DFL5" s="55"/>
      <c r="DFM5" s="55"/>
      <c r="DFN5" s="55"/>
      <c r="DFO5" s="55"/>
      <c r="DFP5" s="55"/>
      <c r="DFQ5" s="55"/>
      <c r="DFR5" s="55"/>
      <c r="DFS5" s="55"/>
      <c r="DFT5" s="55"/>
      <c r="DFU5" s="55"/>
      <c r="DFV5" s="55"/>
      <c r="DFW5" s="55"/>
      <c r="DFX5" s="55"/>
      <c r="DFY5" s="55"/>
      <c r="DFZ5" s="55"/>
      <c r="DGA5" s="55"/>
      <c r="DGB5" s="55"/>
      <c r="DGC5" s="55"/>
      <c r="DGD5" s="55"/>
      <c r="DGE5" s="55"/>
      <c r="DGF5" s="55"/>
      <c r="DGG5" s="55"/>
      <c r="DGH5" s="55"/>
      <c r="DGI5" s="55"/>
      <c r="DGJ5" s="55"/>
      <c r="DGK5" s="55"/>
      <c r="DGL5" s="55"/>
      <c r="DGM5" s="55"/>
      <c r="DGN5" s="55"/>
      <c r="DGO5" s="55"/>
      <c r="DGP5" s="55"/>
      <c r="DGQ5" s="55"/>
      <c r="DGR5" s="55"/>
      <c r="DGS5" s="55"/>
      <c r="DGT5" s="55"/>
      <c r="DGU5" s="55"/>
      <c r="DGV5" s="55"/>
      <c r="DGW5" s="55"/>
      <c r="DGX5" s="55"/>
      <c r="DGY5" s="55"/>
      <c r="DGZ5" s="55"/>
      <c r="DHA5" s="55"/>
      <c r="DHB5" s="55"/>
      <c r="DHC5" s="55"/>
      <c r="DHD5" s="55"/>
      <c r="DHE5" s="55"/>
      <c r="DHF5" s="55"/>
      <c r="DHG5" s="55"/>
      <c r="DHH5" s="55"/>
      <c r="DHI5" s="55"/>
      <c r="DHJ5" s="55"/>
      <c r="DHK5" s="55"/>
      <c r="DHL5" s="55"/>
      <c r="DHM5" s="55"/>
      <c r="DHN5" s="55"/>
      <c r="DHO5" s="55"/>
      <c r="DHP5" s="55"/>
      <c r="DHQ5" s="55"/>
      <c r="DHR5" s="55"/>
      <c r="DHS5" s="55"/>
      <c r="DHT5" s="55"/>
      <c r="DHU5" s="55"/>
      <c r="DHV5" s="55"/>
      <c r="DHW5" s="55"/>
      <c r="DHX5" s="55"/>
      <c r="DHY5" s="55"/>
      <c r="DHZ5" s="55"/>
      <c r="DIA5" s="55"/>
      <c r="DIB5" s="55"/>
      <c r="DIC5" s="55"/>
      <c r="DID5" s="55"/>
      <c r="DIE5" s="55"/>
      <c r="DIF5" s="55"/>
      <c r="DIG5" s="55"/>
      <c r="DIH5" s="55"/>
      <c r="DII5" s="55"/>
      <c r="DIJ5" s="55"/>
      <c r="DIK5" s="55"/>
      <c r="DIL5" s="55"/>
      <c r="DIM5" s="55"/>
      <c r="DIN5" s="55"/>
      <c r="DIO5" s="55"/>
      <c r="DIP5" s="55"/>
      <c r="DIQ5" s="55"/>
      <c r="DIR5" s="55"/>
      <c r="DIS5" s="55"/>
      <c r="DIT5" s="55"/>
      <c r="DIU5" s="55"/>
      <c r="DIV5" s="55"/>
      <c r="DIW5" s="55"/>
      <c r="DIX5" s="55"/>
      <c r="DIY5" s="55"/>
      <c r="DIZ5" s="55"/>
      <c r="DJA5" s="55"/>
      <c r="DJB5" s="55"/>
      <c r="DJC5" s="55"/>
      <c r="DJD5" s="55"/>
      <c r="DJE5" s="55"/>
      <c r="DJF5" s="55"/>
      <c r="DJG5" s="55"/>
      <c r="DJH5" s="55"/>
      <c r="DJI5" s="55"/>
      <c r="DJJ5" s="55"/>
      <c r="DJK5" s="55"/>
      <c r="DJL5" s="55"/>
      <c r="DJM5" s="55"/>
      <c r="DJN5" s="55"/>
      <c r="DJO5" s="55"/>
      <c r="DJP5" s="55"/>
      <c r="DJQ5" s="55"/>
      <c r="DJR5" s="55"/>
      <c r="DJS5" s="55"/>
      <c r="DJT5" s="55"/>
      <c r="DJU5" s="55"/>
      <c r="DJV5" s="55"/>
      <c r="DJW5" s="55"/>
      <c r="DJX5" s="55"/>
      <c r="DJY5" s="55"/>
      <c r="DJZ5" s="55"/>
      <c r="DKA5" s="55"/>
      <c r="DKB5" s="55"/>
      <c r="DKC5" s="55"/>
      <c r="DKD5" s="55"/>
      <c r="DKE5" s="55"/>
      <c r="DKF5" s="55"/>
      <c r="DKG5" s="55"/>
      <c r="DKH5" s="55"/>
      <c r="DKI5" s="55"/>
      <c r="DKJ5" s="55"/>
      <c r="DKK5" s="55"/>
      <c r="DKL5" s="55"/>
      <c r="DKM5" s="55"/>
      <c r="DKN5" s="55"/>
      <c r="DKO5" s="55"/>
      <c r="DKP5" s="55"/>
      <c r="DKQ5" s="55"/>
      <c r="DKR5" s="55"/>
      <c r="DKS5" s="55"/>
      <c r="DKT5" s="55"/>
      <c r="DKU5" s="55"/>
      <c r="DKV5" s="55"/>
      <c r="DKW5" s="55"/>
      <c r="DKX5" s="55"/>
      <c r="DKY5" s="55"/>
      <c r="DKZ5" s="55"/>
      <c r="DLA5" s="55"/>
      <c r="DLB5" s="55"/>
      <c r="DLC5" s="55"/>
      <c r="DLD5" s="55"/>
      <c r="DLE5" s="55"/>
      <c r="DLF5" s="55"/>
      <c r="DLG5" s="55"/>
      <c r="DLH5" s="55"/>
      <c r="DLI5" s="55"/>
      <c r="DLJ5" s="55"/>
      <c r="DLK5" s="55"/>
      <c r="DLL5" s="55"/>
      <c r="DLM5" s="55"/>
      <c r="DLN5" s="55"/>
      <c r="DLO5" s="55"/>
      <c r="DLP5" s="55"/>
      <c r="DLQ5" s="55"/>
      <c r="DLR5" s="55"/>
      <c r="DLS5" s="55"/>
      <c r="DLT5" s="55"/>
      <c r="DLU5" s="55"/>
      <c r="DLV5" s="55"/>
      <c r="DLW5" s="55"/>
      <c r="DLX5" s="55"/>
      <c r="DLY5" s="55"/>
      <c r="DLZ5" s="55"/>
      <c r="DMA5" s="55"/>
      <c r="DMB5" s="55"/>
      <c r="DMC5" s="55"/>
      <c r="DMD5" s="55"/>
      <c r="DME5" s="55"/>
      <c r="DMF5" s="55"/>
      <c r="DMG5" s="55"/>
      <c r="DMH5" s="55"/>
      <c r="DMI5" s="55"/>
      <c r="DMJ5" s="55"/>
      <c r="DMK5" s="55"/>
      <c r="DML5" s="55"/>
      <c r="DMM5" s="55"/>
      <c r="DMN5" s="55"/>
      <c r="DMO5" s="55"/>
      <c r="DMP5" s="55"/>
      <c r="DMQ5" s="55"/>
      <c r="DMR5" s="55"/>
      <c r="DMS5" s="55"/>
      <c r="DMT5" s="55"/>
      <c r="DMU5" s="55"/>
      <c r="DMV5" s="55"/>
      <c r="DMW5" s="55"/>
      <c r="DMX5" s="55"/>
      <c r="DMY5" s="55"/>
      <c r="DMZ5" s="55"/>
      <c r="DNA5" s="55"/>
      <c r="DNB5" s="55"/>
      <c r="DNC5" s="55"/>
      <c r="DND5" s="55"/>
      <c r="DNE5" s="55"/>
      <c r="DNF5" s="55"/>
      <c r="DNG5" s="55"/>
      <c r="DNH5" s="55"/>
      <c r="DNI5" s="55"/>
      <c r="DNJ5" s="55"/>
      <c r="DNK5" s="55"/>
      <c r="DNL5" s="55"/>
      <c r="DNM5" s="55"/>
      <c r="DNN5" s="55"/>
      <c r="DNO5" s="55"/>
      <c r="DNP5" s="55"/>
      <c r="DNQ5" s="55"/>
      <c r="DNR5" s="55"/>
      <c r="DNS5" s="55"/>
      <c r="DNT5" s="55"/>
      <c r="DNU5" s="55"/>
      <c r="DNV5" s="55"/>
      <c r="DNW5" s="55"/>
      <c r="DNX5" s="55"/>
      <c r="DNY5" s="55"/>
      <c r="DNZ5" s="55"/>
      <c r="DOA5" s="55"/>
      <c r="DOB5" s="55"/>
      <c r="DOC5" s="55"/>
      <c r="DOD5" s="55"/>
      <c r="DOE5" s="55"/>
      <c r="DOF5" s="55"/>
      <c r="DOG5" s="55"/>
      <c r="DOH5" s="55"/>
      <c r="DOI5" s="55"/>
      <c r="DOJ5" s="55"/>
      <c r="DOK5" s="55"/>
      <c r="DOL5" s="55"/>
      <c r="DOM5" s="55"/>
      <c r="DON5" s="55"/>
      <c r="DOO5" s="55"/>
      <c r="DOP5" s="55"/>
      <c r="DOQ5" s="55"/>
      <c r="DOR5" s="55"/>
      <c r="DOS5" s="55"/>
      <c r="DOT5" s="55"/>
      <c r="DOU5" s="55"/>
      <c r="DOV5" s="55"/>
      <c r="DOW5" s="55"/>
      <c r="DOX5" s="55"/>
      <c r="DOY5" s="55"/>
      <c r="DOZ5" s="55"/>
      <c r="DPA5" s="55"/>
      <c r="DPB5" s="55"/>
      <c r="DPC5" s="55"/>
      <c r="DPD5" s="55"/>
      <c r="DPE5" s="55"/>
      <c r="DPF5" s="55"/>
      <c r="DPG5" s="55"/>
      <c r="DPH5" s="55"/>
      <c r="DPI5" s="55"/>
      <c r="DPJ5" s="55"/>
      <c r="DPK5" s="55"/>
      <c r="DPL5" s="55"/>
      <c r="DPM5" s="55"/>
      <c r="DPN5" s="55"/>
      <c r="DPO5" s="55"/>
      <c r="DPP5" s="55"/>
      <c r="DPQ5" s="55"/>
      <c r="DPR5" s="55"/>
      <c r="DPS5" s="55"/>
      <c r="DPT5" s="55"/>
      <c r="DPU5" s="55"/>
      <c r="DPV5" s="55"/>
      <c r="DPW5" s="55"/>
      <c r="DPX5" s="55"/>
      <c r="DPY5" s="55"/>
      <c r="DPZ5" s="55"/>
      <c r="DQA5" s="55"/>
      <c r="DQB5" s="55"/>
      <c r="DQC5" s="55"/>
      <c r="DQD5" s="55"/>
      <c r="DQE5" s="55"/>
      <c r="DQF5" s="55"/>
      <c r="DQG5" s="55"/>
      <c r="DQH5" s="55"/>
      <c r="DQI5" s="55"/>
      <c r="DQJ5" s="55"/>
      <c r="DQK5" s="55"/>
      <c r="DQL5" s="55"/>
      <c r="DQM5" s="55"/>
      <c r="DQN5" s="55"/>
      <c r="DQO5" s="55"/>
      <c r="DQP5" s="55"/>
      <c r="DQQ5" s="55"/>
      <c r="DQR5" s="55"/>
      <c r="DQS5" s="55"/>
      <c r="DQT5" s="55"/>
      <c r="DQU5" s="55"/>
      <c r="DQV5" s="55"/>
      <c r="DQW5" s="55"/>
      <c r="DQX5" s="55"/>
      <c r="DQY5" s="55"/>
      <c r="DQZ5" s="55"/>
      <c r="DRA5" s="55"/>
      <c r="DRB5" s="55"/>
      <c r="DRC5" s="55"/>
      <c r="DRD5" s="55"/>
      <c r="DRE5" s="55"/>
      <c r="DRF5" s="55"/>
      <c r="DRG5" s="55"/>
      <c r="DRH5" s="55"/>
      <c r="DRI5" s="55"/>
      <c r="DRJ5" s="55"/>
      <c r="DRK5" s="55"/>
      <c r="DRL5" s="55"/>
      <c r="DRM5" s="55"/>
      <c r="DRN5" s="55"/>
      <c r="DRO5" s="55"/>
      <c r="DRP5" s="55"/>
      <c r="DRQ5" s="55"/>
      <c r="DRR5" s="55"/>
      <c r="DRS5" s="55"/>
      <c r="DRT5" s="55"/>
      <c r="DRU5" s="55"/>
      <c r="DRV5" s="55"/>
      <c r="DRW5" s="55"/>
      <c r="DRX5" s="55"/>
      <c r="DRY5" s="55"/>
      <c r="DRZ5" s="55"/>
      <c r="DSA5" s="55"/>
      <c r="DSB5" s="55"/>
      <c r="DSC5" s="55"/>
      <c r="DSD5" s="55"/>
      <c r="DSE5" s="55"/>
      <c r="DSF5" s="55"/>
      <c r="DSG5" s="55"/>
      <c r="DSH5" s="55"/>
      <c r="DSI5" s="55"/>
      <c r="DSJ5" s="55"/>
      <c r="DSK5" s="55"/>
      <c r="DSL5" s="55"/>
      <c r="DSM5" s="55"/>
      <c r="DSN5" s="55"/>
      <c r="DSO5" s="55"/>
      <c r="DSP5" s="55"/>
      <c r="DSQ5" s="55"/>
      <c r="DSR5" s="55"/>
      <c r="DSS5" s="55"/>
      <c r="DST5" s="55"/>
      <c r="DSU5" s="55"/>
      <c r="DSV5" s="55"/>
      <c r="DSW5" s="55"/>
      <c r="DSX5" s="55"/>
      <c r="DSY5" s="55"/>
      <c r="DSZ5" s="55"/>
      <c r="DTA5" s="55"/>
      <c r="DTB5" s="55"/>
      <c r="DTC5" s="55"/>
      <c r="DTD5" s="55"/>
      <c r="DTE5" s="55"/>
      <c r="DTF5" s="55"/>
      <c r="DTG5" s="55"/>
      <c r="DTH5" s="55"/>
      <c r="DTI5" s="55"/>
      <c r="DTJ5" s="55"/>
      <c r="DTK5" s="55"/>
      <c r="DTL5" s="55"/>
      <c r="DTM5" s="55"/>
      <c r="DTN5" s="55"/>
      <c r="DTO5" s="55"/>
      <c r="DTP5" s="55"/>
      <c r="DTQ5" s="55"/>
      <c r="DTR5" s="55"/>
      <c r="DTS5" s="55"/>
      <c r="DTT5" s="55"/>
      <c r="DTU5" s="55"/>
      <c r="DTV5" s="55"/>
      <c r="DTW5" s="55"/>
      <c r="DTX5" s="55"/>
      <c r="DTY5" s="55"/>
      <c r="DTZ5" s="55"/>
      <c r="DUA5" s="55"/>
      <c r="DUB5" s="55"/>
      <c r="DUC5" s="55"/>
      <c r="DUD5" s="55"/>
      <c r="DUE5" s="55"/>
      <c r="DUF5" s="55"/>
      <c r="DUG5" s="55"/>
      <c r="DUH5" s="55"/>
      <c r="DUI5" s="55"/>
      <c r="DUJ5" s="55"/>
      <c r="DUK5" s="55"/>
      <c r="DUL5" s="55"/>
      <c r="DUM5" s="55"/>
      <c r="DUN5" s="55"/>
      <c r="DUO5" s="55"/>
      <c r="DUP5" s="55"/>
      <c r="DUQ5" s="55"/>
      <c r="DUR5" s="55"/>
      <c r="DUS5" s="55"/>
      <c r="DUT5" s="55"/>
      <c r="DUU5" s="55"/>
      <c r="DUV5" s="55"/>
      <c r="DUW5" s="55"/>
      <c r="DUX5" s="55"/>
      <c r="DUY5" s="55"/>
      <c r="DUZ5" s="55"/>
      <c r="DVA5" s="55"/>
      <c r="DVB5" s="55"/>
      <c r="DVC5" s="55"/>
      <c r="DVD5" s="55"/>
      <c r="DVE5" s="55"/>
      <c r="DVF5" s="55"/>
      <c r="DVG5" s="55"/>
      <c r="DVH5" s="55"/>
      <c r="DVI5" s="55"/>
      <c r="DVJ5" s="55"/>
      <c r="DVK5" s="55"/>
      <c r="DVL5" s="55"/>
      <c r="DVM5" s="55"/>
      <c r="DVN5" s="55"/>
      <c r="DVO5" s="55"/>
      <c r="DVP5" s="55"/>
      <c r="DVQ5" s="55"/>
      <c r="DVR5" s="55"/>
      <c r="DVS5" s="55"/>
      <c r="DVT5" s="55"/>
      <c r="DVU5" s="55"/>
      <c r="DVV5" s="55"/>
      <c r="DVW5" s="55"/>
      <c r="DVX5" s="55"/>
      <c r="DVY5" s="55"/>
      <c r="DVZ5" s="55"/>
      <c r="DWA5" s="55"/>
      <c r="DWB5" s="55"/>
      <c r="DWC5" s="55"/>
      <c r="DWD5" s="55"/>
      <c r="DWE5" s="55"/>
      <c r="DWF5" s="55"/>
      <c r="DWG5" s="55"/>
      <c r="DWH5" s="55"/>
      <c r="DWI5" s="55"/>
      <c r="DWJ5" s="55"/>
      <c r="DWK5" s="55"/>
      <c r="DWL5" s="55"/>
      <c r="DWM5" s="55"/>
      <c r="DWN5" s="55"/>
      <c r="DWO5" s="55"/>
      <c r="DWP5" s="55"/>
      <c r="DWQ5" s="55"/>
      <c r="DWR5" s="55"/>
      <c r="DWS5" s="55"/>
      <c r="DWT5" s="55"/>
      <c r="DWU5" s="55"/>
      <c r="DWV5" s="55"/>
      <c r="DWW5" s="55"/>
      <c r="DWX5" s="55"/>
      <c r="DWY5" s="55"/>
      <c r="DWZ5" s="55"/>
      <c r="DXA5" s="55"/>
      <c r="DXB5" s="55"/>
      <c r="DXC5" s="55"/>
      <c r="DXD5" s="55"/>
      <c r="DXE5" s="55"/>
      <c r="DXF5" s="55"/>
      <c r="DXG5" s="55"/>
      <c r="DXH5" s="55"/>
      <c r="DXI5" s="55"/>
      <c r="DXJ5" s="55"/>
      <c r="DXK5" s="55"/>
      <c r="DXL5" s="55"/>
      <c r="DXM5" s="55"/>
      <c r="DXN5" s="55"/>
      <c r="DXO5" s="55"/>
      <c r="DXP5" s="55"/>
      <c r="DXQ5" s="55"/>
      <c r="DXR5" s="55"/>
      <c r="DXS5" s="55"/>
      <c r="DXT5" s="55"/>
      <c r="DXU5" s="55"/>
      <c r="DXV5" s="55"/>
      <c r="DXW5" s="55"/>
      <c r="DXX5" s="55"/>
      <c r="DXY5" s="55"/>
      <c r="DXZ5" s="55"/>
      <c r="DYA5" s="55"/>
      <c r="DYB5" s="55"/>
      <c r="DYC5" s="55"/>
      <c r="DYD5" s="55"/>
      <c r="DYE5" s="55"/>
      <c r="DYF5" s="55"/>
      <c r="DYG5" s="55"/>
      <c r="DYH5" s="55"/>
      <c r="DYI5" s="55"/>
      <c r="DYJ5" s="55"/>
      <c r="DYK5" s="55"/>
      <c r="DYL5" s="55"/>
      <c r="DYM5" s="55"/>
      <c r="DYN5" s="55"/>
      <c r="DYO5" s="55"/>
      <c r="DYP5" s="55"/>
      <c r="DYQ5" s="55"/>
      <c r="DYR5" s="55"/>
      <c r="DYS5" s="55"/>
      <c r="DYT5" s="55"/>
      <c r="DYU5" s="55"/>
      <c r="DYV5" s="55"/>
      <c r="DYW5" s="55"/>
      <c r="DYX5" s="55"/>
      <c r="DYY5" s="55"/>
      <c r="DYZ5" s="55"/>
      <c r="DZA5" s="55"/>
      <c r="DZB5" s="55"/>
      <c r="DZC5" s="55"/>
      <c r="DZD5" s="55"/>
      <c r="DZE5" s="55"/>
      <c r="DZF5" s="55"/>
      <c r="DZG5" s="55"/>
      <c r="DZH5" s="55"/>
      <c r="DZI5" s="55"/>
      <c r="DZJ5" s="55"/>
      <c r="DZK5" s="55"/>
      <c r="DZL5" s="55"/>
      <c r="DZM5" s="55"/>
      <c r="DZN5" s="55"/>
      <c r="DZO5" s="55"/>
      <c r="DZP5" s="55"/>
      <c r="DZQ5" s="55"/>
      <c r="DZR5" s="55"/>
      <c r="DZS5" s="55"/>
      <c r="DZT5" s="55"/>
      <c r="DZU5" s="55"/>
      <c r="DZV5" s="55"/>
      <c r="DZW5" s="55"/>
      <c r="DZX5" s="55"/>
      <c r="DZY5" s="55"/>
      <c r="DZZ5" s="55"/>
      <c r="EAA5" s="55"/>
      <c r="EAB5" s="55"/>
      <c r="EAC5" s="55"/>
      <c r="EAD5" s="55"/>
      <c r="EAE5" s="55"/>
      <c r="EAF5" s="55"/>
      <c r="EAG5" s="55"/>
      <c r="EAH5" s="55"/>
      <c r="EAI5" s="55"/>
      <c r="EAJ5" s="55"/>
      <c r="EAK5" s="55"/>
      <c r="EAL5" s="55"/>
      <c r="EAM5" s="55"/>
      <c r="EAN5" s="55"/>
      <c r="EAO5" s="55"/>
      <c r="EAP5" s="55"/>
      <c r="EAQ5" s="55"/>
      <c r="EAR5" s="55"/>
      <c r="EAS5" s="55"/>
      <c r="EAT5" s="55"/>
      <c r="EAU5" s="55"/>
      <c r="EAV5" s="55"/>
      <c r="EAW5" s="55"/>
      <c r="EAX5" s="55"/>
      <c r="EAY5" s="55"/>
      <c r="EAZ5" s="55"/>
      <c r="EBA5" s="55"/>
      <c r="EBB5" s="55"/>
      <c r="EBC5" s="55"/>
      <c r="EBD5" s="55"/>
      <c r="EBE5" s="55"/>
      <c r="EBF5" s="55"/>
      <c r="EBG5" s="55"/>
      <c r="EBH5" s="55"/>
      <c r="EBI5" s="55"/>
      <c r="EBJ5" s="55"/>
      <c r="EBK5" s="55"/>
      <c r="EBL5" s="55"/>
      <c r="EBM5" s="55"/>
      <c r="EBN5" s="55"/>
      <c r="EBO5" s="55"/>
      <c r="EBP5" s="55"/>
      <c r="EBQ5" s="55"/>
      <c r="EBR5" s="55"/>
      <c r="EBS5" s="55"/>
      <c r="EBT5" s="55"/>
      <c r="EBU5" s="55"/>
      <c r="EBV5" s="55"/>
      <c r="EBW5" s="55"/>
      <c r="EBX5" s="55"/>
      <c r="EBY5" s="55"/>
      <c r="EBZ5" s="55"/>
      <c r="ECA5" s="55"/>
      <c r="ECB5" s="55"/>
      <c r="ECC5" s="55"/>
      <c r="ECD5" s="55"/>
      <c r="ECE5" s="55"/>
      <c r="ECF5" s="55"/>
      <c r="ECG5" s="55"/>
      <c r="ECH5" s="55"/>
      <c r="ECI5" s="55"/>
      <c r="ECJ5" s="55"/>
      <c r="ECK5" s="55"/>
      <c r="ECL5" s="55"/>
      <c r="ECM5" s="55"/>
      <c r="ECN5" s="55"/>
      <c r="ECO5" s="55"/>
      <c r="ECP5" s="55"/>
      <c r="ECQ5" s="55"/>
      <c r="ECR5" s="55"/>
      <c r="ECS5" s="55"/>
      <c r="ECT5" s="55"/>
      <c r="ECU5" s="55"/>
      <c r="ECV5" s="55"/>
      <c r="ECW5" s="55"/>
      <c r="ECX5" s="55"/>
      <c r="ECY5" s="55"/>
      <c r="ECZ5" s="55"/>
      <c r="EDA5" s="55"/>
      <c r="EDB5" s="55"/>
      <c r="EDC5" s="55"/>
      <c r="EDD5" s="55"/>
      <c r="EDE5" s="55"/>
      <c r="EDF5" s="55"/>
      <c r="EDG5" s="55"/>
      <c r="EDH5" s="55"/>
      <c r="EDI5" s="55"/>
      <c r="EDJ5" s="55"/>
      <c r="EDK5" s="55"/>
      <c r="EDL5" s="55"/>
      <c r="EDM5" s="55"/>
      <c r="EDN5" s="55"/>
      <c r="EDO5" s="55"/>
      <c r="EDP5" s="55"/>
      <c r="EDQ5" s="55"/>
      <c r="EDR5" s="55"/>
      <c r="EDS5" s="55"/>
      <c r="EDT5" s="55"/>
      <c r="EDU5" s="55"/>
      <c r="EDV5" s="55"/>
      <c r="EDW5" s="55"/>
      <c r="EDX5" s="55"/>
      <c r="EDY5" s="55"/>
      <c r="EDZ5" s="55"/>
      <c r="EEA5" s="55"/>
      <c r="EEB5" s="55"/>
      <c r="EEC5" s="55"/>
      <c r="EED5" s="55"/>
      <c r="EEE5" s="55"/>
      <c r="EEF5" s="55"/>
      <c r="EEG5" s="55"/>
      <c r="EEH5" s="55"/>
      <c r="EEI5" s="55"/>
      <c r="EEJ5" s="55"/>
      <c r="EEK5" s="55"/>
      <c r="EEL5" s="55"/>
      <c r="EEM5" s="55"/>
      <c r="EEN5" s="55"/>
      <c r="EEO5" s="55"/>
      <c r="EEP5" s="55"/>
      <c r="EEQ5" s="55"/>
      <c r="EER5" s="55"/>
      <c r="EES5" s="55"/>
      <c r="EET5" s="55"/>
      <c r="EEU5" s="55"/>
      <c r="EEV5" s="55"/>
      <c r="EEW5" s="55"/>
      <c r="EEX5" s="55"/>
      <c r="EEY5" s="55"/>
      <c r="EEZ5" s="55"/>
      <c r="EFA5" s="55"/>
      <c r="EFB5" s="55"/>
      <c r="EFC5" s="55"/>
      <c r="EFD5" s="55"/>
      <c r="EFE5" s="55"/>
      <c r="EFF5" s="55"/>
      <c r="EFG5" s="55"/>
      <c r="EFH5" s="55"/>
      <c r="EFI5" s="55"/>
      <c r="EFJ5" s="55"/>
      <c r="EFK5" s="55"/>
      <c r="EFL5" s="55"/>
      <c r="EFM5" s="55"/>
      <c r="EFN5" s="55"/>
      <c r="EFO5" s="55"/>
      <c r="EFP5" s="55"/>
      <c r="EFQ5" s="55"/>
      <c r="EFR5" s="55"/>
      <c r="EFS5" s="55"/>
      <c r="EFT5" s="55"/>
      <c r="EFU5" s="55"/>
      <c r="EFV5" s="55"/>
      <c r="EFW5" s="55"/>
      <c r="EFX5" s="55"/>
      <c r="EFY5" s="55"/>
      <c r="EFZ5" s="55"/>
      <c r="EGA5" s="55"/>
      <c r="EGB5" s="55"/>
      <c r="EGC5" s="55"/>
      <c r="EGD5" s="55"/>
      <c r="EGE5" s="55"/>
      <c r="EGF5" s="55"/>
      <c r="EGG5" s="55"/>
      <c r="EGH5" s="55"/>
      <c r="EGI5" s="55"/>
      <c r="EGJ5" s="55"/>
      <c r="EGK5" s="55"/>
      <c r="EGL5" s="55"/>
      <c r="EGM5" s="55"/>
      <c r="EGN5" s="55"/>
      <c r="EGO5" s="55"/>
      <c r="EGP5" s="55"/>
      <c r="EGQ5" s="55"/>
      <c r="EGR5" s="55"/>
      <c r="EGS5" s="55"/>
      <c r="EGT5" s="55"/>
      <c r="EGU5" s="55"/>
      <c r="EGV5" s="55"/>
      <c r="EGW5" s="55"/>
      <c r="EGX5" s="55"/>
      <c r="EGY5" s="55"/>
      <c r="EGZ5" s="55"/>
      <c r="EHA5" s="55"/>
      <c r="EHB5" s="55"/>
      <c r="EHC5" s="55"/>
      <c r="EHD5" s="55"/>
      <c r="EHE5" s="55"/>
      <c r="EHF5" s="55"/>
      <c r="EHG5" s="55"/>
      <c r="EHH5" s="55"/>
      <c r="EHI5" s="55"/>
      <c r="EHJ5" s="55"/>
      <c r="EHK5" s="55"/>
      <c r="EHL5" s="55"/>
      <c r="EHM5" s="55"/>
      <c r="EHN5" s="55"/>
      <c r="EHO5" s="55"/>
      <c r="EHP5" s="55"/>
      <c r="EHQ5" s="55"/>
      <c r="EHR5" s="55"/>
      <c r="EHS5" s="55"/>
      <c r="EHT5" s="55"/>
      <c r="EHU5" s="55"/>
      <c r="EHV5" s="55"/>
      <c r="EHW5" s="55"/>
      <c r="EHX5" s="55"/>
      <c r="EHY5" s="55"/>
      <c r="EHZ5" s="55"/>
      <c r="EIA5" s="55"/>
      <c r="EIB5" s="55"/>
      <c r="EIC5" s="55"/>
      <c r="EID5" s="55"/>
      <c r="EIE5" s="55"/>
      <c r="EIF5" s="55"/>
      <c r="EIG5" s="55"/>
      <c r="EIH5" s="55"/>
      <c r="EII5" s="55"/>
      <c r="EIJ5" s="55"/>
      <c r="EIK5" s="55"/>
      <c r="EIL5" s="55"/>
      <c r="EIM5" s="55"/>
      <c r="EIN5" s="55"/>
      <c r="EIO5" s="55"/>
      <c r="EIP5" s="55"/>
      <c r="EIQ5" s="55"/>
      <c r="EIR5" s="55"/>
      <c r="EIS5" s="55"/>
      <c r="EIT5" s="55"/>
      <c r="EIU5" s="55"/>
      <c r="EIV5" s="55"/>
      <c r="EIW5" s="55"/>
      <c r="EIX5" s="55"/>
      <c r="EIY5" s="55"/>
      <c r="EIZ5" s="55"/>
      <c r="EJA5" s="55"/>
      <c r="EJB5" s="55"/>
      <c r="EJC5" s="55"/>
      <c r="EJD5" s="55"/>
      <c r="EJE5" s="55"/>
      <c r="EJF5" s="55"/>
      <c r="EJG5" s="55"/>
      <c r="EJH5" s="55"/>
      <c r="EJI5" s="55"/>
      <c r="EJJ5" s="55"/>
      <c r="EJK5" s="55"/>
      <c r="EJL5" s="55"/>
      <c r="EJM5" s="55"/>
      <c r="EJN5" s="55"/>
      <c r="EJO5" s="55"/>
      <c r="EJP5" s="55"/>
      <c r="EJQ5" s="55"/>
      <c r="EJR5" s="55"/>
      <c r="EJS5" s="55"/>
      <c r="EJT5" s="55"/>
      <c r="EJU5" s="55"/>
      <c r="EJV5" s="55"/>
      <c r="EJW5" s="55"/>
      <c r="EJX5" s="55"/>
      <c r="EJY5" s="55"/>
      <c r="EJZ5" s="55"/>
      <c r="EKA5" s="55"/>
      <c r="EKB5" s="55"/>
      <c r="EKC5" s="55"/>
      <c r="EKD5" s="55"/>
      <c r="EKE5" s="55"/>
      <c r="EKF5" s="55"/>
      <c r="EKG5" s="55"/>
      <c r="EKH5" s="55"/>
      <c r="EKI5" s="55"/>
      <c r="EKJ5" s="55"/>
      <c r="EKK5" s="55"/>
      <c r="EKL5" s="55"/>
      <c r="EKM5" s="55"/>
      <c r="EKN5" s="55"/>
      <c r="EKO5" s="55"/>
      <c r="EKP5" s="55"/>
      <c r="EKQ5" s="55"/>
      <c r="EKR5" s="55"/>
      <c r="EKS5" s="55"/>
      <c r="EKT5" s="55"/>
      <c r="EKU5" s="55"/>
      <c r="EKV5" s="55"/>
      <c r="EKW5" s="55"/>
      <c r="EKX5" s="55"/>
      <c r="EKY5" s="55"/>
      <c r="EKZ5" s="55"/>
      <c r="ELA5" s="55"/>
      <c r="ELB5" s="55"/>
      <c r="ELC5" s="55"/>
      <c r="ELD5" s="55"/>
      <c r="ELE5" s="55"/>
      <c r="ELF5" s="55"/>
      <c r="ELG5" s="55"/>
      <c r="ELH5" s="55"/>
      <c r="ELI5" s="55"/>
      <c r="ELJ5" s="55"/>
      <c r="ELK5" s="55"/>
      <c r="ELL5" s="55"/>
      <c r="ELM5" s="55"/>
      <c r="ELN5" s="55"/>
      <c r="ELO5" s="55"/>
      <c r="ELP5" s="55"/>
      <c r="ELQ5" s="55"/>
      <c r="ELR5" s="55"/>
      <c r="ELS5" s="55"/>
      <c r="ELT5" s="55"/>
      <c r="ELU5" s="55"/>
      <c r="ELV5" s="55"/>
      <c r="ELW5" s="55"/>
      <c r="ELX5" s="55"/>
      <c r="ELY5" s="55"/>
      <c r="ELZ5" s="55"/>
      <c r="EMA5" s="55"/>
      <c r="EMB5" s="55"/>
      <c r="EMC5" s="55"/>
      <c r="EMD5" s="55"/>
      <c r="EME5" s="55"/>
      <c r="EMF5" s="55"/>
      <c r="EMG5" s="55"/>
      <c r="EMH5" s="55"/>
      <c r="EMI5" s="55"/>
      <c r="EMJ5" s="55"/>
      <c r="EMK5" s="55"/>
      <c r="EML5" s="55"/>
      <c r="EMM5" s="55"/>
      <c r="EMN5" s="55"/>
      <c r="EMO5" s="55"/>
      <c r="EMP5" s="55"/>
      <c r="EMQ5" s="55"/>
      <c r="EMR5" s="55"/>
      <c r="EMS5" s="55"/>
      <c r="EMT5" s="55"/>
      <c r="EMU5" s="55"/>
      <c r="EMV5" s="55"/>
      <c r="EMW5" s="55"/>
      <c r="EMX5" s="55"/>
      <c r="EMY5" s="55"/>
      <c r="EMZ5" s="55"/>
      <c r="ENA5" s="55"/>
      <c r="ENB5" s="55"/>
      <c r="ENC5" s="55"/>
      <c r="END5" s="55"/>
      <c r="ENE5" s="55"/>
      <c r="ENF5" s="55"/>
      <c r="ENG5" s="55"/>
      <c r="ENH5" s="55"/>
      <c r="ENI5" s="55"/>
      <c r="ENJ5" s="55"/>
      <c r="ENK5" s="55"/>
      <c r="ENL5" s="55"/>
      <c r="ENM5" s="55"/>
      <c r="ENN5" s="55"/>
      <c r="ENO5" s="55"/>
      <c r="ENP5" s="55"/>
      <c r="ENQ5" s="55"/>
      <c r="ENR5" s="55"/>
      <c r="ENS5" s="55"/>
      <c r="ENT5" s="55"/>
      <c r="ENU5" s="55"/>
      <c r="ENV5" s="55"/>
      <c r="ENW5" s="55"/>
      <c r="ENX5" s="55"/>
      <c r="ENY5" s="55"/>
      <c r="ENZ5" s="55"/>
      <c r="EOA5" s="55"/>
      <c r="EOB5" s="55"/>
      <c r="EOC5" s="55"/>
      <c r="EOD5" s="55"/>
      <c r="EOE5" s="55"/>
      <c r="EOF5" s="55"/>
      <c r="EOG5" s="55"/>
      <c r="EOH5" s="55"/>
      <c r="EOI5" s="55"/>
      <c r="EOJ5" s="55"/>
      <c r="EOK5" s="55"/>
      <c r="EOL5" s="55"/>
      <c r="EOM5" s="55"/>
      <c r="EON5" s="55"/>
      <c r="EOO5" s="55"/>
      <c r="EOP5" s="55"/>
      <c r="EOQ5" s="55"/>
      <c r="EOR5" s="55"/>
      <c r="EOS5" s="55"/>
      <c r="EOT5" s="55"/>
      <c r="EOU5" s="55"/>
      <c r="EOV5" s="55"/>
      <c r="EOW5" s="55"/>
      <c r="EOX5" s="55"/>
      <c r="EOY5" s="55"/>
      <c r="EOZ5" s="55"/>
      <c r="EPA5" s="55"/>
      <c r="EPB5" s="55"/>
      <c r="EPC5" s="55"/>
      <c r="EPD5" s="55"/>
      <c r="EPE5" s="55"/>
      <c r="EPF5" s="55"/>
      <c r="EPG5" s="55"/>
      <c r="EPH5" s="55"/>
      <c r="EPI5" s="55"/>
      <c r="EPJ5" s="55"/>
      <c r="EPK5" s="55"/>
      <c r="EPL5" s="55"/>
      <c r="EPM5" s="55"/>
      <c r="EPN5" s="55"/>
      <c r="EPO5" s="55"/>
      <c r="EPP5" s="55"/>
      <c r="EPQ5" s="55"/>
      <c r="EPR5" s="55"/>
      <c r="EPS5" s="55"/>
      <c r="EPT5" s="55"/>
      <c r="EPU5" s="55"/>
      <c r="EPV5" s="55"/>
      <c r="EPW5" s="55"/>
      <c r="EPX5" s="55"/>
      <c r="EPY5" s="55"/>
      <c r="EPZ5" s="55"/>
      <c r="EQA5" s="55"/>
      <c r="EQB5" s="55"/>
      <c r="EQC5" s="55"/>
      <c r="EQD5" s="55"/>
      <c r="EQE5" s="55"/>
      <c r="EQF5" s="55"/>
      <c r="EQG5" s="55"/>
      <c r="EQH5" s="55"/>
      <c r="EQI5" s="55"/>
      <c r="EQJ5" s="55"/>
      <c r="EQK5" s="55"/>
      <c r="EQL5" s="55"/>
      <c r="EQM5" s="55"/>
      <c r="EQN5" s="55"/>
      <c r="EQO5" s="55"/>
      <c r="EQP5" s="55"/>
      <c r="EQQ5" s="55"/>
      <c r="EQR5" s="55"/>
      <c r="EQS5" s="55"/>
      <c r="EQT5" s="55"/>
      <c r="EQU5" s="55"/>
      <c r="EQV5" s="55"/>
      <c r="EQW5" s="55"/>
      <c r="EQX5" s="55"/>
      <c r="EQY5" s="55"/>
      <c r="EQZ5" s="55"/>
      <c r="ERA5" s="55"/>
      <c r="ERB5" s="55"/>
      <c r="ERC5" s="55"/>
      <c r="ERD5" s="55"/>
      <c r="ERE5" s="55"/>
      <c r="ERF5" s="55"/>
      <c r="ERG5" s="55"/>
      <c r="ERH5" s="55"/>
      <c r="ERI5" s="55"/>
      <c r="ERJ5" s="55"/>
      <c r="ERK5" s="55"/>
      <c r="ERL5" s="55"/>
      <c r="ERM5" s="55"/>
      <c r="ERN5" s="55"/>
      <c r="ERO5" s="55"/>
      <c r="ERP5" s="55"/>
      <c r="ERQ5" s="55"/>
      <c r="ERR5" s="55"/>
      <c r="ERS5" s="55"/>
      <c r="ERT5" s="55"/>
      <c r="ERU5" s="55"/>
      <c r="ERV5" s="55"/>
      <c r="ERW5" s="55"/>
      <c r="ERX5" s="55"/>
      <c r="ERY5" s="55"/>
      <c r="ERZ5" s="55"/>
      <c r="ESA5" s="55"/>
      <c r="ESB5" s="55"/>
      <c r="ESC5" s="55"/>
      <c r="ESD5" s="55"/>
      <c r="ESE5" s="55"/>
      <c r="ESF5" s="55"/>
      <c r="ESG5" s="55"/>
      <c r="ESH5" s="55"/>
      <c r="ESI5" s="55"/>
      <c r="ESJ5" s="55"/>
      <c r="ESK5" s="55"/>
      <c r="ESL5" s="55"/>
      <c r="ESM5" s="55"/>
      <c r="ESN5" s="55"/>
      <c r="ESO5" s="55"/>
      <c r="ESP5" s="55"/>
      <c r="ESQ5" s="55"/>
      <c r="ESR5" s="55"/>
      <c r="ESS5" s="55"/>
      <c r="EST5" s="55"/>
      <c r="ESU5" s="55"/>
      <c r="ESV5" s="55"/>
      <c r="ESW5" s="55"/>
      <c r="ESX5" s="55"/>
      <c r="ESY5" s="55"/>
      <c r="ESZ5" s="55"/>
      <c r="ETA5" s="55"/>
      <c r="ETB5" s="55"/>
      <c r="ETC5" s="55"/>
      <c r="ETD5" s="55"/>
      <c r="ETE5" s="55"/>
      <c r="ETF5" s="55"/>
      <c r="ETG5" s="55"/>
      <c r="ETH5" s="55"/>
      <c r="ETI5" s="55"/>
      <c r="ETJ5" s="55"/>
      <c r="ETK5" s="55"/>
      <c r="ETL5" s="55"/>
      <c r="ETM5" s="55"/>
      <c r="ETN5" s="55"/>
      <c r="ETO5" s="55"/>
      <c r="ETP5" s="55"/>
      <c r="ETQ5" s="55"/>
      <c r="ETR5" s="55"/>
      <c r="ETS5" s="55"/>
      <c r="ETT5" s="55"/>
      <c r="ETU5" s="55"/>
      <c r="ETV5" s="55"/>
      <c r="ETW5" s="55"/>
      <c r="ETX5" s="55"/>
      <c r="ETY5" s="55"/>
      <c r="ETZ5" s="55"/>
      <c r="EUA5" s="55"/>
      <c r="EUB5" s="55"/>
      <c r="EUC5" s="55"/>
      <c r="EUD5" s="55"/>
      <c r="EUE5" s="55"/>
      <c r="EUF5" s="55"/>
      <c r="EUG5" s="55"/>
      <c r="EUH5" s="55"/>
      <c r="EUI5" s="55"/>
      <c r="EUJ5" s="55"/>
      <c r="EUK5" s="55"/>
      <c r="EUL5" s="55"/>
      <c r="EUM5" s="55"/>
      <c r="EUN5" s="55"/>
      <c r="EUO5" s="55"/>
      <c r="EUP5" s="55"/>
      <c r="EUQ5" s="55"/>
      <c r="EUR5" s="55"/>
      <c r="EUS5" s="55"/>
      <c r="EUT5" s="55"/>
      <c r="EUU5" s="55"/>
      <c r="EUV5" s="55"/>
      <c r="EUW5" s="55"/>
      <c r="EUX5" s="55"/>
      <c r="EUY5" s="55"/>
      <c r="EUZ5" s="55"/>
      <c r="EVA5" s="55"/>
      <c r="EVB5" s="55"/>
      <c r="EVC5" s="55"/>
      <c r="EVD5" s="55"/>
      <c r="EVE5" s="55"/>
      <c r="EVF5" s="55"/>
      <c r="EVG5" s="55"/>
      <c r="EVH5" s="55"/>
      <c r="EVI5" s="55"/>
      <c r="EVJ5" s="55"/>
      <c r="EVK5" s="55"/>
      <c r="EVL5" s="55"/>
      <c r="EVM5" s="55"/>
      <c r="EVN5" s="55"/>
      <c r="EVO5" s="55"/>
      <c r="EVP5" s="55"/>
      <c r="EVQ5" s="55"/>
      <c r="EVR5" s="55"/>
      <c r="EVS5" s="55"/>
      <c r="EVT5" s="55"/>
      <c r="EVU5" s="55"/>
      <c r="EVV5" s="55"/>
      <c r="EVW5" s="55"/>
      <c r="EVX5" s="55"/>
      <c r="EVY5" s="55"/>
      <c r="EVZ5" s="55"/>
      <c r="EWA5" s="55"/>
      <c r="EWB5" s="55"/>
      <c r="EWC5" s="55"/>
      <c r="EWD5" s="55"/>
      <c r="EWE5" s="55"/>
      <c r="EWF5" s="55"/>
      <c r="EWG5" s="55"/>
      <c r="EWH5" s="55"/>
      <c r="EWI5" s="55"/>
      <c r="EWJ5" s="55"/>
      <c r="EWK5" s="55"/>
      <c r="EWL5" s="55"/>
      <c r="EWM5" s="55"/>
      <c r="EWN5" s="55"/>
      <c r="EWO5" s="55"/>
      <c r="EWP5" s="55"/>
      <c r="EWQ5" s="55"/>
      <c r="EWR5" s="55"/>
      <c r="EWS5" s="55"/>
      <c r="EWT5" s="55"/>
      <c r="EWU5" s="55"/>
      <c r="EWV5" s="55"/>
      <c r="EWW5" s="55"/>
      <c r="EWX5" s="55"/>
      <c r="EWY5" s="55"/>
      <c r="EWZ5" s="55"/>
      <c r="EXA5" s="55"/>
      <c r="EXB5" s="55"/>
      <c r="EXC5" s="55"/>
      <c r="EXD5" s="55"/>
      <c r="EXE5" s="55"/>
      <c r="EXF5" s="55"/>
      <c r="EXG5" s="55"/>
      <c r="EXH5" s="55"/>
      <c r="EXI5" s="55"/>
      <c r="EXJ5" s="55"/>
      <c r="EXK5" s="55"/>
      <c r="EXL5" s="55"/>
      <c r="EXM5" s="55"/>
      <c r="EXN5" s="55"/>
      <c r="EXO5" s="55"/>
      <c r="EXP5" s="55"/>
      <c r="EXQ5" s="55"/>
      <c r="EXR5" s="55"/>
      <c r="EXS5" s="55"/>
      <c r="EXT5" s="55"/>
      <c r="EXU5" s="55"/>
      <c r="EXV5" s="55"/>
      <c r="EXW5" s="55"/>
      <c r="EXX5" s="55"/>
      <c r="EXY5" s="55"/>
      <c r="EXZ5" s="55"/>
      <c r="EYA5" s="55"/>
      <c r="EYB5" s="55"/>
      <c r="EYC5" s="55"/>
      <c r="EYD5" s="55"/>
      <c r="EYE5" s="55"/>
      <c r="EYF5" s="55"/>
      <c r="EYG5" s="55"/>
      <c r="EYH5" s="55"/>
      <c r="EYI5" s="55"/>
      <c r="EYJ5" s="55"/>
      <c r="EYK5" s="55"/>
      <c r="EYL5" s="55"/>
      <c r="EYM5" s="55"/>
      <c r="EYN5" s="55"/>
      <c r="EYO5" s="55"/>
      <c r="EYP5" s="55"/>
      <c r="EYQ5" s="55"/>
      <c r="EYR5" s="55"/>
      <c r="EYS5" s="55"/>
      <c r="EYT5" s="55"/>
      <c r="EYU5" s="55"/>
      <c r="EYV5" s="55"/>
      <c r="EYW5" s="55"/>
      <c r="EYX5" s="55"/>
      <c r="EYY5" s="55"/>
      <c r="EYZ5" s="55"/>
      <c r="EZA5" s="55"/>
      <c r="EZB5" s="55"/>
      <c r="EZC5" s="55"/>
      <c r="EZD5" s="55"/>
      <c r="EZE5" s="55"/>
      <c r="EZF5" s="55"/>
      <c r="EZG5" s="55"/>
      <c r="EZH5" s="55"/>
      <c r="EZI5" s="55"/>
      <c r="EZJ5" s="55"/>
      <c r="EZK5" s="55"/>
      <c r="EZL5" s="55"/>
      <c r="EZM5" s="55"/>
      <c r="EZN5" s="55"/>
      <c r="EZO5" s="55"/>
      <c r="EZP5" s="55"/>
      <c r="EZQ5" s="55"/>
      <c r="EZR5" s="55"/>
      <c r="EZS5" s="55"/>
      <c r="EZT5" s="55"/>
      <c r="EZU5" s="55"/>
      <c r="EZV5" s="55"/>
      <c r="EZW5" s="55"/>
      <c r="EZX5" s="55"/>
      <c r="EZY5" s="55"/>
      <c r="EZZ5" s="55"/>
      <c r="FAA5" s="55"/>
      <c r="FAB5" s="55"/>
      <c r="FAC5" s="55"/>
      <c r="FAD5" s="55"/>
      <c r="FAE5" s="55"/>
      <c r="FAF5" s="55"/>
      <c r="FAG5" s="55"/>
      <c r="FAH5" s="55"/>
      <c r="FAI5" s="55"/>
      <c r="FAJ5" s="55"/>
      <c r="FAK5" s="55"/>
      <c r="FAL5" s="55"/>
      <c r="FAM5" s="55"/>
      <c r="FAN5" s="55"/>
      <c r="FAO5" s="55"/>
      <c r="FAP5" s="55"/>
      <c r="FAQ5" s="55"/>
      <c r="FAR5" s="55"/>
      <c r="FAS5" s="55"/>
      <c r="FAT5" s="55"/>
      <c r="FAU5" s="55"/>
      <c r="FAV5" s="55"/>
      <c r="FAW5" s="55"/>
      <c r="FAX5" s="55"/>
      <c r="FAY5" s="55"/>
      <c r="FAZ5" s="55"/>
      <c r="FBA5" s="55"/>
      <c r="FBB5" s="55"/>
      <c r="FBC5" s="55"/>
      <c r="FBD5" s="55"/>
      <c r="FBE5" s="55"/>
      <c r="FBF5" s="55"/>
      <c r="FBG5" s="55"/>
      <c r="FBH5" s="55"/>
      <c r="FBI5" s="55"/>
      <c r="FBJ5" s="55"/>
      <c r="FBK5" s="55"/>
      <c r="FBL5" s="55"/>
      <c r="FBM5" s="55"/>
      <c r="FBN5" s="55"/>
      <c r="FBO5" s="55"/>
      <c r="FBP5" s="55"/>
      <c r="FBQ5" s="55"/>
      <c r="FBR5" s="55"/>
      <c r="FBS5" s="55"/>
      <c r="FBT5" s="55"/>
      <c r="FBU5" s="55"/>
      <c r="FBV5" s="55"/>
      <c r="FBW5" s="55"/>
      <c r="FBX5" s="55"/>
      <c r="FBY5" s="55"/>
      <c r="FBZ5" s="55"/>
      <c r="FCA5" s="55"/>
      <c r="FCB5" s="55"/>
      <c r="FCC5" s="55"/>
      <c r="FCD5" s="55"/>
      <c r="FCE5" s="55"/>
      <c r="FCF5" s="55"/>
      <c r="FCG5" s="55"/>
      <c r="FCH5" s="55"/>
      <c r="FCI5" s="55"/>
      <c r="FCJ5" s="55"/>
      <c r="FCK5" s="55"/>
      <c r="FCL5" s="55"/>
      <c r="FCM5" s="55"/>
      <c r="FCN5" s="55"/>
      <c r="FCO5" s="55"/>
      <c r="FCP5" s="55"/>
      <c r="FCQ5" s="55"/>
      <c r="FCR5" s="55"/>
      <c r="FCS5" s="55"/>
      <c r="FCT5" s="55"/>
      <c r="FCU5" s="55"/>
      <c r="FCV5" s="55"/>
      <c r="FCW5" s="55"/>
      <c r="FCX5" s="55"/>
      <c r="FCY5" s="55"/>
      <c r="FCZ5" s="55"/>
      <c r="FDA5" s="55"/>
      <c r="FDB5" s="55"/>
      <c r="FDC5" s="55"/>
      <c r="FDD5" s="55"/>
      <c r="FDE5" s="55"/>
      <c r="FDF5" s="55"/>
      <c r="FDG5" s="55"/>
      <c r="FDH5" s="55"/>
      <c r="FDI5" s="55"/>
      <c r="FDJ5" s="55"/>
      <c r="FDK5" s="55"/>
      <c r="FDL5" s="55"/>
      <c r="FDM5" s="55"/>
      <c r="FDN5" s="55"/>
      <c r="FDO5" s="55"/>
      <c r="FDP5" s="55"/>
      <c r="FDQ5" s="55"/>
      <c r="FDR5" s="55"/>
      <c r="FDS5" s="55"/>
      <c r="FDT5" s="55"/>
      <c r="FDU5" s="55"/>
      <c r="FDV5" s="55"/>
      <c r="FDW5" s="55"/>
      <c r="FDX5" s="55"/>
      <c r="FDY5" s="55"/>
      <c r="FDZ5" s="55"/>
      <c r="FEA5" s="55"/>
      <c r="FEB5" s="55"/>
      <c r="FEC5" s="55"/>
      <c r="FED5" s="55"/>
      <c r="FEE5" s="55"/>
      <c r="FEF5" s="55"/>
      <c r="FEG5" s="55"/>
      <c r="FEH5" s="55"/>
      <c r="FEI5" s="55"/>
      <c r="FEJ5" s="55"/>
      <c r="FEK5" s="55"/>
      <c r="FEL5" s="55"/>
      <c r="FEM5" s="55"/>
      <c r="FEN5" s="55"/>
      <c r="FEO5" s="55"/>
      <c r="FEP5" s="55"/>
      <c r="FEQ5" s="55"/>
      <c r="FER5" s="55"/>
      <c r="FES5" s="55"/>
      <c r="FET5" s="55"/>
      <c r="FEU5" s="55"/>
      <c r="FEV5" s="55"/>
      <c r="FEW5" s="55"/>
      <c r="FEX5" s="55"/>
      <c r="FEY5" s="55"/>
      <c r="FEZ5" s="55"/>
      <c r="FFA5" s="55"/>
      <c r="FFB5" s="55"/>
      <c r="FFC5" s="55"/>
      <c r="FFD5" s="55"/>
      <c r="FFE5" s="55"/>
      <c r="FFF5" s="55"/>
      <c r="FFG5" s="55"/>
      <c r="FFH5" s="55"/>
      <c r="FFI5" s="55"/>
      <c r="FFJ5" s="55"/>
      <c r="FFK5" s="55"/>
      <c r="FFL5" s="55"/>
      <c r="FFM5" s="55"/>
      <c r="FFN5" s="55"/>
      <c r="FFO5" s="55"/>
      <c r="FFP5" s="55"/>
      <c r="FFQ5" s="55"/>
      <c r="FFR5" s="55"/>
      <c r="FFS5" s="55"/>
      <c r="FFT5" s="55"/>
      <c r="FFU5" s="55"/>
      <c r="FFV5" s="55"/>
      <c r="FFW5" s="55"/>
      <c r="FFX5" s="55"/>
      <c r="FFY5" s="55"/>
      <c r="FFZ5" s="55"/>
      <c r="FGA5" s="55"/>
      <c r="FGB5" s="55"/>
      <c r="FGC5" s="55"/>
      <c r="FGD5" s="55"/>
      <c r="FGE5" s="55"/>
      <c r="FGF5" s="55"/>
      <c r="FGG5" s="55"/>
      <c r="FGH5" s="55"/>
      <c r="FGI5" s="55"/>
      <c r="FGJ5" s="55"/>
      <c r="FGK5" s="55"/>
      <c r="FGL5" s="55"/>
      <c r="FGM5" s="55"/>
      <c r="FGN5" s="55"/>
      <c r="FGO5" s="55"/>
      <c r="FGP5" s="55"/>
      <c r="FGQ5" s="55"/>
      <c r="FGR5" s="55"/>
      <c r="FGS5" s="55"/>
      <c r="FGT5" s="55"/>
      <c r="FGU5" s="55"/>
      <c r="FGV5" s="55"/>
      <c r="FGW5" s="55"/>
      <c r="FGX5" s="55"/>
      <c r="FGY5" s="55"/>
      <c r="FGZ5" s="55"/>
      <c r="FHA5" s="55"/>
      <c r="FHB5" s="55"/>
      <c r="FHC5" s="55"/>
      <c r="FHD5" s="55"/>
      <c r="FHE5" s="55"/>
      <c r="FHF5" s="55"/>
      <c r="FHG5" s="55"/>
      <c r="FHH5" s="55"/>
      <c r="FHI5" s="55"/>
      <c r="FHJ5" s="55"/>
      <c r="FHK5" s="55"/>
      <c r="FHL5" s="55"/>
      <c r="FHM5" s="55"/>
      <c r="FHN5" s="55"/>
      <c r="FHO5" s="55"/>
      <c r="FHP5" s="55"/>
      <c r="FHQ5" s="55"/>
      <c r="FHR5" s="55"/>
      <c r="FHS5" s="55"/>
      <c r="FHT5" s="55"/>
      <c r="FHU5" s="55"/>
      <c r="FHV5" s="55"/>
      <c r="FHW5" s="55"/>
      <c r="FHX5" s="55"/>
      <c r="FHY5" s="55"/>
      <c r="FHZ5" s="55"/>
      <c r="FIA5" s="55"/>
      <c r="FIB5" s="55"/>
      <c r="FIC5" s="55"/>
      <c r="FID5" s="55"/>
      <c r="FIE5" s="55"/>
      <c r="FIF5" s="55"/>
      <c r="FIG5" s="55"/>
      <c r="FIH5" s="55"/>
      <c r="FII5" s="55"/>
      <c r="FIJ5" s="55"/>
      <c r="FIK5" s="55"/>
      <c r="FIL5" s="55"/>
      <c r="FIM5" s="55"/>
      <c r="FIN5" s="55"/>
      <c r="FIO5" s="55"/>
      <c r="FIP5" s="55"/>
      <c r="FIQ5" s="55"/>
      <c r="FIR5" s="55"/>
      <c r="FIS5" s="55"/>
      <c r="FIT5" s="55"/>
      <c r="FIU5" s="55"/>
      <c r="FIV5" s="55"/>
      <c r="FIW5" s="55"/>
      <c r="FIX5" s="55"/>
      <c r="FIY5" s="55"/>
      <c r="FIZ5" s="55"/>
      <c r="FJA5" s="55"/>
      <c r="FJB5" s="55"/>
      <c r="FJC5" s="55"/>
      <c r="FJD5" s="55"/>
      <c r="FJE5" s="55"/>
      <c r="FJF5" s="55"/>
      <c r="FJG5" s="55"/>
      <c r="FJH5" s="55"/>
      <c r="FJI5" s="55"/>
      <c r="FJJ5" s="55"/>
      <c r="FJK5" s="55"/>
      <c r="FJL5" s="55"/>
      <c r="FJM5" s="55"/>
      <c r="FJN5" s="55"/>
      <c r="FJO5" s="55"/>
      <c r="FJP5" s="55"/>
      <c r="FJQ5" s="55"/>
      <c r="FJR5" s="55"/>
      <c r="FJS5" s="55"/>
      <c r="FJT5" s="55"/>
      <c r="FJU5" s="55"/>
      <c r="FJV5" s="55"/>
      <c r="FJW5" s="55"/>
      <c r="FJX5" s="55"/>
      <c r="FJY5" s="55"/>
      <c r="FJZ5" s="55"/>
      <c r="FKA5" s="55"/>
      <c r="FKB5" s="55"/>
      <c r="FKC5" s="55"/>
      <c r="FKD5" s="55"/>
      <c r="FKE5" s="55"/>
      <c r="FKF5" s="55"/>
      <c r="FKG5" s="55"/>
      <c r="FKH5" s="55"/>
      <c r="FKI5" s="55"/>
      <c r="FKJ5" s="55"/>
      <c r="FKK5" s="55"/>
      <c r="FKL5" s="55"/>
      <c r="FKM5" s="55"/>
      <c r="FKN5" s="55"/>
      <c r="FKO5" s="55"/>
      <c r="FKP5" s="55"/>
      <c r="FKQ5" s="55"/>
      <c r="FKR5" s="55"/>
      <c r="FKS5" s="55"/>
      <c r="FKT5" s="55"/>
      <c r="FKU5" s="55"/>
      <c r="FKV5" s="55"/>
      <c r="FKW5" s="55"/>
      <c r="FKX5" s="55"/>
      <c r="FKY5" s="55"/>
      <c r="FKZ5" s="55"/>
      <c r="FLA5" s="55"/>
      <c r="FLB5" s="55"/>
      <c r="FLC5" s="55"/>
      <c r="FLD5" s="55"/>
      <c r="FLE5" s="55"/>
      <c r="FLF5" s="55"/>
      <c r="FLG5" s="55"/>
      <c r="FLH5" s="55"/>
      <c r="FLI5" s="55"/>
      <c r="FLJ5" s="55"/>
      <c r="FLK5" s="55"/>
      <c r="FLL5" s="55"/>
      <c r="FLM5" s="55"/>
      <c r="FLN5" s="55"/>
      <c r="FLO5" s="55"/>
      <c r="FLP5" s="55"/>
      <c r="FLQ5" s="55"/>
      <c r="FLR5" s="55"/>
      <c r="FLS5" s="55"/>
      <c r="FLT5" s="55"/>
      <c r="FLU5" s="55"/>
      <c r="FLV5" s="55"/>
      <c r="FLW5" s="55"/>
      <c r="FLX5" s="55"/>
      <c r="FLY5" s="55"/>
      <c r="FLZ5" s="55"/>
      <c r="FMA5" s="55"/>
      <c r="FMB5" s="55"/>
      <c r="FMC5" s="55"/>
      <c r="FMD5" s="55"/>
      <c r="FME5" s="55"/>
      <c r="FMF5" s="55"/>
      <c r="FMG5" s="55"/>
      <c r="FMH5" s="55"/>
      <c r="FMI5" s="55"/>
      <c r="FMJ5" s="55"/>
      <c r="FMK5" s="55"/>
      <c r="FML5" s="55"/>
      <c r="FMM5" s="55"/>
      <c r="FMN5" s="55"/>
      <c r="FMO5" s="55"/>
      <c r="FMP5" s="55"/>
      <c r="FMQ5" s="55"/>
      <c r="FMR5" s="55"/>
      <c r="FMS5" s="55"/>
      <c r="FMT5" s="55"/>
      <c r="FMU5" s="55"/>
      <c r="FMV5" s="55"/>
      <c r="FMW5" s="55"/>
      <c r="FMX5" s="55"/>
      <c r="FMY5" s="55"/>
      <c r="FMZ5" s="55"/>
      <c r="FNA5" s="55"/>
      <c r="FNB5" s="55"/>
      <c r="FNC5" s="55"/>
      <c r="FND5" s="55"/>
      <c r="FNE5" s="55"/>
      <c r="FNF5" s="55"/>
      <c r="FNG5" s="55"/>
      <c r="FNH5" s="55"/>
      <c r="FNI5" s="55"/>
      <c r="FNJ5" s="55"/>
      <c r="FNK5" s="55"/>
      <c r="FNL5" s="55"/>
      <c r="FNM5" s="55"/>
      <c r="FNN5" s="55"/>
      <c r="FNO5" s="55"/>
      <c r="FNP5" s="55"/>
      <c r="FNQ5" s="55"/>
      <c r="FNR5" s="55"/>
      <c r="FNS5" s="55"/>
      <c r="FNT5" s="55"/>
      <c r="FNU5" s="55"/>
      <c r="FNV5" s="55"/>
      <c r="FNW5" s="55"/>
      <c r="FNX5" s="55"/>
      <c r="FNY5" s="55"/>
      <c r="FNZ5" s="55"/>
      <c r="FOA5" s="55"/>
      <c r="FOB5" s="55"/>
      <c r="FOC5" s="55"/>
      <c r="FOD5" s="55"/>
      <c r="FOE5" s="55"/>
      <c r="FOF5" s="55"/>
      <c r="FOG5" s="55"/>
      <c r="FOH5" s="55"/>
      <c r="FOI5" s="55"/>
      <c r="FOJ5" s="55"/>
      <c r="FOK5" s="55"/>
      <c r="FOL5" s="55"/>
      <c r="FOM5" s="55"/>
      <c r="FON5" s="55"/>
      <c r="FOO5" s="55"/>
      <c r="FOP5" s="55"/>
      <c r="FOQ5" s="55"/>
      <c r="FOR5" s="55"/>
      <c r="FOS5" s="55"/>
      <c r="FOT5" s="55"/>
      <c r="FOU5" s="55"/>
      <c r="FOV5" s="55"/>
      <c r="FOW5" s="55"/>
      <c r="FOX5" s="55"/>
      <c r="FOY5" s="55"/>
      <c r="FOZ5" s="55"/>
      <c r="FPA5" s="55"/>
      <c r="FPB5" s="55"/>
      <c r="FPC5" s="55"/>
      <c r="FPD5" s="55"/>
      <c r="FPE5" s="55"/>
      <c r="FPF5" s="55"/>
      <c r="FPG5" s="55"/>
      <c r="FPH5" s="55"/>
      <c r="FPI5" s="55"/>
      <c r="FPJ5" s="55"/>
      <c r="FPK5" s="55"/>
      <c r="FPL5" s="55"/>
      <c r="FPM5" s="55"/>
      <c r="FPN5" s="55"/>
      <c r="FPO5" s="55"/>
      <c r="FPP5" s="55"/>
      <c r="FPQ5" s="55"/>
      <c r="FPR5" s="55"/>
      <c r="FPS5" s="55"/>
      <c r="FPT5" s="55"/>
      <c r="FPU5" s="55"/>
      <c r="FPV5" s="55"/>
      <c r="FPW5" s="55"/>
      <c r="FPX5" s="55"/>
      <c r="FPY5" s="55"/>
      <c r="FPZ5" s="55"/>
      <c r="FQA5" s="55"/>
      <c r="FQB5" s="55"/>
      <c r="FQC5" s="55"/>
      <c r="FQD5" s="55"/>
      <c r="FQE5" s="55"/>
      <c r="FQF5" s="55"/>
      <c r="FQG5" s="55"/>
      <c r="FQH5" s="55"/>
      <c r="FQI5" s="55"/>
      <c r="FQJ5" s="55"/>
      <c r="FQK5" s="55"/>
      <c r="FQL5" s="55"/>
      <c r="FQM5" s="55"/>
      <c r="FQN5" s="55"/>
      <c r="FQO5" s="55"/>
      <c r="FQP5" s="55"/>
      <c r="FQQ5" s="55"/>
      <c r="FQR5" s="55"/>
      <c r="FQS5" s="55"/>
      <c r="FQT5" s="55"/>
      <c r="FQU5" s="55"/>
      <c r="FQV5" s="55"/>
      <c r="FQW5" s="55"/>
      <c r="FQX5" s="55"/>
      <c r="FQY5" s="55"/>
      <c r="FQZ5" s="55"/>
      <c r="FRA5" s="55"/>
      <c r="FRB5" s="55"/>
      <c r="FRC5" s="55"/>
      <c r="FRD5" s="55"/>
      <c r="FRE5" s="55"/>
      <c r="FRF5" s="55"/>
      <c r="FRG5" s="55"/>
      <c r="FRH5" s="55"/>
      <c r="FRI5" s="55"/>
      <c r="FRJ5" s="55"/>
      <c r="FRK5" s="55"/>
      <c r="FRL5" s="55"/>
      <c r="FRM5" s="55"/>
      <c r="FRN5" s="55"/>
      <c r="FRO5" s="55"/>
      <c r="FRP5" s="55"/>
      <c r="FRQ5" s="55"/>
      <c r="FRR5" s="55"/>
      <c r="FRS5" s="55"/>
      <c r="FRT5" s="55"/>
      <c r="FRU5" s="55"/>
      <c r="FRV5" s="55"/>
      <c r="FRW5" s="55"/>
      <c r="FRX5" s="55"/>
      <c r="FRY5" s="55"/>
      <c r="FRZ5" s="55"/>
      <c r="FSA5" s="55"/>
      <c r="FSB5" s="55"/>
      <c r="FSC5" s="55"/>
      <c r="FSD5" s="55"/>
      <c r="FSE5" s="55"/>
      <c r="FSF5" s="55"/>
      <c r="FSG5" s="55"/>
      <c r="FSH5" s="55"/>
      <c r="FSI5" s="55"/>
      <c r="FSJ5" s="55"/>
      <c r="FSK5" s="55"/>
      <c r="FSL5" s="55"/>
      <c r="FSM5" s="55"/>
      <c r="FSN5" s="55"/>
      <c r="FSO5" s="55"/>
      <c r="FSP5" s="55"/>
      <c r="FSQ5" s="55"/>
      <c r="FSR5" s="55"/>
      <c r="FSS5" s="55"/>
      <c r="FST5" s="55"/>
      <c r="FSU5" s="55"/>
      <c r="FSV5" s="55"/>
      <c r="FSW5" s="55"/>
      <c r="FSX5" s="55"/>
      <c r="FSY5" s="55"/>
      <c r="FSZ5" s="55"/>
      <c r="FTA5" s="55"/>
      <c r="FTB5" s="55"/>
      <c r="FTC5" s="55"/>
      <c r="FTD5" s="55"/>
      <c r="FTE5" s="55"/>
      <c r="FTF5" s="55"/>
      <c r="FTG5" s="55"/>
      <c r="FTH5" s="55"/>
      <c r="FTI5" s="55"/>
      <c r="FTJ5" s="55"/>
      <c r="FTK5" s="55"/>
      <c r="FTL5" s="55"/>
      <c r="FTM5" s="55"/>
      <c r="FTN5" s="55"/>
      <c r="FTO5" s="55"/>
      <c r="FTP5" s="55"/>
      <c r="FTQ5" s="55"/>
      <c r="FTR5" s="55"/>
      <c r="FTS5" s="55"/>
      <c r="FTT5" s="55"/>
      <c r="FTU5" s="55"/>
      <c r="FTV5" s="55"/>
      <c r="FTW5" s="55"/>
      <c r="FTX5" s="55"/>
      <c r="FTY5" s="55"/>
      <c r="FTZ5" s="55"/>
      <c r="FUA5" s="55"/>
      <c r="FUB5" s="55"/>
      <c r="FUC5" s="55"/>
      <c r="FUD5" s="55"/>
      <c r="FUE5" s="55"/>
      <c r="FUF5" s="55"/>
      <c r="FUG5" s="55"/>
      <c r="FUH5" s="55"/>
      <c r="FUI5" s="55"/>
      <c r="FUJ5" s="55"/>
      <c r="FUK5" s="55"/>
      <c r="FUL5" s="55"/>
      <c r="FUM5" s="55"/>
      <c r="FUN5" s="55"/>
      <c r="FUO5" s="55"/>
      <c r="FUP5" s="55"/>
      <c r="FUQ5" s="55"/>
      <c r="FUR5" s="55"/>
      <c r="FUS5" s="55"/>
      <c r="FUT5" s="55"/>
      <c r="FUU5" s="55"/>
      <c r="FUV5" s="55"/>
      <c r="FUW5" s="55"/>
      <c r="FUX5" s="55"/>
      <c r="FUY5" s="55"/>
      <c r="FUZ5" s="55"/>
      <c r="FVA5" s="55"/>
      <c r="FVB5" s="55"/>
      <c r="FVC5" s="55"/>
      <c r="FVD5" s="55"/>
      <c r="FVE5" s="55"/>
      <c r="FVF5" s="55"/>
      <c r="FVG5" s="55"/>
      <c r="FVH5" s="55"/>
      <c r="FVI5" s="55"/>
      <c r="FVJ5" s="55"/>
      <c r="FVK5" s="55"/>
      <c r="FVL5" s="55"/>
      <c r="FVM5" s="55"/>
      <c r="FVN5" s="55"/>
      <c r="FVO5" s="55"/>
      <c r="FVP5" s="55"/>
      <c r="FVQ5" s="55"/>
      <c r="FVR5" s="55"/>
      <c r="FVS5" s="55"/>
      <c r="FVT5" s="55"/>
      <c r="FVU5" s="55"/>
      <c r="FVV5" s="55"/>
      <c r="FVW5" s="55"/>
      <c r="FVX5" s="55"/>
      <c r="FVY5" s="55"/>
      <c r="FVZ5" s="55"/>
      <c r="FWA5" s="55"/>
      <c r="FWB5" s="55"/>
      <c r="FWC5" s="55"/>
      <c r="FWD5" s="55"/>
      <c r="FWE5" s="55"/>
      <c r="FWF5" s="55"/>
      <c r="FWG5" s="55"/>
      <c r="FWH5" s="55"/>
      <c r="FWI5" s="55"/>
      <c r="FWJ5" s="55"/>
      <c r="FWK5" s="55"/>
      <c r="FWL5" s="55"/>
      <c r="FWM5" s="55"/>
      <c r="FWN5" s="55"/>
      <c r="FWO5" s="55"/>
      <c r="FWP5" s="55"/>
      <c r="FWQ5" s="55"/>
      <c r="FWR5" s="55"/>
      <c r="FWS5" s="55"/>
      <c r="FWT5" s="55"/>
      <c r="FWU5" s="55"/>
      <c r="FWV5" s="55"/>
      <c r="FWW5" s="55"/>
      <c r="FWX5" s="55"/>
      <c r="FWY5" s="55"/>
      <c r="FWZ5" s="55"/>
      <c r="FXA5" s="55"/>
      <c r="FXB5" s="55"/>
      <c r="FXC5" s="55"/>
      <c r="FXD5" s="55"/>
      <c r="FXE5" s="55"/>
      <c r="FXF5" s="55"/>
      <c r="FXG5" s="55"/>
      <c r="FXH5" s="55"/>
      <c r="FXI5" s="55"/>
      <c r="FXJ5" s="55"/>
      <c r="FXK5" s="55"/>
      <c r="FXL5" s="55"/>
      <c r="FXM5" s="55"/>
      <c r="FXN5" s="55"/>
      <c r="FXO5" s="55"/>
      <c r="FXP5" s="55"/>
      <c r="FXQ5" s="55"/>
      <c r="FXR5" s="55"/>
      <c r="FXS5" s="55"/>
      <c r="FXT5" s="55"/>
      <c r="FXU5" s="55"/>
      <c r="FXV5" s="55"/>
      <c r="FXW5" s="55"/>
      <c r="FXX5" s="55"/>
      <c r="FXY5" s="55"/>
      <c r="FXZ5" s="55"/>
      <c r="FYA5" s="55"/>
      <c r="FYB5" s="55"/>
      <c r="FYC5" s="55"/>
      <c r="FYD5" s="55"/>
      <c r="FYE5" s="55"/>
      <c r="FYF5" s="55"/>
      <c r="FYG5" s="55"/>
      <c r="FYH5" s="55"/>
      <c r="FYI5" s="55"/>
      <c r="FYJ5" s="55"/>
      <c r="FYK5" s="55"/>
      <c r="FYL5" s="55"/>
      <c r="FYM5" s="55"/>
      <c r="FYN5" s="55"/>
      <c r="FYO5" s="55"/>
      <c r="FYP5" s="55"/>
      <c r="FYQ5" s="55"/>
      <c r="FYR5" s="55"/>
      <c r="FYS5" s="55"/>
      <c r="FYT5" s="55"/>
      <c r="FYU5" s="55"/>
      <c r="FYV5" s="55"/>
      <c r="FYW5" s="55"/>
      <c r="FYX5" s="55"/>
      <c r="FYY5" s="55"/>
      <c r="FYZ5" s="55"/>
      <c r="FZA5" s="55"/>
      <c r="FZB5" s="55"/>
      <c r="FZC5" s="55"/>
      <c r="FZD5" s="55"/>
      <c r="FZE5" s="55"/>
      <c r="FZF5" s="55"/>
      <c r="FZG5" s="55"/>
      <c r="FZH5" s="55"/>
      <c r="FZI5" s="55"/>
      <c r="FZJ5" s="55"/>
      <c r="FZK5" s="55"/>
      <c r="FZL5" s="55"/>
      <c r="FZM5" s="55"/>
      <c r="FZN5" s="55"/>
      <c r="FZO5" s="55"/>
      <c r="FZP5" s="55"/>
      <c r="FZQ5" s="55"/>
      <c r="FZR5" s="55"/>
      <c r="FZS5" s="55"/>
      <c r="FZT5" s="55"/>
      <c r="FZU5" s="55"/>
      <c r="FZV5" s="55"/>
      <c r="FZW5" s="55"/>
      <c r="FZX5" s="55"/>
      <c r="FZY5" s="55"/>
      <c r="FZZ5" s="55"/>
      <c r="GAA5" s="55"/>
      <c r="GAB5" s="55"/>
      <c r="GAC5" s="55"/>
      <c r="GAD5" s="55"/>
      <c r="GAE5" s="55"/>
      <c r="GAF5" s="55"/>
      <c r="GAG5" s="55"/>
      <c r="GAH5" s="55"/>
      <c r="GAI5" s="55"/>
      <c r="GAJ5" s="55"/>
      <c r="GAK5" s="55"/>
      <c r="GAL5" s="55"/>
      <c r="GAM5" s="55"/>
      <c r="GAN5" s="55"/>
      <c r="GAO5" s="55"/>
      <c r="GAP5" s="55"/>
      <c r="GAQ5" s="55"/>
      <c r="GAR5" s="55"/>
      <c r="GAS5" s="55"/>
      <c r="GAT5" s="55"/>
      <c r="GAU5" s="55"/>
      <c r="GAV5" s="55"/>
      <c r="GAW5" s="55"/>
      <c r="GAX5" s="55"/>
      <c r="GAY5" s="55"/>
      <c r="GAZ5" s="55"/>
      <c r="GBA5" s="55"/>
      <c r="GBB5" s="55"/>
      <c r="GBC5" s="55"/>
      <c r="GBD5" s="55"/>
      <c r="GBE5" s="55"/>
      <c r="GBF5" s="55"/>
      <c r="GBG5" s="55"/>
      <c r="GBH5" s="55"/>
      <c r="GBI5" s="55"/>
      <c r="GBJ5" s="55"/>
      <c r="GBK5" s="55"/>
      <c r="GBL5" s="55"/>
      <c r="GBM5" s="55"/>
      <c r="GBN5" s="55"/>
      <c r="GBO5" s="55"/>
      <c r="GBP5" s="55"/>
      <c r="GBQ5" s="55"/>
      <c r="GBR5" s="55"/>
      <c r="GBS5" s="55"/>
      <c r="GBT5" s="55"/>
      <c r="GBU5" s="55"/>
      <c r="GBV5" s="55"/>
      <c r="GBW5" s="55"/>
      <c r="GBX5" s="55"/>
      <c r="GBY5" s="55"/>
      <c r="GBZ5" s="55"/>
      <c r="GCA5" s="55"/>
      <c r="GCB5" s="55"/>
      <c r="GCC5" s="55"/>
      <c r="GCD5" s="55"/>
      <c r="GCE5" s="55"/>
      <c r="GCF5" s="55"/>
      <c r="GCG5" s="55"/>
      <c r="GCH5" s="55"/>
      <c r="GCI5" s="55"/>
      <c r="GCJ5" s="55"/>
      <c r="GCK5" s="55"/>
      <c r="GCL5" s="55"/>
      <c r="GCM5" s="55"/>
      <c r="GCN5" s="55"/>
      <c r="GCO5" s="55"/>
      <c r="GCP5" s="55"/>
      <c r="GCQ5" s="55"/>
      <c r="GCR5" s="55"/>
      <c r="GCS5" s="55"/>
      <c r="GCT5" s="55"/>
      <c r="GCU5" s="55"/>
      <c r="GCV5" s="55"/>
      <c r="GCW5" s="55"/>
      <c r="GCX5" s="55"/>
      <c r="GCY5" s="55"/>
      <c r="GCZ5" s="55"/>
      <c r="GDA5" s="55"/>
      <c r="GDB5" s="55"/>
      <c r="GDC5" s="55"/>
      <c r="GDD5" s="55"/>
      <c r="GDE5" s="55"/>
      <c r="GDF5" s="55"/>
      <c r="GDG5" s="55"/>
      <c r="GDH5" s="55"/>
      <c r="GDI5" s="55"/>
      <c r="GDJ5" s="55"/>
      <c r="GDK5" s="55"/>
      <c r="GDL5" s="55"/>
      <c r="GDM5" s="55"/>
      <c r="GDN5" s="55"/>
      <c r="GDO5" s="55"/>
      <c r="GDP5" s="55"/>
      <c r="GDQ5" s="55"/>
      <c r="GDR5" s="55"/>
      <c r="GDS5" s="55"/>
      <c r="GDT5" s="55"/>
      <c r="GDU5" s="55"/>
      <c r="GDV5" s="55"/>
      <c r="GDW5" s="55"/>
      <c r="GDX5" s="55"/>
      <c r="GDY5" s="55"/>
      <c r="GDZ5" s="55"/>
      <c r="GEA5" s="55"/>
      <c r="GEB5" s="55"/>
      <c r="GEC5" s="55"/>
      <c r="GED5" s="55"/>
      <c r="GEE5" s="55"/>
      <c r="GEF5" s="55"/>
      <c r="GEG5" s="55"/>
      <c r="GEH5" s="55"/>
      <c r="GEI5" s="55"/>
      <c r="GEJ5" s="55"/>
      <c r="GEK5" s="55"/>
      <c r="GEL5" s="55"/>
      <c r="GEM5" s="55"/>
      <c r="GEN5" s="55"/>
      <c r="GEO5" s="55"/>
      <c r="GEP5" s="55"/>
      <c r="GEQ5" s="55"/>
      <c r="GER5" s="55"/>
      <c r="GES5" s="55"/>
      <c r="GET5" s="55"/>
      <c r="GEU5" s="55"/>
      <c r="GEV5" s="55"/>
      <c r="GEW5" s="55"/>
      <c r="GEX5" s="55"/>
      <c r="GEY5" s="55"/>
      <c r="GEZ5" s="55"/>
      <c r="GFA5" s="55"/>
      <c r="GFB5" s="55"/>
      <c r="GFC5" s="55"/>
      <c r="GFD5" s="55"/>
      <c r="GFE5" s="55"/>
      <c r="GFF5" s="55"/>
      <c r="GFG5" s="55"/>
      <c r="GFH5" s="55"/>
      <c r="GFI5" s="55"/>
      <c r="GFJ5" s="55"/>
      <c r="GFK5" s="55"/>
      <c r="GFL5" s="55"/>
      <c r="GFM5" s="55"/>
      <c r="GFN5" s="55"/>
      <c r="GFO5" s="55"/>
      <c r="GFP5" s="55"/>
      <c r="GFQ5" s="55"/>
      <c r="GFR5" s="55"/>
      <c r="GFS5" s="55"/>
      <c r="GFT5" s="55"/>
      <c r="GFU5" s="55"/>
      <c r="GFV5" s="55"/>
      <c r="GFW5" s="55"/>
      <c r="GFX5" s="55"/>
      <c r="GFY5" s="55"/>
      <c r="GFZ5" s="55"/>
      <c r="GGA5" s="55"/>
      <c r="GGB5" s="55"/>
      <c r="GGC5" s="55"/>
      <c r="GGD5" s="55"/>
      <c r="GGE5" s="55"/>
      <c r="GGF5" s="55"/>
      <c r="GGG5" s="55"/>
      <c r="GGH5" s="55"/>
      <c r="GGI5" s="55"/>
      <c r="GGJ5" s="55"/>
      <c r="GGK5" s="55"/>
      <c r="GGL5" s="55"/>
      <c r="GGM5" s="55"/>
      <c r="GGN5" s="55"/>
      <c r="GGO5" s="55"/>
      <c r="GGP5" s="55"/>
      <c r="GGQ5" s="55"/>
      <c r="GGR5" s="55"/>
      <c r="GGS5" s="55"/>
      <c r="GGT5" s="55"/>
      <c r="GGU5" s="55"/>
      <c r="GGV5" s="55"/>
      <c r="GGW5" s="55"/>
      <c r="GGX5" s="55"/>
      <c r="GGY5" s="55"/>
      <c r="GGZ5" s="55"/>
      <c r="GHA5" s="55"/>
      <c r="GHB5" s="55"/>
      <c r="GHC5" s="55"/>
      <c r="GHD5" s="55"/>
      <c r="GHE5" s="55"/>
      <c r="GHF5" s="55"/>
      <c r="GHG5" s="55"/>
      <c r="GHH5" s="55"/>
      <c r="GHI5" s="55"/>
      <c r="GHJ5" s="55"/>
      <c r="GHK5" s="55"/>
      <c r="GHL5" s="55"/>
      <c r="GHM5" s="55"/>
      <c r="GHN5" s="55"/>
      <c r="GHO5" s="55"/>
      <c r="GHP5" s="55"/>
      <c r="GHQ5" s="55"/>
      <c r="GHR5" s="55"/>
      <c r="GHS5" s="55"/>
      <c r="GHT5" s="55"/>
      <c r="GHU5" s="55"/>
      <c r="GHV5" s="55"/>
      <c r="GHW5" s="55"/>
      <c r="GHX5" s="55"/>
      <c r="GHY5" s="55"/>
      <c r="GHZ5" s="55"/>
      <c r="GIA5" s="55"/>
      <c r="GIB5" s="55"/>
      <c r="GIC5" s="55"/>
      <c r="GID5" s="55"/>
      <c r="GIE5" s="55"/>
      <c r="GIF5" s="55"/>
      <c r="GIG5" s="55"/>
      <c r="GIH5" s="55"/>
      <c r="GII5" s="55"/>
      <c r="GIJ5" s="55"/>
      <c r="GIK5" s="55"/>
      <c r="GIL5" s="55"/>
      <c r="GIM5" s="55"/>
      <c r="GIN5" s="55"/>
      <c r="GIO5" s="55"/>
      <c r="GIP5" s="55"/>
      <c r="GIQ5" s="55"/>
      <c r="GIR5" s="55"/>
      <c r="GIS5" s="55"/>
      <c r="GIT5" s="55"/>
      <c r="GIU5" s="55"/>
      <c r="GIV5" s="55"/>
      <c r="GIW5" s="55"/>
      <c r="GIX5" s="55"/>
      <c r="GIY5" s="55"/>
      <c r="GIZ5" s="55"/>
      <c r="GJA5" s="55"/>
      <c r="GJB5" s="55"/>
      <c r="GJC5" s="55"/>
      <c r="GJD5" s="55"/>
      <c r="GJE5" s="55"/>
      <c r="GJF5" s="55"/>
      <c r="GJG5" s="55"/>
      <c r="GJH5" s="55"/>
      <c r="GJI5" s="55"/>
      <c r="GJJ5" s="55"/>
      <c r="GJK5" s="55"/>
      <c r="GJL5" s="55"/>
      <c r="GJM5" s="55"/>
      <c r="GJN5" s="55"/>
      <c r="GJO5" s="55"/>
      <c r="GJP5" s="55"/>
      <c r="GJQ5" s="55"/>
      <c r="GJR5" s="55"/>
      <c r="GJS5" s="55"/>
      <c r="GJT5" s="55"/>
      <c r="GJU5" s="55"/>
      <c r="GJV5" s="55"/>
      <c r="GJW5" s="55"/>
      <c r="GJX5" s="55"/>
      <c r="GJY5" s="55"/>
      <c r="GJZ5" s="55"/>
      <c r="GKA5" s="55"/>
      <c r="GKB5" s="55"/>
      <c r="GKC5" s="55"/>
      <c r="GKD5" s="55"/>
      <c r="GKE5" s="55"/>
      <c r="GKF5" s="55"/>
      <c r="GKG5" s="55"/>
      <c r="GKH5" s="55"/>
      <c r="GKI5" s="55"/>
      <c r="GKJ5" s="55"/>
      <c r="GKK5" s="55"/>
      <c r="GKL5" s="55"/>
      <c r="GKM5" s="55"/>
      <c r="GKN5" s="55"/>
      <c r="GKO5" s="55"/>
      <c r="GKP5" s="55"/>
      <c r="GKQ5" s="55"/>
      <c r="GKR5" s="55"/>
      <c r="GKS5" s="55"/>
      <c r="GKT5" s="55"/>
      <c r="GKU5" s="55"/>
      <c r="GKV5" s="55"/>
      <c r="GKW5" s="55"/>
      <c r="GKX5" s="55"/>
      <c r="GKY5" s="55"/>
      <c r="GKZ5" s="55"/>
      <c r="GLA5" s="55"/>
      <c r="GLB5" s="55"/>
      <c r="GLC5" s="55"/>
      <c r="GLD5" s="55"/>
      <c r="GLE5" s="55"/>
      <c r="GLF5" s="55"/>
      <c r="GLG5" s="55"/>
      <c r="GLH5" s="55"/>
      <c r="GLI5" s="55"/>
      <c r="GLJ5" s="55"/>
      <c r="GLK5" s="55"/>
      <c r="GLL5" s="55"/>
      <c r="GLM5" s="55"/>
      <c r="GLN5" s="55"/>
      <c r="GLO5" s="55"/>
      <c r="GLP5" s="55"/>
      <c r="GLQ5" s="55"/>
      <c r="GLR5" s="55"/>
      <c r="GLS5" s="55"/>
      <c r="GLT5" s="55"/>
      <c r="GLU5" s="55"/>
      <c r="GLV5" s="55"/>
      <c r="GLW5" s="55"/>
      <c r="GLX5" s="55"/>
      <c r="GLY5" s="55"/>
      <c r="GLZ5" s="55"/>
      <c r="GMA5" s="55"/>
      <c r="GMB5" s="55"/>
      <c r="GMC5" s="55"/>
      <c r="GMD5" s="55"/>
      <c r="GME5" s="55"/>
      <c r="GMF5" s="55"/>
      <c r="GMG5" s="55"/>
      <c r="GMH5" s="55"/>
      <c r="GMI5" s="55"/>
      <c r="GMJ5" s="55"/>
      <c r="GMK5" s="55"/>
      <c r="GML5" s="55"/>
      <c r="GMM5" s="55"/>
      <c r="GMN5" s="55"/>
      <c r="GMO5" s="55"/>
      <c r="GMP5" s="55"/>
      <c r="GMQ5" s="55"/>
      <c r="GMR5" s="55"/>
      <c r="GMS5" s="55"/>
      <c r="GMT5" s="55"/>
      <c r="GMU5" s="55"/>
      <c r="GMV5" s="55"/>
      <c r="GMW5" s="55"/>
      <c r="GMX5" s="55"/>
      <c r="GMY5" s="55"/>
      <c r="GMZ5" s="55"/>
      <c r="GNA5" s="55"/>
      <c r="GNB5" s="55"/>
      <c r="GNC5" s="55"/>
      <c r="GND5" s="55"/>
      <c r="GNE5" s="55"/>
      <c r="GNF5" s="55"/>
      <c r="GNG5" s="55"/>
      <c r="GNH5" s="55"/>
      <c r="GNI5" s="55"/>
      <c r="GNJ5" s="55"/>
      <c r="GNK5" s="55"/>
      <c r="GNL5" s="55"/>
      <c r="GNM5" s="55"/>
      <c r="GNN5" s="55"/>
      <c r="GNO5" s="55"/>
      <c r="GNP5" s="55"/>
      <c r="GNQ5" s="55"/>
      <c r="GNR5" s="55"/>
      <c r="GNS5" s="55"/>
      <c r="GNT5" s="55"/>
      <c r="GNU5" s="55"/>
      <c r="GNV5" s="55"/>
      <c r="GNW5" s="55"/>
      <c r="GNX5" s="55"/>
      <c r="GNY5" s="55"/>
      <c r="GNZ5" s="55"/>
      <c r="GOA5" s="55"/>
      <c r="GOB5" s="55"/>
      <c r="GOC5" s="55"/>
      <c r="GOD5" s="55"/>
      <c r="GOE5" s="55"/>
      <c r="GOF5" s="55"/>
      <c r="GOG5" s="55"/>
      <c r="GOH5" s="55"/>
      <c r="GOI5" s="55"/>
      <c r="GOJ5" s="55"/>
      <c r="GOK5" s="55"/>
      <c r="GOL5" s="55"/>
      <c r="GOM5" s="55"/>
      <c r="GON5" s="55"/>
      <c r="GOO5" s="55"/>
      <c r="GOP5" s="55"/>
      <c r="GOQ5" s="55"/>
      <c r="GOR5" s="55"/>
      <c r="GOS5" s="55"/>
      <c r="GOT5" s="55"/>
      <c r="GOU5" s="55"/>
      <c r="GOV5" s="55"/>
      <c r="GOW5" s="55"/>
      <c r="GOX5" s="55"/>
      <c r="GOY5" s="55"/>
      <c r="GOZ5" s="55"/>
      <c r="GPA5" s="55"/>
      <c r="GPB5" s="55"/>
      <c r="GPC5" s="55"/>
      <c r="GPD5" s="55"/>
      <c r="GPE5" s="55"/>
      <c r="GPF5" s="55"/>
      <c r="GPG5" s="55"/>
      <c r="GPH5" s="55"/>
      <c r="GPI5" s="55"/>
      <c r="GPJ5" s="55"/>
      <c r="GPK5" s="55"/>
      <c r="GPL5" s="55"/>
      <c r="GPM5" s="55"/>
      <c r="GPN5" s="55"/>
      <c r="GPO5" s="55"/>
      <c r="GPP5" s="55"/>
      <c r="GPQ5" s="55"/>
      <c r="GPR5" s="55"/>
      <c r="GPS5" s="55"/>
      <c r="GPT5" s="55"/>
      <c r="GPU5" s="55"/>
      <c r="GPV5" s="55"/>
      <c r="GPW5" s="55"/>
      <c r="GPX5" s="55"/>
      <c r="GPY5" s="55"/>
      <c r="GPZ5" s="55"/>
      <c r="GQA5" s="55"/>
      <c r="GQB5" s="55"/>
      <c r="GQC5" s="55"/>
      <c r="GQD5" s="55"/>
      <c r="GQE5" s="55"/>
      <c r="GQF5" s="55"/>
      <c r="GQG5" s="55"/>
      <c r="GQH5" s="55"/>
      <c r="GQI5" s="55"/>
      <c r="GQJ5" s="55"/>
      <c r="GQK5" s="55"/>
      <c r="GQL5" s="55"/>
      <c r="GQM5" s="55"/>
      <c r="GQN5" s="55"/>
      <c r="GQO5" s="55"/>
      <c r="GQP5" s="55"/>
      <c r="GQQ5" s="55"/>
      <c r="GQR5" s="55"/>
      <c r="GQS5" s="55"/>
      <c r="GQT5" s="55"/>
      <c r="GQU5" s="55"/>
      <c r="GQV5" s="55"/>
      <c r="GQW5" s="55"/>
      <c r="GQX5" s="55"/>
      <c r="GQY5" s="55"/>
      <c r="GQZ5" s="55"/>
      <c r="GRA5" s="55"/>
      <c r="GRB5" s="55"/>
      <c r="GRC5" s="55"/>
      <c r="GRD5" s="55"/>
      <c r="GRE5" s="55"/>
      <c r="GRF5" s="55"/>
      <c r="GRG5" s="55"/>
      <c r="GRH5" s="55"/>
      <c r="GRI5" s="55"/>
      <c r="GRJ5" s="55"/>
      <c r="GRK5" s="55"/>
      <c r="GRL5" s="55"/>
      <c r="GRM5" s="55"/>
      <c r="GRN5" s="55"/>
      <c r="GRO5" s="55"/>
      <c r="GRP5" s="55"/>
      <c r="GRQ5" s="55"/>
      <c r="GRR5" s="55"/>
      <c r="GRS5" s="55"/>
      <c r="GRT5" s="55"/>
      <c r="GRU5" s="55"/>
      <c r="GRV5" s="55"/>
      <c r="GRW5" s="55"/>
      <c r="GRX5" s="55"/>
      <c r="GRY5" s="55"/>
      <c r="GRZ5" s="55"/>
      <c r="GSA5" s="55"/>
      <c r="GSB5" s="55"/>
      <c r="GSC5" s="55"/>
      <c r="GSD5" s="55"/>
      <c r="GSE5" s="55"/>
      <c r="GSF5" s="55"/>
      <c r="GSG5" s="55"/>
      <c r="GSH5" s="55"/>
      <c r="GSI5" s="55"/>
      <c r="GSJ5" s="55"/>
      <c r="GSK5" s="55"/>
      <c r="GSL5" s="55"/>
      <c r="GSM5" s="55"/>
      <c r="GSN5" s="55"/>
      <c r="GSO5" s="55"/>
      <c r="GSP5" s="55"/>
      <c r="GSQ5" s="55"/>
      <c r="GSR5" s="55"/>
      <c r="GSS5" s="55"/>
      <c r="GST5" s="55"/>
      <c r="GSU5" s="55"/>
      <c r="GSV5" s="55"/>
      <c r="GSW5" s="55"/>
      <c r="GSX5" s="55"/>
      <c r="GSY5" s="55"/>
      <c r="GSZ5" s="55"/>
      <c r="GTA5" s="55"/>
      <c r="GTB5" s="55"/>
      <c r="GTC5" s="55"/>
      <c r="GTD5" s="55"/>
      <c r="GTE5" s="55"/>
      <c r="GTF5" s="55"/>
      <c r="GTG5" s="55"/>
      <c r="GTH5" s="55"/>
      <c r="GTI5" s="55"/>
      <c r="GTJ5" s="55"/>
      <c r="GTK5" s="55"/>
      <c r="GTL5" s="55"/>
      <c r="GTM5" s="55"/>
      <c r="GTN5" s="55"/>
      <c r="GTO5" s="55"/>
      <c r="GTP5" s="55"/>
      <c r="GTQ5" s="55"/>
      <c r="GTR5" s="55"/>
      <c r="GTS5" s="55"/>
      <c r="GTT5" s="55"/>
      <c r="GTU5" s="55"/>
      <c r="GTV5" s="55"/>
      <c r="GTW5" s="55"/>
      <c r="GTX5" s="55"/>
      <c r="GTY5" s="55"/>
      <c r="GTZ5" s="55"/>
      <c r="GUA5" s="55"/>
      <c r="GUB5" s="55"/>
      <c r="GUC5" s="55"/>
      <c r="GUD5" s="55"/>
      <c r="GUE5" s="55"/>
      <c r="GUF5" s="55"/>
      <c r="GUG5" s="55"/>
      <c r="GUH5" s="55"/>
      <c r="GUI5" s="55"/>
      <c r="GUJ5" s="55"/>
      <c r="GUK5" s="55"/>
      <c r="GUL5" s="55"/>
      <c r="GUM5" s="55"/>
      <c r="GUN5" s="55"/>
      <c r="GUO5" s="55"/>
      <c r="GUP5" s="55"/>
      <c r="GUQ5" s="55"/>
      <c r="GUR5" s="55"/>
      <c r="GUS5" s="55"/>
      <c r="GUT5" s="55"/>
      <c r="GUU5" s="55"/>
      <c r="GUV5" s="55"/>
      <c r="GUW5" s="55"/>
      <c r="GUX5" s="55"/>
      <c r="GUY5" s="55"/>
      <c r="GUZ5" s="55"/>
      <c r="GVA5" s="55"/>
      <c r="GVB5" s="55"/>
      <c r="GVC5" s="55"/>
      <c r="GVD5" s="55"/>
      <c r="GVE5" s="55"/>
      <c r="GVF5" s="55"/>
      <c r="GVG5" s="55"/>
      <c r="GVH5" s="55"/>
      <c r="GVI5" s="55"/>
      <c r="GVJ5" s="55"/>
      <c r="GVK5" s="55"/>
      <c r="GVL5" s="55"/>
      <c r="GVM5" s="55"/>
      <c r="GVN5" s="55"/>
      <c r="GVO5" s="55"/>
      <c r="GVP5" s="55"/>
      <c r="GVQ5" s="55"/>
      <c r="GVR5" s="55"/>
      <c r="GVS5" s="55"/>
      <c r="GVT5" s="55"/>
      <c r="GVU5" s="55"/>
      <c r="GVV5" s="55"/>
      <c r="GVW5" s="55"/>
      <c r="GVX5" s="55"/>
      <c r="GVY5" s="55"/>
      <c r="GVZ5" s="55"/>
      <c r="GWA5" s="55"/>
      <c r="GWB5" s="55"/>
      <c r="GWC5" s="55"/>
      <c r="GWD5" s="55"/>
      <c r="GWE5" s="55"/>
      <c r="GWF5" s="55"/>
      <c r="GWG5" s="55"/>
      <c r="GWH5" s="55"/>
      <c r="GWI5" s="55"/>
      <c r="GWJ5" s="55"/>
      <c r="GWK5" s="55"/>
      <c r="GWL5" s="55"/>
      <c r="GWM5" s="55"/>
      <c r="GWN5" s="55"/>
      <c r="GWO5" s="55"/>
      <c r="GWP5" s="55"/>
      <c r="GWQ5" s="55"/>
      <c r="GWR5" s="55"/>
      <c r="GWS5" s="55"/>
      <c r="GWT5" s="55"/>
      <c r="GWU5" s="55"/>
      <c r="GWV5" s="55"/>
      <c r="GWW5" s="55"/>
      <c r="GWX5" s="55"/>
      <c r="GWY5" s="55"/>
      <c r="GWZ5" s="55"/>
      <c r="GXA5" s="55"/>
      <c r="GXB5" s="55"/>
      <c r="GXC5" s="55"/>
      <c r="GXD5" s="55"/>
      <c r="GXE5" s="55"/>
      <c r="GXF5" s="55"/>
      <c r="GXG5" s="55"/>
      <c r="GXH5" s="55"/>
      <c r="GXI5" s="55"/>
      <c r="GXJ5" s="55"/>
      <c r="GXK5" s="55"/>
      <c r="GXL5" s="55"/>
      <c r="GXM5" s="55"/>
      <c r="GXN5" s="55"/>
      <c r="GXO5" s="55"/>
      <c r="GXP5" s="55"/>
      <c r="GXQ5" s="55"/>
      <c r="GXR5" s="55"/>
      <c r="GXS5" s="55"/>
      <c r="GXT5" s="55"/>
      <c r="GXU5" s="55"/>
      <c r="GXV5" s="55"/>
      <c r="GXW5" s="55"/>
      <c r="GXX5" s="55"/>
      <c r="GXY5" s="55"/>
      <c r="GXZ5" s="55"/>
      <c r="GYA5" s="55"/>
      <c r="GYB5" s="55"/>
      <c r="GYC5" s="55"/>
      <c r="GYD5" s="55"/>
      <c r="GYE5" s="55"/>
      <c r="GYF5" s="55"/>
      <c r="GYG5" s="55"/>
      <c r="GYH5" s="55"/>
      <c r="GYI5" s="55"/>
      <c r="GYJ5" s="55"/>
      <c r="GYK5" s="55"/>
      <c r="GYL5" s="55"/>
      <c r="GYM5" s="55"/>
      <c r="GYN5" s="55"/>
      <c r="GYO5" s="55"/>
      <c r="GYP5" s="55"/>
      <c r="GYQ5" s="55"/>
      <c r="GYR5" s="55"/>
      <c r="GYS5" s="55"/>
      <c r="GYT5" s="55"/>
      <c r="GYU5" s="55"/>
      <c r="GYV5" s="55"/>
      <c r="GYW5" s="55"/>
      <c r="GYX5" s="55"/>
      <c r="GYY5" s="55"/>
      <c r="GYZ5" s="55"/>
      <c r="GZA5" s="55"/>
      <c r="GZB5" s="55"/>
      <c r="GZC5" s="55"/>
      <c r="GZD5" s="55"/>
      <c r="GZE5" s="55"/>
      <c r="GZF5" s="55"/>
      <c r="GZG5" s="55"/>
      <c r="GZH5" s="55"/>
      <c r="GZI5" s="55"/>
      <c r="GZJ5" s="55"/>
      <c r="GZK5" s="55"/>
      <c r="GZL5" s="55"/>
      <c r="GZM5" s="55"/>
      <c r="GZN5" s="55"/>
      <c r="GZO5" s="55"/>
      <c r="GZP5" s="55"/>
      <c r="GZQ5" s="55"/>
      <c r="GZR5" s="55"/>
      <c r="GZS5" s="55"/>
      <c r="GZT5" s="55"/>
      <c r="GZU5" s="55"/>
      <c r="GZV5" s="55"/>
      <c r="GZW5" s="55"/>
      <c r="GZX5" s="55"/>
      <c r="GZY5" s="55"/>
      <c r="GZZ5" s="55"/>
      <c r="HAA5" s="55"/>
      <c r="HAB5" s="55"/>
      <c r="HAC5" s="55"/>
      <c r="HAD5" s="55"/>
      <c r="HAE5" s="55"/>
      <c r="HAF5" s="55"/>
      <c r="HAG5" s="55"/>
      <c r="HAH5" s="55"/>
      <c r="HAI5" s="55"/>
      <c r="HAJ5" s="55"/>
      <c r="HAK5" s="55"/>
      <c r="HAL5" s="55"/>
      <c r="HAM5" s="55"/>
      <c r="HAN5" s="55"/>
      <c r="HAO5" s="55"/>
      <c r="HAP5" s="55"/>
      <c r="HAQ5" s="55"/>
      <c r="HAR5" s="55"/>
      <c r="HAS5" s="55"/>
      <c r="HAT5" s="55"/>
      <c r="HAU5" s="55"/>
      <c r="HAV5" s="55"/>
      <c r="HAW5" s="55"/>
      <c r="HAX5" s="55"/>
      <c r="HAY5" s="55"/>
      <c r="HAZ5" s="55"/>
      <c r="HBA5" s="55"/>
      <c r="HBB5" s="55"/>
      <c r="HBC5" s="55"/>
      <c r="HBD5" s="55"/>
      <c r="HBE5" s="55"/>
      <c r="HBF5" s="55"/>
      <c r="HBG5" s="55"/>
      <c r="HBH5" s="55"/>
      <c r="HBI5" s="55"/>
      <c r="HBJ5" s="55"/>
      <c r="HBK5" s="55"/>
      <c r="HBL5" s="55"/>
      <c r="HBM5" s="55"/>
      <c r="HBN5" s="55"/>
      <c r="HBO5" s="55"/>
      <c r="HBP5" s="55"/>
      <c r="HBQ5" s="55"/>
      <c r="HBR5" s="55"/>
      <c r="HBS5" s="55"/>
      <c r="HBT5" s="55"/>
      <c r="HBU5" s="55"/>
      <c r="HBV5" s="55"/>
      <c r="HBW5" s="55"/>
      <c r="HBX5" s="55"/>
      <c r="HBY5" s="55"/>
      <c r="HBZ5" s="55"/>
      <c r="HCA5" s="55"/>
      <c r="HCB5" s="55"/>
      <c r="HCC5" s="55"/>
      <c r="HCD5" s="55"/>
      <c r="HCE5" s="55"/>
      <c r="HCF5" s="55"/>
      <c r="HCG5" s="55"/>
      <c r="HCH5" s="55"/>
      <c r="HCI5" s="55"/>
      <c r="HCJ5" s="55"/>
      <c r="HCK5" s="55"/>
      <c r="HCL5" s="55"/>
      <c r="HCM5" s="55"/>
      <c r="HCN5" s="55"/>
      <c r="HCO5" s="55"/>
      <c r="HCP5" s="55"/>
      <c r="HCQ5" s="55"/>
      <c r="HCR5" s="55"/>
      <c r="HCS5" s="55"/>
      <c r="HCT5" s="55"/>
      <c r="HCU5" s="55"/>
      <c r="HCV5" s="55"/>
      <c r="HCW5" s="55"/>
      <c r="HCX5" s="55"/>
      <c r="HCY5" s="55"/>
      <c r="HCZ5" s="55"/>
      <c r="HDA5" s="55"/>
      <c r="HDB5" s="55"/>
      <c r="HDC5" s="55"/>
      <c r="HDD5" s="55"/>
      <c r="HDE5" s="55"/>
      <c r="HDF5" s="55"/>
      <c r="HDG5" s="55"/>
      <c r="HDH5" s="55"/>
      <c r="HDI5" s="55"/>
      <c r="HDJ5" s="55"/>
      <c r="HDK5" s="55"/>
      <c r="HDL5" s="55"/>
      <c r="HDM5" s="55"/>
      <c r="HDN5" s="55"/>
      <c r="HDO5" s="55"/>
      <c r="HDP5" s="55"/>
      <c r="HDQ5" s="55"/>
      <c r="HDR5" s="55"/>
      <c r="HDS5" s="55"/>
      <c r="HDT5" s="55"/>
      <c r="HDU5" s="55"/>
      <c r="HDV5" s="55"/>
      <c r="HDW5" s="55"/>
      <c r="HDX5" s="55"/>
      <c r="HDY5" s="55"/>
      <c r="HDZ5" s="55"/>
      <c r="HEA5" s="55"/>
      <c r="HEB5" s="55"/>
      <c r="HEC5" s="55"/>
      <c r="HED5" s="55"/>
      <c r="HEE5" s="55"/>
      <c r="HEF5" s="55"/>
      <c r="HEG5" s="55"/>
      <c r="HEH5" s="55"/>
      <c r="HEI5" s="55"/>
      <c r="HEJ5" s="55"/>
      <c r="HEK5" s="55"/>
      <c r="HEL5" s="55"/>
      <c r="HEM5" s="55"/>
      <c r="HEN5" s="55"/>
      <c r="HEO5" s="55"/>
      <c r="HEP5" s="55"/>
      <c r="HEQ5" s="55"/>
      <c r="HER5" s="55"/>
      <c r="HES5" s="55"/>
      <c r="HET5" s="55"/>
      <c r="HEU5" s="55"/>
      <c r="HEV5" s="55"/>
      <c r="HEW5" s="55"/>
      <c r="HEX5" s="55"/>
      <c r="HEY5" s="55"/>
      <c r="HEZ5" s="55"/>
      <c r="HFA5" s="55"/>
      <c r="HFB5" s="55"/>
      <c r="HFC5" s="55"/>
      <c r="HFD5" s="55"/>
      <c r="HFE5" s="55"/>
      <c r="HFF5" s="55"/>
      <c r="HFG5" s="55"/>
      <c r="HFH5" s="55"/>
      <c r="HFI5" s="55"/>
      <c r="HFJ5" s="55"/>
      <c r="HFK5" s="55"/>
      <c r="HFL5" s="55"/>
      <c r="HFM5" s="55"/>
      <c r="HFN5" s="55"/>
      <c r="HFO5" s="55"/>
      <c r="HFP5" s="55"/>
      <c r="HFQ5" s="55"/>
      <c r="HFR5" s="55"/>
      <c r="HFS5" s="55"/>
      <c r="HFT5" s="55"/>
      <c r="HFU5" s="55"/>
      <c r="HFV5" s="55"/>
      <c r="HFW5" s="55"/>
      <c r="HFX5" s="55"/>
      <c r="HFY5" s="55"/>
      <c r="HFZ5" s="55"/>
      <c r="HGA5" s="55"/>
      <c r="HGB5" s="55"/>
      <c r="HGC5" s="55"/>
      <c r="HGD5" s="55"/>
      <c r="HGE5" s="55"/>
      <c r="HGF5" s="55"/>
      <c r="HGG5" s="55"/>
      <c r="HGH5" s="55"/>
      <c r="HGI5" s="55"/>
      <c r="HGJ5" s="55"/>
      <c r="HGK5" s="55"/>
      <c r="HGL5" s="55"/>
      <c r="HGM5" s="55"/>
      <c r="HGN5" s="55"/>
      <c r="HGO5" s="55"/>
      <c r="HGP5" s="55"/>
      <c r="HGQ5" s="55"/>
      <c r="HGR5" s="55"/>
      <c r="HGS5" s="55"/>
      <c r="HGT5" s="55"/>
      <c r="HGU5" s="55"/>
      <c r="HGV5" s="55"/>
      <c r="HGW5" s="55"/>
      <c r="HGX5" s="55"/>
      <c r="HGY5" s="55"/>
      <c r="HGZ5" s="55"/>
      <c r="HHA5" s="55"/>
      <c r="HHB5" s="55"/>
      <c r="HHC5" s="55"/>
      <c r="HHD5" s="55"/>
      <c r="HHE5" s="55"/>
      <c r="HHF5" s="55"/>
      <c r="HHG5" s="55"/>
      <c r="HHH5" s="55"/>
      <c r="HHI5" s="55"/>
      <c r="HHJ5" s="55"/>
      <c r="HHK5" s="55"/>
      <c r="HHL5" s="55"/>
      <c r="HHM5" s="55"/>
      <c r="HHN5" s="55"/>
      <c r="HHO5" s="55"/>
      <c r="HHP5" s="55"/>
      <c r="HHQ5" s="55"/>
      <c r="HHR5" s="55"/>
      <c r="HHS5" s="55"/>
      <c r="HHT5" s="55"/>
      <c r="HHU5" s="55"/>
      <c r="HHV5" s="55"/>
      <c r="HHW5" s="55"/>
      <c r="HHX5" s="55"/>
      <c r="HHY5" s="55"/>
      <c r="HHZ5" s="55"/>
      <c r="HIA5" s="55"/>
      <c r="HIB5" s="55"/>
      <c r="HIC5" s="55"/>
      <c r="HID5" s="55"/>
      <c r="HIE5" s="55"/>
      <c r="HIF5" s="55"/>
      <c r="HIG5" s="55"/>
      <c r="HIH5" s="55"/>
      <c r="HII5" s="55"/>
      <c r="HIJ5" s="55"/>
      <c r="HIK5" s="55"/>
      <c r="HIL5" s="55"/>
      <c r="HIM5" s="55"/>
      <c r="HIN5" s="55"/>
      <c r="HIO5" s="55"/>
      <c r="HIP5" s="55"/>
      <c r="HIQ5" s="55"/>
      <c r="HIR5" s="55"/>
      <c r="HIS5" s="55"/>
      <c r="HIT5" s="55"/>
      <c r="HIU5" s="55"/>
      <c r="HIV5" s="55"/>
      <c r="HIW5" s="55"/>
      <c r="HIX5" s="55"/>
      <c r="HIY5" s="55"/>
      <c r="HIZ5" s="55"/>
      <c r="HJA5" s="55"/>
      <c r="HJB5" s="55"/>
      <c r="HJC5" s="55"/>
      <c r="HJD5" s="55"/>
      <c r="HJE5" s="55"/>
      <c r="HJF5" s="55"/>
      <c r="HJG5" s="55"/>
      <c r="HJH5" s="55"/>
      <c r="HJI5" s="55"/>
      <c r="HJJ5" s="55"/>
      <c r="HJK5" s="55"/>
      <c r="HJL5" s="55"/>
      <c r="HJM5" s="55"/>
      <c r="HJN5" s="55"/>
      <c r="HJO5" s="55"/>
      <c r="HJP5" s="55"/>
      <c r="HJQ5" s="55"/>
      <c r="HJR5" s="55"/>
      <c r="HJS5" s="55"/>
      <c r="HJT5" s="55"/>
      <c r="HJU5" s="55"/>
      <c r="HJV5" s="55"/>
      <c r="HJW5" s="55"/>
      <c r="HJX5" s="55"/>
      <c r="HJY5" s="55"/>
      <c r="HJZ5" s="55"/>
      <c r="HKA5" s="55"/>
      <c r="HKB5" s="55"/>
      <c r="HKC5" s="55"/>
      <c r="HKD5" s="55"/>
      <c r="HKE5" s="55"/>
      <c r="HKF5" s="55"/>
      <c r="HKG5" s="55"/>
      <c r="HKH5" s="55"/>
      <c r="HKI5" s="55"/>
      <c r="HKJ5" s="55"/>
      <c r="HKK5" s="55"/>
      <c r="HKL5" s="55"/>
      <c r="HKM5" s="55"/>
      <c r="HKN5" s="55"/>
      <c r="HKO5" s="55"/>
      <c r="HKP5" s="55"/>
      <c r="HKQ5" s="55"/>
      <c r="HKR5" s="55"/>
      <c r="HKS5" s="55"/>
      <c r="HKT5" s="55"/>
      <c r="HKU5" s="55"/>
      <c r="HKV5" s="55"/>
      <c r="HKW5" s="55"/>
      <c r="HKX5" s="55"/>
      <c r="HKY5" s="55"/>
      <c r="HKZ5" s="55"/>
      <c r="HLA5" s="55"/>
      <c r="HLB5" s="55"/>
      <c r="HLC5" s="55"/>
      <c r="HLD5" s="55"/>
      <c r="HLE5" s="55"/>
      <c r="HLF5" s="55"/>
      <c r="HLG5" s="55"/>
      <c r="HLH5" s="55"/>
      <c r="HLI5" s="55"/>
      <c r="HLJ5" s="55"/>
      <c r="HLK5" s="55"/>
      <c r="HLL5" s="55"/>
      <c r="HLM5" s="55"/>
      <c r="HLN5" s="55"/>
      <c r="HLO5" s="55"/>
      <c r="HLP5" s="55"/>
      <c r="HLQ5" s="55"/>
      <c r="HLR5" s="55"/>
      <c r="HLS5" s="55"/>
      <c r="HLT5" s="55"/>
      <c r="HLU5" s="55"/>
      <c r="HLV5" s="55"/>
      <c r="HLW5" s="55"/>
      <c r="HLX5" s="55"/>
      <c r="HLY5" s="55"/>
      <c r="HLZ5" s="55"/>
      <c r="HMA5" s="55"/>
      <c r="HMB5" s="55"/>
      <c r="HMC5" s="55"/>
      <c r="HMD5" s="55"/>
      <c r="HME5" s="55"/>
      <c r="HMF5" s="55"/>
      <c r="HMG5" s="55"/>
      <c r="HMH5" s="55"/>
      <c r="HMI5" s="55"/>
      <c r="HMJ5" s="55"/>
      <c r="HMK5" s="55"/>
      <c r="HML5" s="55"/>
      <c r="HMM5" s="55"/>
      <c r="HMN5" s="55"/>
      <c r="HMO5" s="55"/>
      <c r="HMP5" s="55"/>
      <c r="HMQ5" s="55"/>
      <c r="HMR5" s="55"/>
      <c r="HMS5" s="55"/>
      <c r="HMT5" s="55"/>
      <c r="HMU5" s="55"/>
      <c r="HMV5" s="55"/>
      <c r="HMW5" s="55"/>
      <c r="HMX5" s="55"/>
      <c r="HMY5" s="55"/>
      <c r="HMZ5" s="55"/>
      <c r="HNA5" s="55"/>
      <c r="HNB5" s="55"/>
      <c r="HNC5" s="55"/>
      <c r="HND5" s="55"/>
      <c r="HNE5" s="55"/>
      <c r="HNF5" s="55"/>
      <c r="HNG5" s="55"/>
      <c r="HNH5" s="55"/>
      <c r="HNI5" s="55"/>
      <c r="HNJ5" s="55"/>
      <c r="HNK5" s="55"/>
      <c r="HNL5" s="55"/>
      <c r="HNM5" s="55"/>
      <c r="HNN5" s="55"/>
      <c r="HNO5" s="55"/>
      <c r="HNP5" s="55"/>
      <c r="HNQ5" s="55"/>
      <c r="HNR5" s="55"/>
      <c r="HNS5" s="55"/>
      <c r="HNT5" s="55"/>
      <c r="HNU5" s="55"/>
      <c r="HNV5" s="55"/>
      <c r="HNW5" s="55"/>
      <c r="HNX5" s="55"/>
      <c r="HNY5" s="55"/>
      <c r="HNZ5" s="55"/>
      <c r="HOA5" s="55"/>
      <c r="HOB5" s="55"/>
      <c r="HOC5" s="55"/>
      <c r="HOD5" s="55"/>
      <c r="HOE5" s="55"/>
      <c r="HOF5" s="55"/>
      <c r="HOG5" s="55"/>
      <c r="HOH5" s="55"/>
      <c r="HOI5" s="55"/>
      <c r="HOJ5" s="55"/>
      <c r="HOK5" s="55"/>
      <c r="HOL5" s="55"/>
      <c r="HOM5" s="55"/>
      <c r="HON5" s="55"/>
      <c r="HOO5" s="55"/>
      <c r="HOP5" s="55"/>
      <c r="HOQ5" s="55"/>
      <c r="HOR5" s="55"/>
      <c r="HOS5" s="55"/>
      <c r="HOT5" s="55"/>
      <c r="HOU5" s="55"/>
      <c r="HOV5" s="55"/>
      <c r="HOW5" s="55"/>
      <c r="HOX5" s="55"/>
      <c r="HOY5" s="55"/>
      <c r="HOZ5" s="55"/>
      <c r="HPA5" s="55"/>
      <c r="HPB5" s="55"/>
      <c r="HPC5" s="55"/>
      <c r="HPD5" s="55"/>
      <c r="HPE5" s="55"/>
      <c r="HPF5" s="55"/>
      <c r="HPG5" s="55"/>
      <c r="HPH5" s="55"/>
      <c r="HPI5" s="55"/>
      <c r="HPJ5" s="55"/>
      <c r="HPK5" s="55"/>
      <c r="HPL5" s="55"/>
      <c r="HPM5" s="55"/>
      <c r="HPN5" s="55"/>
      <c r="HPO5" s="55"/>
      <c r="HPP5" s="55"/>
      <c r="HPQ5" s="55"/>
      <c r="HPR5" s="55"/>
      <c r="HPS5" s="55"/>
      <c r="HPT5" s="55"/>
      <c r="HPU5" s="55"/>
      <c r="HPV5" s="55"/>
      <c r="HPW5" s="55"/>
      <c r="HPX5" s="55"/>
      <c r="HPY5" s="55"/>
      <c r="HPZ5" s="55"/>
      <c r="HQA5" s="55"/>
      <c r="HQB5" s="55"/>
      <c r="HQC5" s="55"/>
      <c r="HQD5" s="55"/>
      <c r="HQE5" s="55"/>
      <c r="HQF5" s="55"/>
      <c r="HQG5" s="55"/>
      <c r="HQH5" s="55"/>
      <c r="HQI5" s="55"/>
      <c r="HQJ5" s="55"/>
      <c r="HQK5" s="55"/>
      <c r="HQL5" s="55"/>
      <c r="HQM5" s="55"/>
      <c r="HQN5" s="55"/>
      <c r="HQO5" s="55"/>
      <c r="HQP5" s="55"/>
      <c r="HQQ5" s="55"/>
      <c r="HQR5" s="55"/>
      <c r="HQS5" s="55"/>
      <c r="HQT5" s="55"/>
      <c r="HQU5" s="55"/>
      <c r="HQV5" s="55"/>
      <c r="HQW5" s="55"/>
      <c r="HQX5" s="55"/>
      <c r="HQY5" s="55"/>
      <c r="HQZ5" s="55"/>
      <c r="HRA5" s="55"/>
      <c r="HRB5" s="55"/>
      <c r="HRC5" s="55"/>
      <c r="HRD5" s="55"/>
      <c r="HRE5" s="55"/>
      <c r="HRF5" s="55"/>
      <c r="HRG5" s="55"/>
      <c r="HRH5" s="55"/>
      <c r="HRI5" s="55"/>
      <c r="HRJ5" s="55"/>
      <c r="HRK5" s="55"/>
      <c r="HRL5" s="55"/>
      <c r="HRM5" s="55"/>
      <c r="HRN5" s="55"/>
      <c r="HRO5" s="55"/>
      <c r="HRP5" s="55"/>
      <c r="HRQ5" s="55"/>
      <c r="HRR5" s="55"/>
      <c r="HRS5" s="55"/>
      <c r="HRT5" s="55"/>
      <c r="HRU5" s="55"/>
      <c r="HRV5" s="55"/>
      <c r="HRW5" s="55"/>
      <c r="HRX5" s="55"/>
      <c r="HRY5" s="55"/>
      <c r="HRZ5" s="55"/>
      <c r="HSA5" s="55"/>
      <c r="HSB5" s="55"/>
      <c r="HSC5" s="55"/>
      <c r="HSD5" s="55"/>
      <c r="HSE5" s="55"/>
      <c r="HSF5" s="55"/>
      <c r="HSG5" s="55"/>
      <c r="HSH5" s="55"/>
      <c r="HSI5" s="55"/>
      <c r="HSJ5" s="55"/>
      <c r="HSK5" s="55"/>
      <c r="HSL5" s="55"/>
      <c r="HSM5" s="55"/>
      <c r="HSN5" s="55"/>
      <c r="HSO5" s="55"/>
      <c r="HSP5" s="55"/>
      <c r="HSQ5" s="55"/>
      <c r="HSR5" s="55"/>
      <c r="HSS5" s="55"/>
      <c r="HST5" s="55"/>
      <c r="HSU5" s="55"/>
      <c r="HSV5" s="55"/>
      <c r="HSW5" s="55"/>
      <c r="HSX5" s="55"/>
      <c r="HSY5" s="55"/>
      <c r="HSZ5" s="55"/>
      <c r="HTA5" s="55"/>
      <c r="HTB5" s="55"/>
      <c r="HTC5" s="55"/>
      <c r="HTD5" s="55"/>
      <c r="HTE5" s="55"/>
      <c r="HTF5" s="55"/>
      <c r="HTG5" s="55"/>
      <c r="HTH5" s="55"/>
      <c r="HTI5" s="55"/>
      <c r="HTJ5" s="55"/>
      <c r="HTK5" s="55"/>
      <c r="HTL5" s="55"/>
      <c r="HTM5" s="55"/>
      <c r="HTN5" s="55"/>
      <c r="HTO5" s="55"/>
      <c r="HTP5" s="55"/>
      <c r="HTQ5" s="55"/>
      <c r="HTR5" s="55"/>
      <c r="HTS5" s="55"/>
      <c r="HTT5" s="55"/>
      <c r="HTU5" s="55"/>
      <c r="HTV5" s="55"/>
      <c r="HTW5" s="55"/>
      <c r="HTX5" s="55"/>
      <c r="HTY5" s="55"/>
      <c r="HTZ5" s="55"/>
      <c r="HUA5" s="55"/>
      <c r="HUB5" s="55"/>
      <c r="HUC5" s="55"/>
      <c r="HUD5" s="55"/>
      <c r="HUE5" s="55"/>
      <c r="HUF5" s="55"/>
      <c r="HUG5" s="55"/>
      <c r="HUH5" s="55"/>
      <c r="HUI5" s="55"/>
      <c r="HUJ5" s="55"/>
      <c r="HUK5" s="55"/>
      <c r="HUL5" s="55"/>
      <c r="HUM5" s="55"/>
      <c r="HUN5" s="55"/>
      <c r="HUO5" s="55"/>
      <c r="HUP5" s="55"/>
      <c r="HUQ5" s="55"/>
      <c r="HUR5" s="55"/>
      <c r="HUS5" s="55"/>
      <c r="HUT5" s="55"/>
      <c r="HUU5" s="55"/>
      <c r="HUV5" s="55"/>
      <c r="HUW5" s="55"/>
      <c r="HUX5" s="55"/>
      <c r="HUY5" s="55"/>
      <c r="HUZ5" s="55"/>
      <c r="HVA5" s="55"/>
      <c r="HVB5" s="55"/>
      <c r="HVC5" s="55"/>
      <c r="HVD5" s="55"/>
      <c r="HVE5" s="55"/>
      <c r="HVF5" s="55"/>
      <c r="HVG5" s="55"/>
      <c r="HVH5" s="55"/>
      <c r="HVI5" s="55"/>
      <c r="HVJ5" s="55"/>
      <c r="HVK5" s="55"/>
      <c r="HVL5" s="55"/>
      <c r="HVM5" s="55"/>
      <c r="HVN5" s="55"/>
      <c r="HVO5" s="55"/>
      <c r="HVP5" s="55"/>
      <c r="HVQ5" s="55"/>
      <c r="HVR5" s="55"/>
      <c r="HVS5" s="55"/>
      <c r="HVT5" s="55"/>
      <c r="HVU5" s="55"/>
      <c r="HVV5" s="55"/>
      <c r="HVW5" s="55"/>
      <c r="HVX5" s="55"/>
      <c r="HVY5" s="55"/>
      <c r="HVZ5" s="55"/>
      <c r="HWA5" s="55"/>
      <c r="HWB5" s="55"/>
      <c r="HWC5" s="55"/>
      <c r="HWD5" s="55"/>
      <c r="HWE5" s="55"/>
      <c r="HWF5" s="55"/>
      <c r="HWG5" s="55"/>
      <c r="HWH5" s="55"/>
      <c r="HWI5" s="55"/>
      <c r="HWJ5" s="55"/>
      <c r="HWK5" s="55"/>
      <c r="HWL5" s="55"/>
      <c r="HWM5" s="55"/>
      <c r="HWN5" s="55"/>
      <c r="HWO5" s="55"/>
      <c r="HWP5" s="55"/>
      <c r="HWQ5" s="55"/>
      <c r="HWR5" s="55"/>
      <c r="HWS5" s="55"/>
      <c r="HWT5" s="55"/>
      <c r="HWU5" s="55"/>
      <c r="HWV5" s="55"/>
      <c r="HWW5" s="55"/>
      <c r="HWX5" s="55"/>
      <c r="HWY5" s="55"/>
      <c r="HWZ5" s="55"/>
      <c r="HXA5" s="55"/>
      <c r="HXB5" s="55"/>
      <c r="HXC5" s="55"/>
      <c r="HXD5" s="55"/>
      <c r="HXE5" s="55"/>
      <c r="HXF5" s="55"/>
      <c r="HXG5" s="55"/>
      <c r="HXH5" s="55"/>
      <c r="HXI5" s="55"/>
      <c r="HXJ5" s="55"/>
      <c r="HXK5" s="55"/>
      <c r="HXL5" s="55"/>
      <c r="HXM5" s="55"/>
      <c r="HXN5" s="55"/>
      <c r="HXO5" s="55"/>
      <c r="HXP5" s="55"/>
      <c r="HXQ5" s="55"/>
      <c r="HXR5" s="55"/>
      <c r="HXS5" s="55"/>
      <c r="HXT5" s="55"/>
      <c r="HXU5" s="55"/>
      <c r="HXV5" s="55"/>
      <c r="HXW5" s="55"/>
      <c r="HXX5" s="55"/>
      <c r="HXY5" s="55"/>
      <c r="HXZ5" s="55"/>
      <c r="HYA5" s="55"/>
      <c r="HYB5" s="55"/>
      <c r="HYC5" s="55"/>
      <c r="HYD5" s="55"/>
      <c r="HYE5" s="55"/>
      <c r="HYF5" s="55"/>
      <c r="HYG5" s="55"/>
      <c r="HYH5" s="55"/>
      <c r="HYI5" s="55"/>
      <c r="HYJ5" s="55"/>
      <c r="HYK5" s="55"/>
      <c r="HYL5" s="55"/>
      <c r="HYM5" s="55"/>
      <c r="HYN5" s="55"/>
      <c r="HYO5" s="55"/>
      <c r="HYP5" s="55"/>
      <c r="HYQ5" s="55"/>
      <c r="HYR5" s="55"/>
      <c r="HYS5" s="55"/>
      <c r="HYT5" s="55"/>
      <c r="HYU5" s="55"/>
      <c r="HYV5" s="55"/>
      <c r="HYW5" s="55"/>
      <c r="HYX5" s="55"/>
      <c r="HYY5" s="55"/>
      <c r="HYZ5" s="55"/>
      <c r="HZA5" s="55"/>
      <c r="HZB5" s="55"/>
      <c r="HZC5" s="55"/>
      <c r="HZD5" s="55"/>
      <c r="HZE5" s="55"/>
      <c r="HZF5" s="55"/>
      <c r="HZG5" s="55"/>
      <c r="HZH5" s="55"/>
      <c r="HZI5" s="55"/>
      <c r="HZJ5" s="55"/>
      <c r="HZK5" s="55"/>
      <c r="HZL5" s="55"/>
      <c r="HZM5" s="55"/>
      <c r="HZN5" s="55"/>
      <c r="HZO5" s="55"/>
      <c r="HZP5" s="55"/>
      <c r="HZQ5" s="55"/>
      <c r="HZR5" s="55"/>
      <c r="HZS5" s="55"/>
      <c r="HZT5" s="55"/>
      <c r="HZU5" s="55"/>
      <c r="HZV5" s="55"/>
      <c r="HZW5" s="55"/>
      <c r="HZX5" s="55"/>
      <c r="HZY5" s="55"/>
      <c r="HZZ5" s="55"/>
      <c r="IAA5" s="55"/>
      <c r="IAB5" s="55"/>
      <c r="IAC5" s="55"/>
      <c r="IAD5" s="55"/>
      <c r="IAE5" s="55"/>
      <c r="IAF5" s="55"/>
      <c r="IAG5" s="55"/>
      <c r="IAH5" s="55"/>
      <c r="IAI5" s="55"/>
      <c r="IAJ5" s="55"/>
      <c r="IAK5" s="55"/>
      <c r="IAL5" s="55"/>
      <c r="IAM5" s="55"/>
      <c r="IAN5" s="55"/>
      <c r="IAO5" s="55"/>
      <c r="IAP5" s="55"/>
      <c r="IAQ5" s="55"/>
      <c r="IAR5" s="55"/>
      <c r="IAS5" s="55"/>
      <c r="IAT5" s="55"/>
      <c r="IAU5" s="55"/>
      <c r="IAV5" s="55"/>
      <c r="IAW5" s="55"/>
      <c r="IAX5" s="55"/>
      <c r="IAY5" s="55"/>
      <c r="IAZ5" s="55"/>
      <c r="IBA5" s="55"/>
      <c r="IBB5" s="55"/>
      <c r="IBC5" s="55"/>
      <c r="IBD5" s="55"/>
      <c r="IBE5" s="55"/>
      <c r="IBF5" s="55"/>
      <c r="IBG5" s="55"/>
      <c r="IBH5" s="55"/>
      <c r="IBI5" s="55"/>
      <c r="IBJ5" s="55"/>
      <c r="IBK5" s="55"/>
      <c r="IBL5" s="55"/>
      <c r="IBM5" s="55"/>
      <c r="IBN5" s="55"/>
      <c r="IBO5" s="55"/>
      <c r="IBP5" s="55"/>
      <c r="IBQ5" s="55"/>
      <c r="IBR5" s="55"/>
      <c r="IBS5" s="55"/>
      <c r="IBT5" s="55"/>
      <c r="IBU5" s="55"/>
      <c r="IBV5" s="55"/>
      <c r="IBW5" s="55"/>
      <c r="IBX5" s="55"/>
      <c r="IBY5" s="55"/>
      <c r="IBZ5" s="55"/>
      <c r="ICA5" s="55"/>
      <c r="ICB5" s="55"/>
      <c r="ICC5" s="55"/>
      <c r="ICD5" s="55"/>
      <c r="ICE5" s="55"/>
      <c r="ICF5" s="55"/>
      <c r="ICG5" s="55"/>
      <c r="ICH5" s="55"/>
      <c r="ICI5" s="55"/>
      <c r="ICJ5" s="55"/>
      <c r="ICK5" s="55"/>
      <c r="ICL5" s="55"/>
      <c r="ICM5" s="55"/>
      <c r="ICN5" s="55"/>
      <c r="ICO5" s="55"/>
      <c r="ICP5" s="55"/>
      <c r="ICQ5" s="55"/>
      <c r="ICR5" s="55"/>
      <c r="ICS5" s="55"/>
      <c r="ICT5" s="55"/>
      <c r="ICU5" s="55"/>
      <c r="ICV5" s="55"/>
      <c r="ICW5" s="55"/>
      <c r="ICX5" s="55"/>
      <c r="ICY5" s="55"/>
      <c r="ICZ5" s="55"/>
      <c r="IDA5" s="55"/>
      <c r="IDB5" s="55"/>
      <c r="IDC5" s="55"/>
      <c r="IDD5" s="55"/>
      <c r="IDE5" s="55"/>
      <c r="IDF5" s="55"/>
      <c r="IDG5" s="55"/>
      <c r="IDH5" s="55"/>
      <c r="IDI5" s="55"/>
      <c r="IDJ5" s="55"/>
      <c r="IDK5" s="55"/>
      <c r="IDL5" s="55"/>
      <c r="IDM5" s="55"/>
      <c r="IDN5" s="55"/>
      <c r="IDO5" s="55"/>
      <c r="IDP5" s="55"/>
      <c r="IDQ5" s="55"/>
      <c r="IDR5" s="55"/>
      <c r="IDS5" s="55"/>
      <c r="IDT5" s="55"/>
      <c r="IDU5" s="55"/>
      <c r="IDV5" s="55"/>
      <c r="IDW5" s="55"/>
      <c r="IDX5" s="55"/>
      <c r="IDY5" s="55"/>
      <c r="IDZ5" s="55"/>
      <c r="IEA5" s="55"/>
      <c r="IEB5" s="55"/>
      <c r="IEC5" s="55"/>
      <c r="IED5" s="55"/>
      <c r="IEE5" s="55"/>
      <c r="IEF5" s="55"/>
      <c r="IEG5" s="55"/>
      <c r="IEH5" s="55"/>
      <c r="IEI5" s="55"/>
      <c r="IEJ5" s="55"/>
      <c r="IEK5" s="55"/>
      <c r="IEL5" s="55"/>
      <c r="IEM5" s="55"/>
      <c r="IEN5" s="55"/>
      <c r="IEO5" s="55"/>
      <c r="IEP5" s="55"/>
      <c r="IEQ5" s="55"/>
      <c r="IER5" s="55"/>
      <c r="IES5" s="55"/>
      <c r="IET5" s="55"/>
      <c r="IEU5" s="55"/>
      <c r="IEV5" s="55"/>
      <c r="IEW5" s="55"/>
      <c r="IEX5" s="55"/>
      <c r="IEY5" s="55"/>
      <c r="IEZ5" s="55"/>
      <c r="IFA5" s="55"/>
      <c r="IFB5" s="55"/>
      <c r="IFC5" s="55"/>
      <c r="IFD5" s="55"/>
      <c r="IFE5" s="55"/>
      <c r="IFF5" s="55"/>
      <c r="IFG5" s="55"/>
      <c r="IFH5" s="55"/>
      <c r="IFI5" s="55"/>
      <c r="IFJ5" s="55"/>
      <c r="IFK5" s="55"/>
      <c r="IFL5" s="55"/>
      <c r="IFM5" s="55"/>
      <c r="IFN5" s="55"/>
      <c r="IFO5" s="55"/>
      <c r="IFP5" s="55"/>
      <c r="IFQ5" s="55"/>
      <c r="IFR5" s="55"/>
      <c r="IFS5" s="55"/>
      <c r="IFT5" s="55"/>
      <c r="IFU5" s="55"/>
      <c r="IFV5" s="55"/>
      <c r="IFW5" s="55"/>
      <c r="IFX5" s="55"/>
      <c r="IFY5" s="55"/>
      <c r="IFZ5" s="55"/>
      <c r="IGA5" s="55"/>
      <c r="IGB5" s="55"/>
      <c r="IGC5" s="55"/>
      <c r="IGD5" s="55"/>
      <c r="IGE5" s="55"/>
      <c r="IGF5" s="55"/>
      <c r="IGG5" s="55"/>
      <c r="IGH5" s="55"/>
      <c r="IGI5" s="55"/>
      <c r="IGJ5" s="55"/>
      <c r="IGK5" s="55"/>
      <c r="IGL5" s="55"/>
      <c r="IGM5" s="55"/>
      <c r="IGN5" s="55"/>
      <c r="IGO5" s="55"/>
      <c r="IGP5" s="55"/>
      <c r="IGQ5" s="55"/>
      <c r="IGR5" s="55"/>
      <c r="IGS5" s="55"/>
      <c r="IGT5" s="55"/>
      <c r="IGU5" s="55"/>
      <c r="IGV5" s="55"/>
      <c r="IGW5" s="55"/>
      <c r="IGX5" s="55"/>
      <c r="IGY5" s="55"/>
      <c r="IGZ5" s="55"/>
      <c r="IHA5" s="55"/>
      <c r="IHB5" s="55"/>
      <c r="IHC5" s="55"/>
      <c r="IHD5" s="55"/>
      <c r="IHE5" s="55"/>
      <c r="IHF5" s="55"/>
      <c r="IHG5" s="55"/>
      <c r="IHH5" s="55"/>
      <c r="IHI5" s="55"/>
      <c r="IHJ5" s="55"/>
      <c r="IHK5" s="55"/>
      <c r="IHL5" s="55"/>
      <c r="IHM5" s="55"/>
      <c r="IHN5" s="55"/>
      <c r="IHO5" s="55"/>
      <c r="IHP5" s="55"/>
      <c r="IHQ5" s="55"/>
      <c r="IHR5" s="55"/>
      <c r="IHS5" s="55"/>
      <c r="IHT5" s="55"/>
      <c r="IHU5" s="55"/>
      <c r="IHV5" s="55"/>
      <c r="IHW5" s="55"/>
      <c r="IHX5" s="55"/>
      <c r="IHY5" s="55"/>
      <c r="IHZ5" s="55"/>
      <c r="IIA5" s="55"/>
      <c r="IIB5" s="55"/>
      <c r="IIC5" s="55"/>
      <c r="IID5" s="55"/>
      <c r="IIE5" s="55"/>
      <c r="IIF5" s="55"/>
      <c r="IIG5" s="55"/>
      <c r="IIH5" s="55"/>
      <c r="III5" s="55"/>
      <c r="IIJ5" s="55"/>
      <c r="IIK5" s="55"/>
      <c r="IIL5" s="55"/>
      <c r="IIM5" s="55"/>
      <c r="IIN5" s="55"/>
      <c r="IIO5" s="55"/>
      <c r="IIP5" s="55"/>
      <c r="IIQ5" s="55"/>
      <c r="IIR5" s="55"/>
      <c r="IIS5" s="55"/>
      <c r="IIT5" s="55"/>
      <c r="IIU5" s="55"/>
      <c r="IIV5" s="55"/>
      <c r="IIW5" s="55"/>
      <c r="IIX5" s="55"/>
      <c r="IIY5" s="55"/>
      <c r="IIZ5" s="55"/>
      <c r="IJA5" s="55"/>
      <c r="IJB5" s="55"/>
      <c r="IJC5" s="55"/>
      <c r="IJD5" s="55"/>
      <c r="IJE5" s="55"/>
      <c r="IJF5" s="55"/>
      <c r="IJG5" s="55"/>
      <c r="IJH5" s="55"/>
      <c r="IJI5" s="55"/>
      <c r="IJJ5" s="55"/>
      <c r="IJK5" s="55"/>
      <c r="IJL5" s="55"/>
      <c r="IJM5" s="55"/>
      <c r="IJN5" s="55"/>
      <c r="IJO5" s="55"/>
      <c r="IJP5" s="55"/>
      <c r="IJQ5" s="55"/>
      <c r="IJR5" s="55"/>
      <c r="IJS5" s="55"/>
      <c r="IJT5" s="55"/>
      <c r="IJU5" s="55"/>
      <c r="IJV5" s="55"/>
      <c r="IJW5" s="55"/>
      <c r="IJX5" s="55"/>
      <c r="IJY5" s="55"/>
      <c r="IJZ5" s="55"/>
      <c r="IKA5" s="55"/>
      <c r="IKB5" s="55"/>
      <c r="IKC5" s="55"/>
      <c r="IKD5" s="55"/>
      <c r="IKE5" s="55"/>
      <c r="IKF5" s="55"/>
      <c r="IKG5" s="55"/>
      <c r="IKH5" s="55"/>
      <c r="IKI5" s="55"/>
      <c r="IKJ5" s="55"/>
      <c r="IKK5" s="55"/>
      <c r="IKL5" s="55"/>
      <c r="IKM5" s="55"/>
      <c r="IKN5" s="55"/>
      <c r="IKO5" s="55"/>
      <c r="IKP5" s="55"/>
      <c r="IKQ5" s="55"/>
      <c r="IKR5" s="55"/>
      <c r="IKS5" s="55"/>
      <c r="IKT5" s="55"/>
      <c r="IKU5" s="55"/>
      <c r="IKV5" s="55"/>
      <c r="IKW5" s="55"/>
      <c r="IKX5" s="55"/>
      <c r="IKY5" s="55"/>
      <c r="IKZ5" s="55"/>
      <c r="ILA5" s="55"/>
      <c r="ILB5" s="55"/>
      <c r="ILC5" s="55"/>
      <c r="ILD5" s="55"/>
      <c r="ILE5" s="55"/>
      <c r="ILF5" s="55"/>
      <c r="ILG5" s="55"/>
      <c r="ILH5" s="55"/>
      <c r="ILI5" s="55"/>
      <c r="ILJ5" s="55"/>
      <c r="ILK5" s="55"/>
      <c r="ILL5" s="55"/>
      <c r="ILM5" s="55"/>
      <c r="ILN5" s="55"/>
      <c r="ILO5" s="55"/>
      <c r="ILP5" s="55"/>
      <c r="ILQ5" s="55"/>
      <c r="ILR5" s="55"/>
      <c r="ILS5" s="55"/>
      <c r="ILT5" s="55"/>
      <c r="ILU5" s="55"/>
      <c r="ILV5" s="55"/>
      <c r="ILW5" s="55"/>
      <c r="ILX5" s="55"/>
      <c r="ILY5" s="55"/>
      <c r="ILZ5" s="55"/>
      <c r="IMA5" s="55"/>
      <c r="IMB5" s="55"/>
      <c r="IMC5" s="55"/>
      <c r="IMD5" s="55"/>
      <c r="IME5" s="55"/>
      <c r="IMF5" s="55"/>
      <c r="IMG5" s="55"/>
      <c r="IMH5" s="55"/>
      <c r="IMI5" s="55"/>
      <c r="IMJ5" s="55"/>
      <c r="IMK5" s="55"/>
      <c r="IML5" s="55"/>
      <c r="IMM5" s="55"/>
      <c r="IMN5" s="55"/>
      <c r="IMO5" s="55"/>
      <c r="IMP5" s="55"/>
      <c r="IMQ5" s="55"/>
      <c r="IMR5" s="55"/>
      <c r="IMS5" s="55"/>
      <c r="IMT5" s="55"/>
      <c r="IMU5" s="55"/>
      <c r="IMV5" s="55"/>
      <c r="IMW5" s="55"/>
      <c r="IMX5" s="55"/>
      <c r="IMY5" s="55"/>
      <c r="IMZ5" s="55"/>
      <c r="INA5" s="55"/>
      <c r="INB5" s="55"/>
      <c r="INC5" s="55"/>
      <c r="IND5" s="55"/>
      <c r="INE5" s="55"/>
      <c r="INF5" s="55"/>
      <c r="ING5" s="55"/>
      <c r="INH5" s="55"/>
      <c r="INI5" s="55"/>
      <c r="INJ5" s="55"/>
      <c r="INK5" s="55"/>
      <c r="INL5" s="55"/>
      <c r="INM5" s="55"/>
      <c r="INN5" s="55"/>
      <c r="INO5" s="55"/>
      <c r="INP5" s="55"/>
      <c r="INQ5" s="55"/>
      <c r="INR5" s="55"/>
      <c r="INS5" s="55"/>
      <c r="INT5" s="55"/>
      <c r="INU5" s="55"/>
      <c r="INV5" s="55"/>
      <c r="INW5" s="55"/>
      <c r="INX5" s="55"/>
      <c r="INY5" s="55"/>
      <c r="INZ5" s="55"/>
      <c r="IOA5" s="55"/>
      <c r="IOB5" s="55"/>
      <c r="IOC5" s="55"/>
      <c r="IOD5" s="55"/>
      <c r="IOE5" s="55"/>
      <c r="IOF5" s="55"/>
      <c r="IOG5" s="55"/>
      <c r="IOH5" s="55"/>
      <c r="IOI5" s="55"/>
      <c r="IOJ5" s="55"/>
      <c r="IOK5" s="55"/>
      <c r="IOL5" s="55"/>
      <c r="IOM5" s="55"/>
      <c r="ION5" s="55"/>
      <c r="IOO5" s="55"/>
      <c r="IOP5" s="55"/>
      <c r="IOQ5" s="55"/>
      <c r="IOR5" s="55"/>
      <c r="IOS5" s="55"/>
      <c r="IOT5" s="55"/>
      <c r="IOU5" s="55"/>
      <c r="IOV5" s="55"/>
      <c r="IOW5" s="55"/>
      <c r="IOX5" s="55"/>
      <c r="IOY5" s="55"/>
      <c r="IOZ5" s="55"/>
      <c r="IPA5" s="55"/>
      <c r="IPB5" s="55"/>
      <c r="IPC5" s="55"/>
      <c r="IPD5" s="55"/>
      <c r="IPE5" s="55"/>
      <c r="IPF5" s="55"/>
      <c r="IPG5" s="55"/>
      <c r="IPH5" s="55"/>
      <c r="IPI5" s="55"/>
      <c r="IPJ5" s="55"/>
      <c r="IPK5" s="55"/>
      <c r="IPL5" s="55"/>
      <c r="IPM5" s="55"/>
      <c r="IPN5" s="55"/>
      <c r="IPO5" s="55"/>
      <c r="IPP5" s="55"/>
      <c r="IPQ5" s="55"/>
      <c r="IPR5" s="55"/>
      <c r="IPS5" s="55"/>
      <c r="IPT5" s="55"/>
      <c r="IPU5" s="55"/>
      <c r="IPV5" s="55"/>
      <c r="IPW5" s="55"/>
      <c r="IPX5" s="55"/>
      <c r="IPY5" s="55"/>
      <c r="IPZ5" s="55"/>
      <c r="IQA5" s="55"/>
      <c r="IQB5" s="55"/>
      <c r="IQC5" s="55"/>
      <c r="IQD5" s="55"/>
      <c r="IQE5" s="55"/>
      <c r="IQF5" s="55"/>
      <c r="IQG5" s="55"/>
      <c r="IQH5" s="55"/>
      <c r="IQI5" s="55"/>
      <c r="IQJ5" s="55"/>
      <c r="IQK5" s="55"/>
      <c r="IQL5" s="55"/>
      <c r="IQM5" s="55"/>
      <c r="IQN5" s="55"/>
      <c r="IQO5" s="55"/>
      <c r="IQP5" s="55"/>
      <c r="IQQ5" s="55"/>
      <c r="IQR5" s="55"/>
      <c r="IQS5" s="55"/>
      <c r="IQT5" s="55"/>
      <c r="IQU5" s="55"/>
      <c r="IQV5" s="55"/>
      <c r="IQW5" s="55"/>
      <c r="IQX5" s="55"/>
      <c r="IQY5" s="55"/>
      <c r="IQZ5" s="55"/>
      <c r="IRA5" s="55"/>
      <c r="IRB5" s="55"/>
      <c r="IRC5" s="55"/>
      <c r="IRD5" s="55"/>
      <c r="IRE5" s="55"/>
      <c r="IRF5" s="55"/>
      <c r="IRG5" s="55"/>
      <c r="IRH5" s="55"/>
      <c r="IRI5" s="55"/>
      <c r="IRJ5" s="55"/>
      <c r="IRK5" s="55"/>
      <c r="IRL5" s="55"/>
      <c r="IRM5" s="55"/>
      <c r="IRN5" s="55"/>
      <c r="IRO5" s="55"/>
      <c r="IRP5" s="55"/>
      <c r="IRQ5" s="55"/>
      <c r="IRR5" s="55"/>
      <c r="IRS5" s="55"/>
      <c r="IRT5" s="55"/>
      <c r="IRU5" s="55"/>
      <c r="IRV5" s="55"/>
      <c r="IRW5" s="55"/>
      <c r="IRX5" s="55"/>
      <c r="IRY5" s="55"/>
      <c r="IRZ5" s="55"/>
      <c r="ISA5" s="55"/>
      <c r="ISB5" s="55"/>
      <c r="ISC5" s="55"/>
      <c r="ISD5" s="55"/>
      <c r="ISE5" s="55"/>
      <c r="ISF5" s="55"/>
      <c r="ISG5" s="55"/>
      <c r="ISH5" s="55"/>
      <c r="ISI5" s="55"/>
      <c r="ISJ5" s="55"/>
      <c r="ISK5" s="55"/>
      <c r="ISL5" s="55"/>
      <c r="ISM5" s="55"/>
      <c r="ISN5" s="55"/>
      <c r="ISO5" s="55"/>
      <c r="ISP5" s="55"/>
      <c r="ISQ5" s="55"/>
      <c r="ISR5" s="55"/>
      <c r="ISS5" s="55"/>
      <c r="IST5" s="55"/>
      <c r="ISU5" s="55"/>
      <c r="ISV5" s="55"/>
      <c r="ISW5" s="55"/>
      <c r="ISX5" s="55"/>
      <c r="ISY5" s="55"/>
      <c r="ISZ5" s="55"/>
      <c r="ITA5" s="55"/>
      <c r="ITB5" s="55"/>
      <c r="ITC5" s="55"/>
      <c r="ITD5" s="55"/>
      <c r="ITE5" s="55"/>
      <c r="ITF5" s="55"/>
      <c r="ITG5" s="55"/>
      <c r="ITH5" s="55"/>
      <c r="ITI5" s="55"/>
      <c r="ITJ5" s="55"/>
      <c r="ITK5" s="55"/>
      <c r="ITL5" s="55"/>
      <c r="ITM5" s="55"/>
      <c r="ITN5" s="55"/>
      <c r="ITO5" s="55"/>
      <c r="ITP5" s="55"/>
      <c r="ITQ5" s="55"/>
      <c r="ITR5" s="55"/>
      <c r="ITS5" s="55"/>
      <c r="ITT5" s="55"/>
      <c r="ITU5" s="55"/>
      <c r="ITV5" s="55"/>
      <c r="ITW5" s="55"/>
      <c r="ITX5" s="55"/>
      <c r="ITY5" s="55"/>
      <c r="ITZ5" s="55"/>
      <c r="IUA5" s="55"/>
      <c r="IUB5" s="55"/>
      <c r="IUC5" s="55"/>
      <c r="IUD5" s="55"/>
      <c r="IUE5" s="55"/>
      <c r="IUF5" s="55"/>
      <c r="IUG5" s="55"/>
      <c r="IUH5" s="55"/>
      <c r="IUI5" s="55"/>
      <c r="IUJ5" s="55"/>
      <c r="IUK5" s="55"/>
      <c r="IUL5" s="55"/>
      <c r="IUM5" s="55"/>
      <c r="IUN5" s="55"/>
      <c r="IUO5" s="55"/>
      <c r="IUP5" s="55"/>
      <c r="IUQ5" s="55"/>
      <c r="IUR5" s="55"/>
      <c r="IUS5" s="55"/>
      <c r="IUT5" s="55"/>
      <c r="IUU5" s="55"/>
      <c r="IUV5" s="55"/>
      <c r="IUW5" s="55"/>
      <c r="IUX5" s="55"/>
      <c r="IUY5" s="55"/>
      <c r="IUZ5" s="55"/>
      <c r="IVA5" s="55"/>
      <c r="IVB5" s="55"/>
      <c r="IVC5" s="55"/>
      <c r="IVD5" s="55"/>
      <c r="IVE5" s="55"/>
      <c r="IVF5" s="55"/>
      <c r="IVG5" s="55"/>
      <c r="IVH5" s="55"/>
      <c r="IVI5" s="55"/>
      <c r="IVJ5" s="55"/>
      <c r="IVK5" s="55"/>
      <c r="IVL5" s="55"/>
      <c r="IVM5" s="55"/>
      <c r="IVN5" s="55"/>
      <c r="IVO5" s="55"/>
      <c r="IVP5" s="55"/>
      <c r="IVQ5" s="55"/>
      <c r="IVR5" s="55"/>
      <c r="IVS5" s="55"/>
      <c r="IVT5" s="55"/>
      <c r="IVU5" s="55"/>
      <c r="IVV5" s="55"/>
      <c r="IVW5" s="55"/>
      <c r="IVX5" s="55"/>
      <c r="IVY5" s="55"/>
      <c r="IVZ5" s="55"/>
      <c r="IWA5" s="55"/>
      <c r="IWB5" s="55"/>
      <c r="IWC5" s="55"/>
      <c r="IWD5" s="55"/>
      <c r="IWE5" s="55"/>
      <c r="IWF5" s="55"/>
      <c r="IWG5" s="55"/>
      <c r="IWH5" s="55"/>
      <c r="IWI5" s="55"/>
      <c r="IWJ5" s="55"/>
      <c r="IWK5" s="55"/>
      <c r="IWL5" s="55"/>
      <c r="IWM5" s="55"/>
      <c r="IWN5" s="55"/>
      <c r="IWO5" s="55"/>
      <c r="IWP5" s="55"/>
      <c r="IWQ5" s="55"/>
      <c r="IWR5" s="55"/>
      <c r="IWS5" s="55"/>
      <c r="IWT5" s="55"/>
      <c r="IWU5" s="55"/>
      <c r="IWV5" s="55"/>
      <c r="IWW5" s="55"/>
      <c r="IWX5" s="55"/>
      <c r="IWY5" s="55"/>
      <c r="IWZ5" s="55"/>
      <c r="IXA5" s="55"/>
      <c r="IXB5" s="55"/>
      <c r="IXC5" s="55"/>
      <c r="IXD5" s="55"/>
      <c r="IXE5" s="55"/>
      <c r="IXF5" s="55"/>
      <c r="IXG5" s="55"/>
      <c r="IXH5" s="55"/>
      <c r="IXI5" s="55"/>
      <c r="IXJ5" s="55"/>
      <c r="IXK5" s="55"/>
      <c r="IXL5" s="55"/>
      <c r="IXM5" s="55"/>
      <c r="IXN5" s="55"/>
      <c r="IXO5" s="55"/>
      <c r="IXP5" s="55"/>
      <c r="IXQ5" s="55"/>
      <c r="IXR5" s="55"/>
      <c r="IXS5" s="55"/>
      <c r="IXT5" s="55"/>
      <c r="IXU5" s="55"/>
      <c r="IXV5" s="55"/>
      <c r="IXW5" s="55"/>
      <c r="IXX5" s="55"/>
      <c r="IXY5" s="55"/>
      <c r="IXZ5" s="55"/>
      <c r="IYA5" s="55"/>
      <c r="IYB5" s="55"/>
      <c r="IYC5" s="55"/>
      <c r="IYD5" s="55"/>
      <c r="IYE5" s="55"/>
      <c r="IYF5" s="55"/>
      <c r="IYG5" s="55"/>
      <c r="IYH5" s="55"/>
      <c r="IYI5" s="55"/>
      <c r="IYJ5" s="55"/>
      <c r="IYK5" s="55"/>
      <c r="IYL5" s="55"/>
      <c r="IYM5" s="55"/>
      <c r="IYN5" s="55"/>
      <c r="IYO5" s="55"/>
      <c r="IYP5" s="55"/>
      <c r="IYQ5" s="55"/>
      <c r="IYR5" s="55"/>
      <c r="IYS5" s="55"/>
      <c r="IYT5" s="55"/>
      <c r="IYU5" s="55"/>
      <c r="IYV5" s="55"/>
      <c r="IYW5" s="55"/>
      <c r="IYX5" s="55"/>
      <c r="IYY5" s="55"/>
      <c r="IYZ5" s="55"/>
      <c r="IZA5" s="55"/>
      <c r="IZB5" s="55"/>
      <c r="IZC5" s="55"/>
      <c r="IZD5" s="55"/>
      <c r="IZE5" s="55"/>
      <c r="IZF5" s="55"/>
      <c r="IZG5" s="55"/>
      <c r="IZH5" s="55"/>
      <c r="IZI5" s="55"/>
      <c r="IZJ5" s="55"/>
      <c r="IZK5" s="55"/>
      <c r="IZL5" s="55"/>
      <c r="IZM5" s="55"/>
      <c r="IZN5" s="55"/>
      <c r="IZO5" s="55"/>
      <c r="IZP5" s="55"/>
      <c r="IZQ5" s="55"/>
      <c r="IZR5" s="55"/>
      <c r="IZS5" s="55"/>
      <c r="IZT5" s="55"/>
      <c r="IZU5" s="55"/>
      <c r="IZV5" s="55"/>
      <c r="IZW5" s="55"/>
      <c r="IZX5" s="55"/>
      <c r="IZY5" s="55"/>
      <c r="IZZ5" s="55"/>
      <c r="JAA5" s="55"/>
      <c r="JAB5" s="55"/>
      <c r="JAC5" s="55"/>
      <c r="JAD5" s="55"/>
      <c r="JAE5" s="55"/>
      <c r="JAF5" s="55"/>
      <c r="JAG5" s="55"/>
      <c r="JAH5" s="55"/>
      <c r="JAI5" s="55"/>
      <c r="JAJ5" s="55"/>
      <c r="JAK5" s="55"/>
      <c r="JAL5" s="55"/>
      <c r="JAM5" s="55"/>
      <c r="JAN5" s="55"/>
      <c r="JAO5" s="55"/>
      <c r="JAP5" s="55"/>
      <c r="JAQ5" s="55"/>
      <c r="JAR5" s="55"/>
      <c r="JAS5" s="55"/>
      <c r="JAT5" s="55"/>
      <c r="JAU5" s="55"/>
      <c r="JAV5" s="55"/>
      <c r="JAW5" s="55"/>
      <c r="JAX5" s="55"/>
      <c r="JAY5" s="55"/>
      <c r="JAZ5" s="55"/>
      <c r="JBA5" s="55"/>
      <c r="JBB5" s="55"/>
      <c r="JBC5" s="55"/>
      <c r="JBD5" s="55"/>
      <c r="JBE5" s="55"/>
      <c r="JBF5" s="55"/>
      <c r="JBG5" s="55"/>
      <c r="JBH5" s="55"/>
      <c r="JBI5" s="55"/>
      <c r="JBJ5" s="55"/>
      <c r="JBK5" s="55"/>
      <c r="JBL5" s="55"/>
      <c r="JBM5" s="55"/>
      <c r="JBN5" s="55"/>
      <c r="JBO5" s="55"/>
      <c r="JBP5" s="55"/>
      <c r="JBQ5" s="55"/>
      <c r="JBR5" s="55"/>
      <c r="JBS5" s="55"/>
      <c r="JBT5" s="55"/>
      <c r="JBU5" s="55"/>
      <c r="JBV5" s="55"/>
      <c r="JBW5" s="55"/>
      <c r="JBX5" s="55"/>
      <c r="JBY5" s="55"/>
      <c r="JBZ5" s="55"/>
      <c r="JCA5" s="55"/>
      <c r="JCB5" s="55"/>
      <c r="JCC5" s="55"/>
      <c r="JCD5" s="55"/>
      <c r="JCE5" s="55"/>
      <c r="JCF5" s="55"/>
      <c r="JCG5" s="55"/>
      <c r="JCH5" s="55"/>
      <c r="JCI5" s="55"/>
      <c r="JCJ5" s="55"/>
      <c r="JCK5" s="55"/>
      <c r="JCL5" s="55"/>
      <c r="JCM5" s="55"/>
      <c r="JCN5" s="55"/>
      <c r="JCO5" s="55"/>
      <c r="JCP5" s="55"/>
      <c r="JCQ5" s="55"/>
      <c r="JCR5" s="55"/>
      <c r="JCS5" s="55"/>
      <c r="JCT5" s="55"/>
      <c r="JCU5" s="55"/>
      <c r="JCV5" s="55"/>
      <c r="JCW5" s="55"/>
      <c r="JCX5" s="55"/>
      <c r="JCY5" s="55"/>
      <c r="JCZ5" s="55"/>
      <c r="JDA5" s="55"/>
      <c r="JDB5" s="55"/>
      <c r="JDC5" s="55"/>
      <c r="JDD5" s="55"/>
      <c r="JDE5" s="55"/>
      <c r="JDF5" s="55"/>
      <c r="JDG5" s="55"/>
      <c r="JDH5" s="55"/>
      <c r="JDI5" s="55"/>
      <c r="JDJ5" s="55"/>
      <c r="JDK5" s="55"/>
      <c r="JDL5" s="55"/>
      <c r="JDM5" s="55"/>
      <c r="JDN5" s="55"/>
      <c r="JDO5" s="55"/>
      <c r="JDP5" s="55"/>
      <c r="JDQ5" s="55"/>
      <c r="JDR5" s="55"/>
      <c r="JDS5" s="55"/>
      <c r="JDT5" s="55"/>
      <c r="JDU5" s="55"/>
      <c r="JDV5" s="55"/>
      <c r="JDW5" s="55"/>
      <c r="JDX5" s="55"/>
      <c r="JDY5" s="55"/>
      <c r="JDZ5" s="55"/>
      <c r="JEA5" s="55"/>
      <c r="JEB5" s="55"/>
      <c r="JEC5" s="55"/>
      <c r="JED5" s="55"/>
      <c r="JEE5" s="55"/>
      <c r="JEF5" s="55"/>
      <c r="JEG5" s="55"/>
      <c r="JEH5" s="55"/>
      <c r="JEI5" s="55"/>
      <c r="JEJ5" s="55"/>
      <c r="JEK5" s="55"/>
      <c r="JEL5" s="55"/>
      <c r="JEM5" s="55"/>
      <c r="JEN5" s="55"/>
      <c r="JEO5" s="55"/>
      <c r="JEP5" s="55"/>
      <c r="JEQ5" s="55"/>
      <c r="JER5" s="55"/>
      <c r="JES5" s="55"/>
      <c r="JET5" s="55"/>
      <c r="JEU5" s="55"/>
      <c r="JEV5" s="55"/>
      <c r="JEW5" s="55"/>
      <c r="JEX5" s="55"/>
      <c r="JEY5" s="55"/>
      <c r="JEZ5" s="55"/>
      <c r="JFA5" s="55"/>
      <c r="JFB5" s="55"/>
      <c r="JFC5" s="55"/>
      <c r="JFD5" s="55"/>
      <c r="JFE5" s="55"/>
      <c r="JFF5" s="55"/>
      <c r="JFG5" s="55"/>
      <c r="JFH5" s="55"/>
      <c r="JFI5" s="55"/>
      <c r="JFJ5" s="55"/>
      <c r="JFK5" s="55"/>
      <c r="JFL5" s="55"/>
      <c r="JFM5" s="55"/>
      <c r="JFN5" s="55"/>
      <c r="JFO5" s="55"/>
      <c r="JFP5" s="55"/>
      <c r="JFQ5" s="55"/>
      <c r="JFR5" s="55"/>
      <c r="JFS5" s="55"/>
      <c r="JFT5" s="55"/>
      <c r="JFU5" s="55"/>
      <c r="JFV5" s="55"/>
      <c r="JFW5" s="55"/>
      <c r="JFX5" s="55"/>
      <c r="JFY5" s="55"/>
      <c r="JFZ5" s="55"/>
      <c r="JGA5" s="55"/>
      <c r="JGB5" s="55"/>
      <c r="JGC5" s="55"/>
      <c r="JGD5" s="55"/>
      <c r="JGE5" s="55"/>
      <c r="JGF5" s="55"/>
      <c r="JGG5" s="55"/>
      <c r="JGH5" s="55"/>
      <c r="JGI5" s="55"/>
      <c r="JGJ5" s="55"/>
      <c r="JGK5" s="55"/>
      <c r="JGL5" s="55"/>
      <c r="JGM5" s="55"/>
      <c r="JGN5" s="55"/>
      <c r="JGO5" s="55"/>
      <c r="JGP5" s="55"/>
      <c r="JGQ5" s="55"/>
      <c r="JGR5" s="55"/>
      <c r="JGS5" s="55"/>
      <c r="JGT5" s="55"/>
      <c r="JGU5" s="55"/>
      <c r="JGV5" s="55"/>
      <c r="JGW5" s="55"/>
      <c r="JGX5" s="55"/>
      <c r="JGY5" s="55"/>
      <c r="JGZ5" s="55"/>
      <c r="JHA5" s="55"/>
      <c r="JHB5" s="55"/>
      <c r="JHC5" s="55"/>
      <c r="JHD5" s="55"/>
      <c r="JHE5" s="55"/>
      <c r="JHF5" s="55"/>
      <c r="JHG5" s="55"/>
      <c r="JHH5" s="55"/>
      <c r="JHI5" s="55"/>
      <c r="JHJ5" s="55"/>
      <c r="JHK5" s="55"/>
      <c r="JHL5" s="55"/>
      <c r="JHM5" s="55"/>
      <c r="JHN5" s="55"/>
      <c r="JHO5" s="55"/>
      <c r="JHP5" s="55"/>
      <c r="JHQ5" s="55"/>
      <c r="JHR5" s="55"/>
      <c r="JHS5" s="55"/>
      <c r="JHT5" s="55"/>
      <c r="JHU5" s="55"/>
      <c r="JHV5" s="55"/>
      <c r="JHW5" s="55"/>
      <c r="JHX5" s="55"/>
      <c r="JHY5" s="55"/>
      <c r="JHZ5" s="55"/>
      <c r="JIA5" s="55"/>
      <c r="JIB5" s="55"/>
      <c r="JIC5" s="55"/>
      <c r="JID5" s="55"/>
      <c r="JIE5" s="55"/>
      <c r="JIF5" s="55"/>
      <c r="JIG5" s="55"/>
      <c r="JIH5" s="55"/>
      <c r="JII5" s="55"/>
      <c r="JIJ5" s="55"/>
      <c r="JIK5" s="55"/>
      <c r="JIL5" s="55"/>
      <c r="JIM5" s="55"/>
      <c r="JIN5" s="55"/>
      <c r="JIO5" s="55"/>
      <c r="JIP5" s="55"/>
      <c r="JIQ5" s="55"/>
      <c r="JIR5" s="55"/>
      <c r="JIS5" s="55"/>
      <c r="JIT5" s="55"/>
      <c r="JIU5" s="55"/>
      <c r="JIV5" s="55"/>
      <c r="JIW5" s="55"/>
      <c r="JIX5" s="55"/>
      <c r="JIY5" s="55"/>
      <c r="JIZ5" s="55"/>
      <c r="JJA5" s="55"/>
      <c r="JJB5" s="55"/>
      <c r="JJC5" s="55"/>
      <c r="JJD5" s="55"/>
      <c r="JJE5" s="55"/>
      <c r="JJF5" s="55"/>
      <c r="JJG5" s="55"/>
      <c r="JJH5" s="55"/>
      <c r="JJI5" s="55"/>
      <c r="JJJ5" s="55"/>
      <c r="JJK5" s="55"/>
      <c r="JJL5" s="55"/>
      <c r="JJM5" s="55"/>
      <c r="JJN5" s="55"/>
      <c r="JJO5" s="55"/>
      <c r="JJP5" s="55"/>
      <c r="JJQ5" s="55"/>
      <c r="JJR5" s="55"/>
      <c r="JJS5" s="55"/>
      <c r="JJT5" s="55"/>
      <c r="JJU5" s="55"/>
      <c r="JJV5" s="55"/>
      <c r="JJW5" s="55"/>
      <c r="JJX5" s="55"/>
      <c r="JJY5" s="55"/>
      <c r="JJZ5" s="55"/>
      <c r="JKA5" s="55"/>
      <c r="JKB5" s="55"/>
      <c r="JKC5" s="55"/>
      <c r="JKD5" s="55"/>
      <c r="JKE5" s="55"/>
      <c r="JKF5" s="55"/>
      <c r="JKG5" s="55"/>
      <c r="JKH5" s="55"/>
      <c r="JKI5" s="55"/>
      <c r="JKJ5" s="55"/>
      <c r="JKK5" s="55"/>
      <c r="JKL5" s="55"/>
      <c r="JKM5" s="55"/>
      <c r="JKN5" s="55"/>
      <c r="JKO5" s="55"/>
      <c r="JKP5" s="55"/>
      <c r="JKQ5" s="55"/>
      <c r="JKR5" s="55"/>
      <c r="JKS5" s="55"/>
      <c r="JKT5" s="55"/>
      <c r="JKU5" s="55"/>
      <c r="JKV5" s="55"/>
      <c r="JKW5" s="55"/>
      <c r="JKX5" s="55"/>
      <c r="JKY5" s="55"/>
      <c r="JKZ5" s="55"/>
      <c r="JLA5" s="55"/>
      <c r="JLB5" s="55"/>
      <c r="JLC5" s="55"/>
      <c r="JLD5" s="55"/>
      <c r="JLE5" s="55"/>
      <c r="JLF5" s="55"/>
      <c r="JLG5" s="55"/>
      <c r="JLH5" s="55"/>
      <c r="JLI5" s="55"/>
      <c r="JLJ5" s="55"/>
      <c r="JLK5" s="55"/>
      <c r="JLL5" s="55"/>
      <c r="JLM5" s="55"/>
      <c r="JLN5" s="55"/>
      <c r="JLO5" s="55"/>
      <c r="JLP5" s="55"/>
      <c r="JLQ5" s="55"/>
      <c r="JLR5" s="55"/>
      <c r="JLS5" s="55"/>
      <c r="JLT5" s="55"/>
      <c r="JLU5" s="55"/>
      <c r="JLV5" s="55"/>
      <c r="JLW5" s="55"/>
      <c r="JLX5" s="55"/>
      <c r="JLY5" s="55"/>
      <c r="JLZ5" s="55"/>
      <c r="JMA5" s="55"/>
      <c r="JMB5" s="55"/>
      <c r="JMC5" s="55"/>
      <c r="JMD5" s="55"/>
      <c r="JME5" s="55"/>
      <c r="JMF5" s="55"/>
      <c r="JMG5" s="55"/>
      <c r="JMH5" s="55"/>
      <c r="JMI5" s="55"/>
      <c r="JMJ5" s="55"/>
      <c r="JMK5" s="55"/>
      <c r="JML5" s="55"/>
      <c r="JMM5" s="55"/>
      <c r="JMN5" s="55"/>
      <c r="JMO5" s="55"/>
      <c r="JMP5" s="55"/>
      <c r="JMQ5" s="55"/>
      <c r="JMR5" s="55"/>
      <c r="JMS5" s="55"/>
      <c r="JMT5" s="55"/>
      <c r="JMU5" s="55"/>
      <c r="JMV5" s="55"/>
      <c r="JMW5" s="55"/>
      <c r="JMX5" s="55"/>
      <c r="JMY5" s="55"/>
      <c r="JMZ5" s="55"/>
      <c r="JNA5" s="55"/>
      <c r="JNB5" s="55"/>
      <c r="JNC5" s="55"/>
      <c r="JND5" s="55"/>
      <c r="JNE5" s="55"/>
      <c r="JNF5" s="55"/>
      <c r="JNG5" s="55"/>
      <c r="JNH5" s="55"/>
      <c r="JNI5" s="55"/>
      <c r="JNJ5" s="55"/>
      <c r="JNK5" s="55"/>
      <c r="JNL5" s="55"/>
      <c r="JNM5" s="55"/>
      <c r="JNN5" s="55"/>
      <c r="JNO5" s="55"/>
      <c r="JNP5" s="55"/>
      <c r="JNQ5" s="55"/>
      <c r="JNR5" s="55"/>
      <c r="JNS5" s="55"/>
      <c r="JNT5" s="55"/>
      <c r="JNU5" s="55"/>
      <c r="JNV5" s="55"/>
      <c r="JNW5" s="55"/>
      <c r="JNX5" s="55"/>
      <c r="JNY5" s="55"/>
      <c r="JNZ5" s="55"/>
      <c r="JOA5" s="55"/>
      <c r="JOB5" s="55"/>
      <c r="JOC5" s="55"/>
      <c r="JOD5" s="55"/>
      <c r="JOE5" s="55"/>
      <c r="JOF5" s="55"/>
      <c r="JOG5" s="55"/>
      <c r="JOH5" s="55"/>
      <c r="JOI5" s="55"/>
      <c r="JOJ5" s="55"/>
      <c r="JOK5" s="55"/>
      <c r="JOL5" s="55"/>
      <c r="JOM5" s="55"/>
      <c r="JON5" s="55"/>
      <c r="JOO5" s="55"/>
      <c r="JOP5" s="55"/>
      <c r="JOQ5" s="55"/>
      <c r="JOR5" s="55"/>
      <c r="JOS5" s="55"/>
      <c r="JOT5" s="55"/>
      <c r="JOU5" s="55"/>
      <c r="JOV5" s="55"/>
      <c r="JOW5" s="55"/>
      <c r="JOX5" s="55"/>
      <c r="JOY5" s="55"/>
      <c r="JOZ5" s="55"/>
      <c r="JPA5" s="55"/>
      <c r="JPB5" s="55"/>
      <c r="JPC5" s="55"/>
      <c r="JPD5" s="55"/>
      <c r="JPE5" s="55"/>
      <c r="JPF5" s="55"/>
      <c r="JPG5" s="55"/>
      <c r="JPH5" s="55"/>
      <c r="JPI5" s="55"/>
      <c r="JPJ5" s="55"/>
      <c r="JPK5" s="55"/>
      <c r="JPL5" s="55"/>
      <c r="JPM5" s="55"/>
      <c r="JPN5" s="55"/>
      <c r="JPO5" s="55"/>
      <c r="JPP5" s="55"/>
      <c r="JPQ5" s="55"/>
      <c r="JPR5" s="55"/>
      <c r="JPS5" s="55"/>
      <c r="JPT5" s="55"/>
      <c r="JPU5" s="55"/>
      <c r="JPV5" s="55"/>
      <c r="JPW5" s="55"/>
      <c r="JPX5" s="55"/>
      <c r="JPY5" s="55"/>
      <c r="JPZ5" s="55"/>
      <c r="JQA5" s="55"/>
      <c r="JQB5" s="55"/>
      <c r="JQC5" s="55"/>
      <c r="JQD5" s="55"/>
      <c r="JQE5" s="55"/>
      <c r="JQF5" s="55"/>
      <c r="JQG5" s="55"/>
      <c r="JQH5" s="55"/>
      <c r="JQI5" s="55"/>
      <c r="JQJ5" s="55"/>
      <c r="JQK5" s="55"/>
      <c r="JQL5" s="55"/>
      <c r="JQM5" s="55"/>
      <c r="JQN5" s="55"/>
      <c r="JQO5" s="55"/>
      <c r="JQP5" s="55"/>
      <c r="JQQ5" s="55"/>
      <c r="JQR5" s="55"/>
      <c r="JQS5" s="55"/>
      <c r="JQT5" s="55"/>
      <c r="JQU5" s="55"/>
      <c r="JQV5" s="55"/>
      <c r="JQW5" s="55"/>
      <c r="JQX5" s="55"/>
      <c r="JQY5" s="55"/>
      <c r="JQZ5" s="55"/>
      <c r="JRA5" s="55"/>
      <c r="JRB5" s="55"/>
      <c r="JRC5" s="55"/>
      <c r="JRD5" s="55"/>
      <c r="JRE5" s="55"/>
      <c r="JRF5" s="55"/>
      <c r="JRG5" s="55"/>
      <c r="JRH5" s="55"/>
      <c r="JRI5" s="55"/>
      <c r="JRJ5" s="55"/>
      <c r="JRK5" s="55"/>
      <c r="JRL5" s="55"/>
      <c r="JRM5" s="55"/>
      <c r="JRN5" s="55"/>
      <c r="JRO5" s="55"/>
      <c r="JRP5" s="55"/>
      <c r="JRQ5" s="55"/>
      <c r="JRR5" s="55"/>
      <c r="JRS5" s="55"/>
      <c r="JRT5" s="55"/>
      <c r="JRU5" s="55"/>
      <c r="JRV5" s="55"/>
      <c r="JRW5" s="55"/>
      <c r="JRX5" s="55"/>
      <c r="JRY5" s="55"/>
      <c r="JRZ5" s="55"/>
      <c r="JSA5" s="55"/>
      <c r="JSB5" s="55"/>
      <c r="JSC5" s="55"/>
      <c r="JSD5" s="55"/>
      <c r="JSE5" s="55"/>
      <c r="JSF5" s="55"/>
      <c r="JSG5" s="55"/>
      <c r="JSH5" s="55"/>
      <c r="JSI5" s="55"/>
      <c r="JSJ5" s="55"/>
      <c r="JSK5" s="55"/>
      <c r="JSL5" s="55"/>
      <c r="JSM5" s="55"/>
      <c r="JSN5" s="55"/>
      <c r="JSO5" s="55"/>
      <c r="JSP5" s="55"/>
      <c r="JSQ5" s="55"/>
      <c r="JSR5" s="55"/>
      <c r="JSS5" s="55"/>
      <c r="JST5" s="55"/>
      <c r="JSU5" s="55"/>
      <c r="JSV5" s="55"/>
      <c r="JSW5" s="55"/>
      <c r="JSX5" s="55"/>
      <c r="JSY5" s="55"/>
      <c r="JSZ5" s="55"/>
      <c r="JTA5" s="55"/>
      <c r="JTB5" s="55"/>
      <c r="JTC5" s="55"/>
      <c r="JTD5" s="55"/>
      <c r="JTE5" s="55"/>
      <c r="JTF5" s="55"/>
      <c r="JTG5" s="55"/>
      <c r="JTH5" s="55"/>
      <c r="JTI5" s="55"/>
      <c r="JTJ5" s="55"/>
      <c r="JTK5" s="55"/>
      <c r="JTL5" s="55"/>
      <c r="JTM5" s="55"/>
      <c r="JTN5" s="55"/>
      <c r="JTO5" s="55"/>
      <c r="JTP5" s="55"/>
      <c r="JTQ5" s="55"/>
      <c r="JTR5" s="55"/>
      <c r="JTS5" s="55"/>
      <c r="JTT5" s="55"/>
      <c r="JTU5" s="55"/>
      <c r="JTV5" s="55"/>
      <c r="JTW5" s="55"/>
      <c r="JTX5" s="55"/>
      <c r="JTY5" s="55"/>
      <c r="JTZ5" s="55"/>
      <c r="JUA5" s="55"/>
      <c r="JUB5" s="55"/>
      <c r="JUC5" s="55"/>
      <c r="JUD5" s="55"/>
      <c r="JUE5" s="55"/>
      <c r="JUF5" s="55"/>
      <c r="JUG5" s="55"/>
      <c r="JUH5" s="55"/>
      <c r="JUI5" s="55"/>
      <c r="JUJ5" s="55"/>
      <c r="JUK5" s="55"/>
      <c r="JUL5" s="55"/>
      <c r="JUM5" s="55"/>
      <c r="JUN5" s="55"/>
      <c r="JUO5" s="55"/>
      <c r="JUP5" s="55"/>
      <c r="JUQ5" s="55"/>
      <c r="JUR5" s="55"/>
      <c r="JUS5" s="55"/>
      <c r="JUT5" s="55"/>
      <c r="JUU5" s="55"/>
      <c r="JUV5" s="55"/>
      <c r="JUW5" s="55"/>
      <c r="JUX5" s="55"/>
      <c r="JUY5" s="55"/>
      <c r="JUZ5" s="55"/>
      <c r="JVA5" s="55"/>
      <c r="JVB5" s="55"/>
      <c r="JVC5" s="55"/>
      <c r="JVD5" s="55"/>
      <c r="JVE5" s="55"/>
      <c r="JVF5" s="55"/>
      <c r="JVG5" s="55"/>
      <c r="JVH5" s="55"/>
      <c r="JVI5" s="55"/>
      <c r="JVJ5" s="55"/>
      <c r="JVK5" s="55"/>
      <c r="JVL5" s="55"/>
      <c r="JVM5" s="55"/>
      <c r="JVN5" s="55"/>
      <c r="JVO5" s="55"/>
      <c r="JVP5" s="55"/>
      <c r="JVQ5" s="55"/>
      <c r="JVR5" s="55"/>
      <c r="JVS5" s="55"/>
      <c r="JVT5" s="55"/>
      <c r="JVU5" s="55"/>
      <c r="JVV5" s="55"/>
      <c r="JVW5" s="55"/>
      <c r="JVX5" s="55"/>
      <c r="JVY5" s="55"/>
      <c r="JVZ5" s="55"/>
      <c r="JWA5" s="55"/>
      <c r="JWB5" s="55"/>
      <c r="JWC5" s="55"/>
      <c r="JWD5" s="55"/>
      <c r="JWE5" s="55"/>
      <c r="JWF5" s="55"/>
      <c r="JWG5" s="55"/>
      <c r="JWH5" s="55"/>
      <c r="JWI5" s="55"/>
      <c r="JWJ5" s="55"/>
      <c r="JWK5" s="55"/>
      <c r="JWL5" s="55"/>
      <c r="JWM5" s="55"/>
      <c r="JWN5" s="55"/>
      <c r="JWO5" s="55"/>
      <c r="JWP5" s="55"/>
      <c r="JWQ5" s="55"/>
      <c r="JWR5" s="55"/>
      <c r="JWS5" s="55"/>
      <c r="JWT5" s="55"/>
      <c r="JWU5" s="55"/>
      <c r="JWV5" s="55"/>
      <c r="JWW5" s="55"/>
      <c r="JWX5" s="55"/>
      <c r="JWY5" s="55"/>
      <c r="JWZ5" s="55"/>
      <c r="JXA5" s="55"/>
      <c r="JXB5" s="55"/>
      <c r="JXC5" s="55"/>
      <c r="JXD5" s="55"/>
      <c r="JXE5" s="55"/>
      <c r="JXF5" s="55"/>
      <c r="JXG5" s="55"/>
      <c r="JXH5" s="55"/>
      <c r="JXI5" s="55"/>
      <c r="JXJ5" s="55"/>
      <c r="JXK5" s="55"/>
      <c r="JXL5" s="55"/>
      <c r="JXM5" s="55"/>
      <c r="JXN5" s="55"/>
      <c r="JXO5" s="55"/>
      <c r="JXP5" s="55"/>
      <c r="JXQ5" s="55"/>
      <c r="JXR5" s="55"/>
      <c r="JXS5" s="55"/>
      <c r="JXT5" s="55"/>
      <c r="JXU5" s="55"/>
      <c r="JXV5" s="55"/>
      <c r="JXW5" s="55"/>
      <c r="JXX5" s="55"/>
      <c r="JXY5" s="55"/>
      <c r="JXZ5" s="55"/>
      <c r="JYA5" s="55"/>
      <c r="JYB5" s="55"/>
      <c r="JYC5" s="55"/>
      <c r="JYD5" s="55"/>
      <c r="JYE5" s="55"/>
      <c r="JYF5" s="55"/>
      <c r="JYG5" s="55"/>
      <c r="JYH5" s="55"/>
      <c r="JYI5" s="55"/>
      <c r="JYJ5" s="55"/>
      <c r="JYK5" s="55"/>
      <c r="JYL5" s="55"/>
      <c r="JYM5" s="55"/>
      <c r="JYN5" s="55"/>
      <c r="JYO5" s="55"/>
      <c r="JYP5" s="55"/>
      <c r="JYQ5" s="55"/>
      <c r="JYR5" s="55"/>
      <c r="JYS5" s="55"/>
      <c r="JYT5" s="55"/>
      <c r="JYU5" s="55"/>
      <c r="JYV5" s="55"/>
      <c r="JYW5" s="55"/>
      <c r="JYX5" s="55"/>
      <c r="JYY5" s="55"/>
      <c r="JYZ5" s="55"/>
      <c r="JZA5" s="55"/>
      <c r="JZB5" s="55"/>
      <c r="JZC5" s="55"/>
      <c r="JZD5" s="55"/>
      <c r="JZE5" s="55"/>
      <c r="JZF5" s="55"/>
      <c r="JZG5" s="55"/>
      <c r="JZH5" s="55"/>
      <c r="JZI5" s="55"/>
      <c r="JZJ5" s="55"/>
      <c r="JZK5" s="55"/>
      <c r="JZL5" s="55"/>
      <c r="JZM5" s="55"/>
      <c r="JZN5" s="55"/>
      <c r="JZO5" s="55"/>
      <c r="JZP5" s="55"/>
      <c r="JZQ5" s="55"/>
      <c r="JZR5" s="55"/>
      <c r="JZS5" s="55"/>
      <c r="JZT5" s="55"/>
      <c r="JZU5" s="55"/>
      <c r="JZV5" s="55"/>
      <c r="JZW5" s="55"/>
      <c r="JZX5" s="55"/>
      <c r="JZY5" s="55"/>
      <c r="JZZ5" s="55"/>
      <c r="KAA5" s="55"/>
      <c r="KAB5" s="55"/>
      <c r="KAC5" s="55"/>
      <c r="KAD5" s="55"/>
      <c r="KAE5" s="55"/>
      <c r="KAF5" s="55"/>
      <c r="KAG5" s="55"/>
      <c r="KAH5" s="55"/>
      <c r="KAI5" s="55"/>
      <c r="KAJ5" s="55"/>
      <c r="KAK5" s="55"/>
      <c r="KAL5" s="55"/>
      <c r="KAM5" s="55"/>
      <c r="KAN5" s="55"/>
      <c r="KAO5" s="55"/>
      <c r="KAP5" s="55"/>
      <c r="KAQ5" s="55"/>
      <c r="KAR5" s="55"/>
      <c r="KAS5" s="55"/>
      <c r="KAT5" s="55"/>
      <c r="KAU5" s="55"/>
      <c r="KAV5" s="55"/>
      <c r="KAW5" s="55"/>
      <c r="KAX5" s="55"/>
      <c r="KAY5" s="55"/>
      <c r="KAZ5" s="55"/>
      <c r="KBA5" s="55"/>
      <c r="KBB5" s="55"/>
      <c r="KBC5" s="55"/>
      <c r="KBD5" s="55"/>
      <c r="KBE5" s="55"/>
      <c r="KBF5" s="55"/>
      <c r="KBG5" s="55"/>
      <c r="KBH5" s="55"/>
      <c r="KBI5" s="55"/>
      <c r="KBJ5" s="55"/>
      <c r="KBK5" s="55"/>
      <c r="KBL5" s="55"/>
      <c r="KBM5" s="55"/>
      <c r="KBN5" s="55"/>
      <c r="KBO5" s="55"/>
      <c r="KBP5" s="55"/>
      <c r="KBQ5" s="55"/>
      <c r="KBR5" s="55"/>
      <c r="KBS5" s="55"/>
      <c r="KBT5" s="55"/>
      <c r="KBU5" s="55"/>
      <c r="KBV5" s="55"/>
      <c r="KBW5" s="55"/>
      <c r="KBX5" s="55"/>
      <c r="KBY5" s="55"/>
      <c r="KBZ5" s="55"/>
      <c r="KCA5" s="55"/>
      <c r="KCB5" s="55"/>
      <c r="KCC5" s="55"/>
      <c r="KCD5" s="55"/>
      <c r="KCE5" s="55"/>
      <c r="KCF5" s="55"/>
      <c r="KCG5" s="55"/>
      <c r="KCH5" s="55"/>
      <c r="KCI5" s="55"/>
      <c r="KCJ5" s="55"/>
      <c r="KCK5" s="55"/>
      <c r="KCL5" s="55"/>
      <c r="KCM5" s="55"/>
      <c r="KCN5" s="55"/>
      <c r="KCO5" s="55"/>
      <c r="KCP5" s="55"/>
      <c r="KCQ5" s="55"/>
      <c r="KCR5" s="55"/>
      <c r="KCS5" s="55"/>
      <c r="KCT5" s="55"/>
      <c r="KCU5" s="55"/>
      <c r="KCV5" s="55"/>
      <c r="KCW5" s="55"/>
      <c r="KCX5" s="55"/>
      <c r="KCY5" s="55"/>
      <c r="KCZ5" s="55"/>
      <c r="KDA5" s="55"/>
      <c r="KDB5" s="55"/>
      <c r="KDC5" s="55"/>
      <c r="KDD5" s="55"/>
      <c r="KDE5" s="55"/>
      <c r="KDF5" s="55"/>
      <c r="KDG5" s="55"/>
      <c r="KDH5" s="55"/>
      <c r="KDI5" s="55"/>
      <c r="KDJ5" s="55"/>
      <c r="KDK5" s="55"/>
      <c r="KDL5" s="55"/>
      <c r="KDM5" s="55"/>
      <c r="KDN5" s="55"/>
      <c r="KDO5" s="55"/>
      <c r="KDP5" s="55"/>
      <c r="KDQ5" s="55"/>
      <c r="KDR5" s="55"/>
      <c r="KDS5" s="55"/>
      <c r="KDT5" s="55"/>
      <c r="KDU5" s="55"/>
      <c r="KDV5" s="55"/>
      <c r="KDW5" s="55"/>
      <c r="KDX5" s="55"/>
      <c r="KDY5" s="55"/>
      <c r="KDZ5" s="55"/>
      <c r="KEA5" s="55"/>
      <c r="KEB5" s="55"/>
      <c r="KEC5" s="55"/>
      <c r="KED5" s="55"/>
      <c r="KEE5" s="55"/>
      <c r="KEF5" s="55"/>
      <c r="KEG5" s="55"/>
      <c r="KEH5" s="55"/>
      <c r="KEI5" s="55"/>
      <c r="KEJ5" s="55"/>
      <c r="KEK5" s="55"/>
      <c r="KEL5" s="55"/>
      <c r="KEM5" s="55"/>
      <c r="KEN5" s="55"/>
      <c r="KEO5" s="55"/>
      <c r="KEP5" s="55"/>
      <c r="KEQ5" s="55"/>
      <c r="KER5" s="55"/>
      <c r="KES5" s="55"/>
      <c r="KET5" s="55"/>
      <c r="KEU5" s="55"/>
      <c r="KEV5" s="55"/>
      <c r="KEW5" s="55"/>
      <c r="KEX5" s="55"/>
      <c r="KEY5" s="55"/>
      <c r="KEZ5" s="55"/>
      <c r="KFA5" s="55"/>
      <c r="KFB5" s="55"/>
      <c r="KFC5" s="55"/>
      <c r="KFD5" s="55"/>
      <c r="KFE5" s="55"/>
      <c r="KFF5" s="55"/>
      <c r="KFG5" s="55"/>
      <c r="KFH5" s="55"/>
      <c r="KFI5" s="55"/>
      <c r="KFJ5" s="55"/>
      <c r="KFK5" s="55"/>
      <c r="KFL5" s="55"/>
      <c r="KFM5" s="55"/>
      <c r="KFN5" s="55"/>
      <c r="KFO5" s="55"/>
      <c r="KFP5" s="55"/>
      <c r="KFQ5" s="55"/>
      <c r="KFR5" s="55"/>
      <c r="KFS5" s="55"/>
      <c r="KFT5" s="55"/>
      <c r="KFU5" s="55"/>
      <c r="KFV5" s="55"/>
      <c r="KFW5" s="55"/>
      <c r="KFX5" s="55"/>
      <c r="KFY5" s="55"/>
      <c r="KFZ5" s="55"/>
      <c r="KGA5" s="55"/>
      <c r="KGB5" s="55"/>
      <c r="KGC5" s="55"/>
      <c r="KGD5" s="55"/>
      <c r="KGE5" s="55"/>
      <c r="KGF5" s="55"/>
      <c r="KGG5" s="55"/>
      <c r="KGH5" s="55"/>
      <c r="KGI5" s="55"/>
      <c r="KGJ5" s="55"/>
      <c r="KGK5" s="55"/>
      <c r="KGL5" s="55"/>
      <c r="KGM5" s="55"/>
      <c r="KGN5" s="55"/>
      <c r="KGO5" s="55"/>
      <c r="KGP5" s="55"/>
      <c r="KGQ5" s="55"/>
      <c r="KGR5" s="55"/>
      <c r="KGS5" s="55"/>
      <c r="KGT5" s="55"/>
      <c r="KGU5" s="55"/>
      <c r="KGV5" s="55"/>
      <c r="KGW5" s="55"/>
      <c r="KGX5" s="55"/>
      <c r="KGY5" s="55"/>
      <c r="KGZ5" s="55"/>
      <c r="KHA5" s="55"/>
      <c r="KHB5" s="55"/>
      <c r="KHC5" s="55"/>
      <c r="KHD5" s="55"/>
      <c r="KHE5" s="55"/>
      <c r="KHF5" s="55"/>
      <c r="KHG5" s="55"/>
      <c r="KHH5" s="55"/>
      <c r="KHI5" s="55"/>
      <c r="KHJ5" s="55"/>
      <c r="KHK5" s="55"/>
      <c r="KHL5" s="55"/>
      <c r="KHM5" s="55"/>
      <c r="KHN5" s="55"/>
      <c r="KHO5" s="55"/>
      <c r="KHP5" s="55"/>
      <c r="KHQ5" s="55"/>
      <c r="KHR5" s="55"/>
      <c r="KHS5" s="55"/>
      <c r="KHT5" s="55"/>
      <c r="KHU5" s="55"/>
      <c r="KHV5" s="55"/>
      <c r="KHW5" s="55"/>
      <c r="KHX5" s="55"/>
      <c r="KHY5" s="55"/>
      <c r="KHZ5" s="55"/>
      <c r="KIA5" s="55"/>
      <c r="KIB5" s="55"/>
      <c r="KIC5" s="55"/>
      <c r="KID5" s="55"/>
      <c r="KIE5" s="55"/>
      <c r="KIF5" s="55"/>
      <c r="KIG5" s="55"/>
      <c r="KIH5" s="55"/>
      <c r="KII5" s="55"/>
      <c r="KIJ5" s="55"/>
      <c r="KIK5" s="55"/>
      <c r="KIL5" s="55"/>
      <c r="KIM5" s="55"/>
      <c r="KIN5" s="55"/>
      <c r="KIO5" s="55"/>
      <c r="KIP5" s="55"/>
      <c r="KIQ5" s="55"/>
      <c r="KIR5" s="55"/>
      <c r="KIS5" s="55"/>
      <c r="KIT5" s="55"/>
      <c r="KIU5" s="55"/>
      <c r="KIV5" s="55"/>
      <c r="KIW5" s="55"/>
      <c r="KIX5" s="55"/>
      <c r="KIY5" s="55"/>
      <c r="KIZ5" s="55"/>
      <c r="KJA5" s="55"/>
      <c r="KJB5" s="55"/>
      <c r="KJC5" s="55"/>
      <c r="KJD5" s="55"/>
      <c r="KJE5" s="55"/>
      <c r="KJF5" s="55"/>
      <c r="KJG5" s="55"/>
      <c r="KJH5" s="55"/>
      <c r="KJI5" s="55"/>
      <c r="KJJ5" s="55"/>
      <c r="KJK5" s="55"/>
      <c r="KJL5" s="55"/>
      <c r="KJM5" s="55"/>
      <c r="KJN5" s="55"/>
      <c r="KJO5" s="55"/>
      <c r="KJP5" s="55"/>
      <c r="KJQ5" s="55"/>
      <c r="KJR5" s="55"/>
      <c r="KJS5" s="55"/>
      <c r="KJT5" s="55"/>
      <c r="KJU5" s="55"/>
      <c r="KJV5" s="55"/>
      <c r="KJW5" s="55"/>
      <c r="KJX5" s="55"/>
      <c r="KJY5" s="55"/>
      <c r="KJZ5" s="55"/>
      <c r="KKA5" s="55"/>
      <c r="KKB5" s="55"/>
      <c r="KKC5" s="55"/>
      <c r="KKD5" s="55"/>
      <c r="KKE5" s="55"/>
      <c r="KKF5" s="55"/>
      <c r="KKG5" s="55"/>
      <c r="KKH5" s="55"/>
      <c r="KKI5" s="55"/>
      <c r="KKJ5" s="55"/>
      <c r="KKK5" s="55"/>
      <c r="KKL5" s="55"/>
      <c r="KKM5" s="55"/>
      <c r="KKN5" s="55"/>
      <c r="KKO5" s="55"/>
      <c r="KKP5" s="55"/>
      <c r="KKQ5" s="55"/>
      <c r="KKR5" s="55"/>
      <c r="KKS5" s="55"/>
      <c r="KKT5" s="55"/>
      <c r="KKU5" s="55"/>
      <c r="KKV5" s="55"/>
      <c r="KKW5" s="55"/>
      <c r="KKX5" s="55"/>
      <c r="KKY5" s="55"/>
      <c r="KKZ5" s="55"/>
      <c r="KLA5" s="55"/>
      <c r="KLB5" s="55"/>
      <c r="KLC5" s="55"/>
      <c r="KLD5" s="55"/>
      <c r="KLE5" s="55"/>
      <c r="KLF5" s="55"/>
      <c r="KLG5" s="55"/>
      <c r="KLH5" s="55"/>
      <c r="KLI5" s="55"/>
      <c r="KLJ5" s="55"/>
      <c r="KLK5" s="55"/>
      <c r="KLL5" s="55"/>
      <c r="KLM5" s="55"/>
      <c r="KLN5" s="55"/>
      <c r="KLO5" s="55"/>
      <c r="KLP5" s="55"/>
      <c r="KLQ5" s="55"/>
      <c r="KLR5" s="55"/>
      <c r="KLS5" s="55"/>
      <c r="KLT5" s="55"/>
      <c r="KLU5" s="55"/>
      <c r="KLV5" s="55"/>
      <c r="KLW5" s="55"/>
      <c r="KLX5" s="55"/>
      <c r="KLY5" s="55"/>
      <c r="KLZ5" s="55"/>
      <c r="KMA5" s="55"/>
      <c r="KMB5" s="55"/>
      <c r="KMC5" s="55"/>
      <c r="KMD5" s="55"/>
      <c r="KME5" s="55"/>
      <c r="KMF5" s="55"/>
      <c r="KMG5" s="55"/>
      <c r="KMH5" s="55"/>
      <c r="KMI5" s="55"/>
      <c r="KMJ5" s="55"/>
      <c r="KMK5" s="55"/>
      <c r="KML5" s="55"/>
      <c r="KMM5" s="55"/>
      <c r="KMN5" s="55"/>
      <c r="KMO5" s="55"/>
      <c r="KMP5" s="55"/>
      <c r="KMQ5" s="55"/>
      <c r="KMR5" s="55"/>
      <c r="KMS5" s="55"/>
      <c r="KMT5" s="55"/>
      <c r="KMU5" s="55"/>
      <c r="KMV5" s="55"/>
      <c r="KMW5" s="55"/>
      <c r="KMX5" s="55"/>
      <c r="KMY5" s="55"/>
      <c r="KMZ5" s="55"/>
      <c r="KNA5" s="55"/>
      <c r="KNB5" s="55"/>
      <c r="KNC5" s="55"/>
      <c r="KND5" s="55"/>
      <c r="KNE5" s="55"/>
      <c r="KNF5" s="55"/>
      <c r="KNG5" s="55"/>
      <c r="KNH5" s="55"/>
      <c r="KNI5" s="55"/>
      <c r="KNJ5" s="55"/>
      <c r="KNK5" s="55"/>
      <c r="KNL5" s="55"/>
      <c r="KNM5" s="55"/>
      <c r="KNN5" s="55"/>
      <c r="KNO5" s="55"/>
      <c r="KNP5" s="55"/>
      <c r="KNQ5" s="55"/>
      <c r="KNR5" s="55"/>
      <c r="KNS5" s="55"/>
      <c r="KNT5" s="55"/>
      <c r="KNU5" s="55"/>
      <c r="KNV5" s="55"/>
      <c r="KNW5" s="55"/>
      <c r="KNX5" s="55"/>
      <c r="KNY5" s="55"/>
      <c r="KNZ5" s="55"/>
      <c r="KOA5" s="55"/>
      <c r="KOB5" s="55"/>
      <c r="KOC5" s="55"/>
      <c r="KOD5" s="55"/>
      <c r="KOE5" s="55"/>
      <c r="KOF5" s="55"/>
      <c r="KOG5" s="55"/>
      <c r="KOH5" s="55"/>
      <c r="KOI5" s="55"/>
      <c r="KOJ5" s="55"/>
      <c r="KOK5" s="55"/>
      <c r="KOL5" s="55"/>
      <c r="KOM5" s="55"/>
      <c r="KON5" s="55"/>
      <c r="KOO5" s="55"/>
      <c r="KOP5" s="55"/>
      <c r="KOQ5" s="55"/>
      <c r="KOR5" s="55"/>
      <c r="KOS5" s="55"/>
      <c r="KOT5" s="55"/>
      <c r="KOU5" s="55"/>
      <c r="KOV5" s="55"/>
      <c r="KOW5" s="55"/>
      <c r="KOX5" s="55"/>
      <c r="KOY5" s="55"/>
      <c r="KOZ5" s="55"/>
      <c r="KPA5" s="55"/>
      <c r="KPB5" s="55"/>
      <c r="KPC5" s="55"/>
      <c r="KPD5" s="55"/>
      <c r="KPE5" s="55"/>
      <c r="KPF5" s="55"/>
      <c r="KPG5" s="55"/>
      <c r="KPH5" s="55"/>
      <c r="KPI5" s="55"/>
      <c r="KPJ5" s="55"/>
      <c r="KPK5" s="55"/>
      <c r="KPL5" s="55"/>
      <c r="KPM5" s="55"/>
      <c r="KPN5" s="55"/>
      <c r="KPO5" s="55"/>
      <c r="KPP5" s="55"/>
      <c r="KPQ5" s="55"/>
      <c r="KPR5" s="55"/>
      <c r="KPS5" s="55"/>
      <c r="KPT5" s="55"/>
      <c r="KPU5" s="55"/>
      <c r="KPV5" s="55"/>
      <c r="KPW5" s="55"/>
      <c r="KPX5" s="55"/>
      <c r="KPY5" s="55"/>
      <c r="KPZ5" s="55"/>
      <c r="KQA5" s="55"/>
      <c r="KQB5" s="55"/>
      <c r="KQC5" s="55"/>
      <c r="KQD5" s="55"/>
      <c r="KQE5" s="55"/>
      <c r="KQF5" s="55"/>
      <c r="KQG5" s="55"/>
      <c r="KQH5" s="55"/>
      <c r="KQI5" s="55"/>
      <c r="KQJ5" s="55"/>
      <c r="KQK5" s="55"/>
      <c r="KQL5" s="55"/>
      <c r="KQM5" s="55"/>
      <c r="KQN5" s="55"/>
      <c r="KQO5" s="55"/>
      <c r="KQP5" s="55"/>
      <c r="KQQ5" s="55"/>
      <c r="KQR5" s="55"/>
      <c r="KQS5" s="55"/>
      <c r="KQT5" s="55"/>
      <c r="KQU5" s="55"/>
      <c r="KQV5" s="55"/>
      <c r="KQW5" s="55"/>
      <c r="KQX5" s="55"/>
      <c r="KQY5" s="55"/>
      <c r="KQZ5" s="55"/>
      <c r="KRA5" s="55"/>
      <c r="KRB5" s="55"/>
      <c r="KRC5" s="55"/>
      <c r="KRD5" s="55"/>
      <c r="KRE5" s="55"/>
      <c r="KRF5" s="55"/>
      <c r="KRG5" s="55"/>
      <c r="KRH5" s="55"/>
      <c r="KRI5" s="55"/>
      <c r="KRJ5" s="55"/>
      <c r="KRK5" s="55"/>
      <c r="KRL5" s="55"/>
      <c r="KRM5" s="55"/>
      <c r="KRN5" s="55"/>
      <c r="KRO5" s="55"/>
      <c r="KRP5" s="55"/>
      <c r="KRQ5" s="55"/>
      <c r="KRR5" s="55"/>
      <c r="KRS5" s="55"/>
      <c r="KRT5" s="55"/>
      <c r="KRU5" s="55"/>
      <c r="KRV5" s="55"/>
      <c r="KRW5" s="55"/>
      <c r="KRX5" s="55"/>
      <c r="KRY5" s="55"/>
      <c r="KRZ5" s="55"/>
      <c r="KSA5" s="55"/>
      <c r="KSB5" s="55"/>
      <c r="KSC5" s="55"/>
      <c r="KSD5" s="55"/>
      <c r="KSE5" s="55"/>
      <c r="KSF5" s="55"/>
      <c r="KSG5" s="55"/>
      <c r="KSH5" s="55"/>
      <c r="KSI5" s="55"/>
      <c r="KSJ5" s="55"/>
      <c r="KSK5" s="55"/>
      <c r="KSL5" s="55"/>
      <c r="KSM5" s="55"/>
      <c r="KSN5" s="55"/>
      <c r="KSO5" s="55"/>
      <c r="KSP5" s="55"/>
      <c r="KSQ5" s="55"/>
      <c r="KSR5" s="55"/>
      <c r="KSS5" s="55"/>
      <c r="KST5" s="55"/>
      <c r="KSU5" s="55"/>
      <c r="KSV5" s="55"/>
      <c r="KSW5" s="55"/>
      <c r="KSX5" s="55"/>
      <c r="KSY5" s="55"/>
      <c r="KSZ5" s="55"/>
      <c r="KTA5" s="55"/>
      <c r="KTB5" s="55"/>
      <c r="KTC5" s="55"/>
      <c r="KTD5" s="55"/>
      <c r="KTE5" s="55"/>
      <c r="KTF5" s="55"/>
      <c r="KTG5" s="55"/>
      <c r="KTH5" s="55"/>
      <c r="KTI5" s="55"/>
      <c r="KTJ5" s="55"/>
      <c r="KTK5" s="55"/>
      <c r="KTL5" s="55"/>
      <c r="KTM5" s="55"/>
      <c r="KTN5" s="55"/>
      <c r="KTO5" s="55"/>
      <c r="KTP5" s="55"/>
      <c r="KTQ5" s="55"/>
      <c r="KTR5" s="55"/>
      <c r="KTS5" s="55"/>
      <c r="KTT5" s="55"/>
      <c r="KTU5" s="55"/>
      <c r="KTV5" s="55"/>
      <c r="KTW5" s="55"/>
      <c r="KTX5" s="55"/>
      <c r="KTY5" s="55"/>
      <c r="KTZ5" s="55"/>
      <c r="KUA5" s="55"/>
      <c r="KUB5" s="55"/>
      <c r="KUC5" s="55"/>
      <c r="KUD5" s="55"/>
      <c r="KUE5" s="55"/>
      <c r="KUF5" s="55"/>
      <c r="KUG5" s="55"/>
      <c r="KUH5" s="55"/>
      <c r="KUI5" s="55"/>
      <c r="KUJ5" s="55"/>
      <c r="KUK5" s="55"/>
      <c r="KUL5" s="55"/>
      <c r="KUM5" s="55"/>
      <c r="KUN5" s="55"/>
      <c r="KUO5" s="55"/>
      <c r="KUP5" s="55"/>
      <c r="KUQ5" s="55"/>
      <c r="KUR5" s="55"/>
      <c r="KUS5" s="55"/>
      <c r="KUT5" s="55"/>
      <c r="KUU5" s="55"/>
      <c r="KUV5" s="55"/>
      <c r="KUW5" s="55"/>
      <c r="KUX5" s="55"/>
      <c r="KUY5" s="55"/>
      <c r="KUZ5" s="55"/>
      <c r="KVA5" s="55"/>
      <c r="KVB5" s="55"/>
      <c r="KVC5" s="55"/>
      <c r="KVD5" s="55"/>
      <c r="KVE5" s="55"/>
      <c r="KVF5" s="55"/>
      <c r="KVG5" s="55"/>
      <c r="KVH5" s="55"/>
      <c r="KVI5" s="55"/>
      <c r="KVJ5" s="55"/>
      <c r="KVK5" s="55"/>
      <c r="KVL5" s="55"/>
      <c r="KVM5" s="55"/>
      <c r="KVN5" s="55"/>
      <c r="KVO5" s="55"/>
      <c r="KVP5" s="55"/>
      <c r="KVQ5" s="55"/>
      <c r="KVR5" s="55"/>
      <c r="KVS5" s="55"/>
      <c r="KVT5" s="55"/>
      <c r="KVU5" s="55"/>
      <c r="KVV5" s="55"/>
      <c r="KVW5" s="55"/>
      <c r="KVX5" s="55"/>
      <c r="KVY5" s="55"/>
      <c r="KVZ5" s="55"/>
      <c r="KWA5" s="55"/>
      <c r="KWB5" s="55"/>
      <c r="KWC5" s="55"/>
      <c r="KWD5" s="55"/>
      <c r="KWE5" s="55"/>
      <c r="KWF5" s="55"/>
      <c r="KWG5" s="55"/>
      <c r="KWH5" s="55"/>
      <c r="KWI5" s="55"/>
      <c r="KWJ5" s="55"/>
      <c r="KWK5" s="55"/>
      <c r="KWL5" s="55"/>
      <c r="KWM5" s="55"/>
      <c r="KWN5" s="55"/>
      <c r="KWO5" s="55"/>
      <c r="KWP5" s="55"/>
      <c r="KWQ5" s="55"/>
      <c r="KWR5" s="55"/>
      <c r="KWS5" s="55"/>
      <c r="KWT5" s="55"/>
      <c r="KWU5" s="55"/>
      <c r="KWV5" s="55"/>
      <c r="KWW5" s="55"/>
      <c r="KWX5" s="55"/>
      <c r="KWY5" s="55"/>
      <c r="KWZ5" s="55"/>
      <c r="KXA5" s="55"/>
      <c r="KXB5" s="55"/>
      <c r="KXC5" s="55"/>
      <c r="KXD5" s="55"/>
      <c r="KXE5" s="55"/>
      <c r="KXF5" s="55"/>
      <c r="KXG5" s="55"/>
      <c r="KXH5" s="55"/>
      <c r="KXI5" s="55"/>
      <c r="KXJ5" s="55"/>
      <c r="KXK5" s="55"/>
      <c r="KXL5" s="55"/>
      <c r="KXM5" s="55"/>
      <c r="KXN5" s="55"/>
      <c r="KXO5" s="55"/>
      <c r="KXP5" s="55"/>
      <c r="KXQ5" s="55"/>
      <c r="KXR5" s="55"/>
      <c r="KXS5" s="55"/>
      <c r="KXT5" s="55"/>
      <c r="KXU5" s="55"/>
      <c r="KXV5" s="55"/>
      <c r="KXW5" s="55"/>
      <c r="KXX5" s="55"/>
      <c r="KXY5" s="55"/>
      <c r="KXZ5" s="55"/>
      <c r="KYA5" s="55"/>
      <c r="KYB5" s="55"/>
      <c r="KYC5" s="55"/>
      <c r="KYD5" s="55"/>
      <c r="KYE5" s="55"/>
      <c r="KYF5" s="55"/>
      <c r="KYG5" s="55"/>
      <c r="KYH5" s="55"/>
      <c r="KYI5" s="55"/>
      <c r="KYJ5" s="55"/>
      <c r="KYK5" s="55"/>
      <c r="KYL5" s="55"/>
      <c r="KYM5" s="55"/>
      <c r="KYN5" s="55"/>
      <c r="KYO5" s="55"/>
      <c r="KYP5" s="55"/>
      <c r="KYQ5" s="55"/>
      <c r="KYR5" s="55"/>
      <c r="KYS5" s="55"/>
      <c r="KYT5" s="55"/>
      <c r="KYU5" s="55"/>
      <c r="KYV5" s="55"/>
      <c r="KYW5" s="55"/>
      <c r="KYX5" s="55"/>
      <c r="KYY5" s="55"/>
      <c r="KYZ5" s="55"/>
      <c r="KZA5" s="55"/>
      <c r="KZB5" s="55"/>
      <c r="KZC5" s="55"/>
      <c r="KZD5" s="55"/>
      <c r="KZE5" s="55"/>
      <c r="KZF5" s="55"/>
      <c r="KZG5" s="55"/>
      <c r="KZH5" s="55"/>
      <c r="KZI5" s="55"/>
      <c r="KZJ5" s="55"/>
      <c r="KZK5" s="55"/>
      <c r="KZL5" s="55"/>
      <c r="KZM5" s="55"/>
      <c r="KZN5" s="55"/>
      <c r="KZO5" s="55"/>
      <c r="KZP5" s="55"/>
      <c r="KZQ5" s="55"/>
      <c r="KZR5" s="55"/>
      <c r="KZS5" s="55"/>
      <c r="KZT5" s="55"/>
      <c r="KZU5" s="55"/>
      <c r="KZV5" s="55"/>
      <c r="KZW5" s="55"/>
      <c r="KZX5" s="55"/>
      <c r="KZY5" s="55"/>
      <c r="KZZ5" s="55"/>
      <c r="LAA5" s="55"/>
      <c r="LAB5" s="55"/>
      <c r="LAC5" s="55"/>
      <c r="LAD5" s="55"/>
      <c r="LAE5" s="55"/>
      <c r="LAF5" s="55"/>
      <c r="LAG5" s="55"/>
      <c r="LAH5" s="55"/>
      <c r="LAI5" s="55"/>
      <c r="LAJ5" s="55"/>
      <c r="LAK5" s="55"/>
      <c r="LAL5" s="55"/>
      <c r="LAM5" s="55"/>
      <c r="LAN5" s="55"/>
      <c r="LAO5" s="55"/>
      <c r="LAP5" s="55"/>
      <c r="LAQ5" s="55"/>
      <c r="LAR5" s="55"/>
      <c r="LAS5" s="55"/>
      <c r="LAT5" s="55"/>
      <c r="LAU5" s="55"/>
      <c r="LAV5" s="55"/>
      <c r="LAW5" s="55"/>
      <c r="LAX5" s="55"/>
      <c r="LAY5" s="55"/>
      <c r="LAZ5" s="55"/>
      <c r="LBA5" s="55"/>
      <c r="LBB5" s="55"/>
      <c r="LBC5" s="55"/>
      <c r="LBD5" s="55"/>
      <c r="LBE5" s="55"/>
      <c r="LBF5" s="55"/>
      <c r="LBG5" s="55"/>
      <c r="LBH5" s="55"/>
      <c r="LBI5" s="55"/>
      <c r="LBJ5" s="55"/>
      <c r="LBK5" s="55"/>
      <c r="LBL5" s="55"/>
      <c r="LBM5" s="55"/>
      <c r="LBN5" s="55"/>
      <c r="LBO5" s="55"/>
      <c r="LBP5" s="55"/>
      <c r="LBQ5" s="55"/>
      <c r="LBR5" s="55"/>
      <c r="LBS5" s="55"/>
      <c r="LBT5" s="55"/>
      <c r="LBU5" s="55"/>
      <c r="LBV5" s="55"/>
      <c r="LBW5" s="55"/>
      <c r="LBX5" s="55"/>
      <c r="LBY5" s="55"/>
      <c r="LBZ5" s="55"/>
      <c r="LCA5" s="55"/>
      <c r="LCB5" s="55"/>
      <c r="LCC5" s="55"/>
      <c r="LCD5" s="55"/>
      <c r="LCE5" s="55"/>
      <c r="LCF5" s="55"/>
      <c r="LCG5" s="55"/>
      <c r="LCH5" s="55"/>
      <c r="LCI5" s="55"/>
      <c r="LCJ5" s="55"/>
      <c r="LCK5" s="55"/>
      <c r="LCL5" s="55"/>
      <c r="LCM5" s="55"/>
      <c r="LCN5" s="55"/>
      <c r="LCO5" s="55"/>
      <c r="LCP5" s="55"/>
      <c r="LCQ5" s="55"/>
      <c r="LCR5" s="55"/>
      <c r="LCS5" s="55"/>
      <c r="LCT5" s="55"/>
      <c r="LCU5" s="55"/>
      <c r="LCV5" s="55"/>
      <c r="LCW5" s="55"/>
      <c r="LCX5" s="55"/>
      <c r="LCY5" s="55"/>
      <c r="LCZ5" s="55"/>
      <c r="LDA5" s="55"/>
      <c r="LDB5" s="55"/>
      <c r="LDC5" s="55"/>
      <c r="LDD5" s="55"/>
      <c r="LDE5" s="55"/>
      <c r="LDF5" s="55"/>
      <c r="LDG5" s="55"/>
      <c r="LDH5" s="55"/>
      <c r="LDI5" s="55"/>
      <c r="LDJ5" s="55"/>
      <c r="LDK5" s="55"/>
      <c r="LDL5" s="55"/>
      <c r="LDM5" s="55"/>
      <c r="LDN5" s="55"/>
      <c r="LDO5" s="55"/>
      <c r="LDP5" s="55"/>
      <c r="LDQ5" s="55"/>
      <c r="LDR5" s="55"/>
      <c r="LDS5" s="55"/>
      <c r="LDT5" s="55"/>
      <c r="LDU5" s="55"/>
      <c r="LDV5" s="55"/>
      <c r="LDW5" s="55"/>
      <c r="LDX5" s="55"/>
      <c r="LDY5" s="55"/>
      <c r="LDZ5" s="55"/>
      <c r="LEA5" s="55"/>
      <c r="LEB5" s="55"/>
      <c r="LEC5" s="55"/>
      <c r="LED5" s="55"/>
      <c r="LEE5" s="55"/>
      <c r="LEF5" s="55"/>
      <c r="LEG5" s="55"/>
      <c r="LEH5" s="55"/>
      <c r="LEI5" s="55"/>
      <c r="LEJ5" s="55"/>
      <c r="LEK5" s="55"/>
      <c r="LEL5" s="55"/>
      <c r="LEM5" s="55"/>
      <c r="LEN5" s="55"/>
      <c r="LEO5" s="55"/>
      <c r="LEP5" s="55"/>
      <c r="LEQ5" s="55"/>
      <c r="LER5" s="55"/>
      <c r="LES5" s="55"/>
      <c r="LET5" s="55"/>
      <c r="LEU5" s="55"/>
      <c r="LEV5" s="55"/>
      <c r="LEW5" s="55"/>
      <c r="LEX5" s="55"/>
      <c r="LEY5" s="55"/>
      <c r="LEZ5" s="55"/>
      <c r="LFA5" s="55"/>
      <c r="LFB5" s="55"/>
      <c r="LFC5" s="55"/>
      <c r="LFD5" s="55"/>
      <c r="LFE5" s="55"/>
      <c r="LFF5" s="55"/>
      <c r="LFG5" s="55"/>
      <c r="LFH5" s="55"/>
      <c r="LFI5" s="55"/>
      <c r="LFJ5" s="55"/>
      <c r="LFK5" s="55"/>
      <c r="LFL5" s="55"/>
      <c r="LFM5" s="55"/>
      <c r="LFN5" s="55"/>
      <c r="LFO5" s="55"/>
      <c r="LFP5" s="55"/>
      <c r="LFQ5" s="55"/>
      <c r="LFR5" s="55"/>
      <c r="LFS5" s="55"/>
      <c r="LFT5" s="55"/>
      <c r="LFU5" s="55"/>
      <c r="LFV5" s="55"/>
      <c r="LFW5" s="55"/>
      <c r="LFX5" s="55"/>
      <c r="LFY5" s="55"/>
      <c r="LFZ5" s="55"/>
      <c r="LGA5" s="55"/>
      <c r="LGB5" s="55"/>
      <c r="LGC5" s="55"/>
      <c r="LGD5" s="55"/>
      <c r="LGE5" s="55"/>
      <c r="LGF5" s="55"/>
      <c r="LGG5" s="55"/>
      <c r="LGH5" s="55"/>
      <c r="LGI5" s="55"/>
      <c r="LGJ5" s="55"/>
      <c r="LGK5" s="55"/>
      <c r="LGL5" s="55"/>
      <c r="LGM5" s="55"/>
      <c r="LGN5" s="55"/>
      <c r="LGO5" s="55"/>
      <c r="LGP5" s="55"/>
      <c r="LGQ5" s="55"/>
      <c r="LGR5" s="55"/>
      <c r="LGS5" s="55"/>
      <c r="LGT5" s="55"/>
      <c r="LGU5" s="55"/>
      <c r="LGV5" s="55"/>
      <c r="LGW5" s="55"/>
      <c r="LGX5" s="55"/>
      <c r="LGY5" s="55"/>
      <c r="LGZ5" s="55"/>
      <c r="LHA5" s="55"/>
      <c r="LHB5" s="55"/>
      <c r="LHC5" s="55"/>
      <c r="LHD5" s="55"/>
      <c r="LHE5" s="55"/>
      <c r="LHF5" s="55"/>
      <c r="LHG5" s="55"/>
      <c r="LHH5" s="55"/>
      <c r="LHI5" s="55"/>
      <c r="LHJ5" s="55"/>
      <c r="LHK5" s="55"/>
      <c r="LHL5" s="55"/>
      <c r="LHM5" s="55"/>
      <c r="LHN5" s="55"/>
      <c r="LHO5" s="55"/>
      <c r="LHP5" s="55"/>
      <c r="LHQ5" s="55"/>
      <c r="LHR5" s="55"/>
      <c r="LHS5" s="55"/>
      <c r="LHT5" s="55"/>
      <c r="LHU5" s="55"/>
      <c r="LHV5" s="55"/>
      <c r="LHW5" s="55"/>
      <c r="LHX5" s="55"/>
      <c r="LHY5" s="55"/>
      <c r="LHZ5" s="55"/>
      <c r="LIA5" s="55"/>
      <c r="LIB5" s="55"/>
      <c r="LIC5" s="55"/>
      <c r="LID5" s="55"/>
      <c r="LIE5" s="55"/>
      <c r="LIF5" s="55"/>
      <c r="LIG5" s="55"/>
      <c r="LIH5" s="55"/>
      <c r="LII5" s="55"/>
      <c r="LIJ5" s="55"/>
      <c r="LIK5" s="55"/>
      <c r="LIL5" s="55"/>
      <c r="LIM5" s="55"/>
      <c r="LIN5" s="55"/>
      <c r="LIO5" s="55"/>
      <c r="LIP5" s="55"/>
      <c r="LIQ5" s="55"/>
      <c r="LIR5" s="55"/>
      <c r="LIS5" s="55"/>
      <c r="LIT5" s="55"/>
      <c r="LIU5" s="55"/>
      <c r="LIV5" s="55"/>
      <c r="LIW5" s="55"/>
      <c r="LIX5" s="55"/>
      <c r="LIY5" s="55"/>
      <c r="LIZ5" s="55"/>
      <c r="LJA5" s="55"/>
      <c r="LJB5" s="55"/>
      <c r="LJC5" s="55"/>
      <c r="LJD5" s="55"/>
      <c r="LJE5" s="55"/>
      <c r="LJF5" s="55"/>
      <c r="LJG5" s="55"/>
      <c r="LJH5" s="55"/>
      <c r="LJI5" s="55"/>
      <c r="LJJ5" s="55"/>
      <c r="LJK5" s="55"/>
      <c r="LJL5" s="55"/>
      <c r="LJM5" s="55"/>
      <c r="LJN5" s="55"/>
      <c r="LJO5" s="55"/>
      <c r="LJP5" s="55"/>
      <c r="LJQ5" s="55"/>
      <c r="LJR5" s="55"/>
      <c r="LJS5" s="55"/>
      <c r="LJT5" s="55"/>
      <c r="LJU5" s="55"/>
      <c r="LJV5" s="55"/>
      <c r="LJW5" s="55"/>
      <c r="LJX5" s="55"/>
      <c r="LJY5" s="55"/>
      <c r="LJZ5" s="55"/>
      <c r="LKA5" s="55"/>
      <c r="LKB5" s="55"/>
      <c r="LKC5" s="55"/>
      <c r="LKD5" s="55"/>
      <c r="LKE5" s="55"/>
      <c r="LKF5" s="55"/>
      <c r="LKG5" s="55"/>
      <c r="LKH5" s="55"/>
      <c r="LKI5" s="55"/>
      <c r="LKJ5" s="55"/>
      <c r="LKK5" s="55"/>
      <c r="LKL5" s="55"/>
      <c r="LKM5" s="55"/>
      <c r="LKN5" s="55"/>
      <c r="LKO5" s="55"/>
      <c r="LKP5" s="55"/>
      <c r="LKQ5" s="55"/>
      <c r="LKR5" s="55"/>
      <c r="LKS5" s="55"/>
      <c r="LKT5" s="55"/>
      <c r="LKU5" s="55"/>
      <c r="LKV5" s="55"/>
      <c r="LKW5" s="55"/>
      <c r="LKX5" s="55"/>
      <c r="LKY5" s="55"/>
      <c r="LKZ5" s="55"/>
      <c r="LLA5" s="55"/>
      <c r="LLB5" s="55"/>
      <c r="LLC5" s="55"/>
      <c r="LLD5" s="55"/>
      <c r="LLE5" s="55"/>
      <c r="LLF5" s="55"/>
      <c r="LLG5" s="55"/>
      <c r="LLH5" s="55"/>
      <c r="LLI5" s="55"/>
      <c r="LLJ5" s="55"/>
      <c r="LLK5" s="55"/>
      <c r="LLL5" s="55"/>
      <c r="LLM5" s="55"/>
      <c r="LLN5" s="55"/>
      <c r="LLO5" s="55"/>
      <c r="LLP5" s="55"/>
      <c r="LLQ5" s="55"/>
      <c r="LLR5" s="55"/>
      <c r="LLS5" s="55"/>
      <c r="LLT5" s="55"/>
      <c r="LLU5" s="55"/>
      <c r="LLV5" s="55"/>
      <c r="LLW5" s="55"/>
      <c r="LLX5" s="55"/>
      <c r="LLY5" s="55"/>
      <c r="LLZ5" s="55"/>
      <c r="LMA5" s="55"/>
      <c r="LMB5" s="55"/>
      <c r="LMC5" s="55"/>
      <c r="LMD5" s="55"/>
      <c r="LME5" s="55"/>
      <c r="LMF5" s="55"/>
      <c r="LMG5" s="55"/>
      <c r="LMH5" s="55"/>
      <c r="LMI5" s="55"/>
      <c r="LMJ5" s="55"/>
      <c r="LMK5" s="55"/>
      <c r="LML5" s="55"/>
      <c r="LMM5" s="55"/>
      <c r="LMN5" s="55"/>
      <c r="LMO5" s="55"/>
      <c r="LMP5" s="55"/>
      <c r="LMQ5" s="55"/>
      <c r="LMR5" s="55"/>
      <c r="LMS5" s="55"/>
      <c r="LMT5" s="55"/>
      <c r="LMU5" s="55"/>
      <c r="LMV5" s="55"/>
      <c r="LMW5" s="55"/>
      <c r="LMX5" s="55"/>
      <c r="LMY5" s="55"/>
      <c r="LMZ5" s="55"/>
      <c r="LNA5" s="55"/>
      <c r="LNB5" s="55"/>
      <c r="LNC5" s="55"/>
      <c r="LND5" s="55"/>
      <c r="LNE5" s="55"/>
      <c r="LNF5" s="55"/>
      <c r="LNG5" s="55"/>
      <c r="LNH5" s="55"/>
      <c r="LNI5" s="55"/>
      <c r="LNJ5" s="55"/>
      <c r="LNK5" s="55"/>
      <c r="LNL5" s="55"/>
      <c r="LNM5" s="55"/>
      <c r="LNN5" s="55"/>
      <c r="LNO5" s="55"/>
      <c r="LNP5" s="55"/>
      <c r="LNQ5" s="55"/>
      <c r="LNR5" s="55"/>
      <c r="LNS5" s="55"/>
      <c r="LNT5" s="55"/>
      <c r="LNU5" s="55"/>
      <c r="LNV5" s="55"/>
      <c r="LNW5" s="55"/>
      <c r="LNX5" s="55"/>
      <c r="LNY5" s="55"/>
      <c r="LNZ5" s="55"/>
      <c r="LOA5" s="55"/>
      <c r="LOB5" s="55"/>
      <c r="LOC5" s="55"/>
      <c r="LOD5" s="55"/>
      <c r="LOE5" s="55"/>
      <c r="LOF5" s="55"/>
      <c r="LOG5" s="55"/>
      <c r="LOH5" s="55"/>
      <c r="LOI5" s="55"/>
      <c r="LOJ5" s="55"/>
      <c r="LOK5" s="55"/>
      <c r="LOL5" s="55"/>
      <c r="LOM5" s="55"/>
      <c r="LON5" s="55"/>
      <c r="LOO5" s="55"/>
      <c r="LOP5" s="55"/>
      <c r="LOQ5" s="55"/>
      <c r="LOR5" s="55"/>
      <c r="LOS5" s="55"/>
      <c r="LOT5" s="55"/>
      <c r="LOU5" s="55"/>
      <c r="LOV5" s="55"/>
      <c r="LOW5" s="55"/>
      <c r="LOX5" s="55"/>
      <c r="LOY5" s="55"/>
      <c r="LOZ5" s="55"/>
      <c r="LPA5" s="55"/>
      <c r="LPB5" s="55"/>
      <c r="LPC5" s="55"/>
      <c r="LPD5" s="55"/>
      <c r="LPE5" s="55"/>
      <c r="LPF5" s="55"/>
      <c r="LPG5" s="55"/>
      <c r="LPH5" s="55"/>
      <c r="LPI5" s="55"/>
      <c r="LPJ5" s="55"/>
      <c r="LPK5" s="55"/>
      <c r="LPL5" s="55"/>
      <c r="LPM5" s="55"/>
      <c r="LPN5" s="55"/>
      <c r="LPO5" s="55"/>
      <c r="LPP5" s="55"/>
      <c r="LPQ5" s="55"/>
      <c r="LPR5" s="55"/>
      <c r="LPS5" s="55"/>
      <c r="LPT5" s="55"/>
      <c r="LPU5" s="55"/>
      <c r="LPV5" s="55"/>
      <c r="LPW5" s="55"/>
      <c r="LPX5" s="55"/>
      <c r="LPY5" s="55"/>
      <c r="LPZ5" s="55"/>
      <c r="LQA5" s="55"/>
      <c r="LQB5" s="55"/>
      <c r="LQC5" s="55"/>
      <c r="LQD5" s="55"/>
      <c r="LQE5" s="55"/>
      <c r="LQF5" s="55"/>
      <c r="LQG5" s="55"/>
      <c r="LQH5" s="55"/>
      <c r="LQI5" s="55"/>
      <c r="LQJ5" s="55"/>
      <c r="LQK5" s="55"/>
      <c r="LQL5" s="55"/>
      <c r="LQM5" s="55"/>
      <c r="LQN5" s="55"/>
      <c r="LQO5" s="55"/>
      <c r="LQP5" s="55"/>
      <c r="LQQ5" s="55"/>
      <c r="LQR5" s="55"/>
      <c r="LQS5" s="55"/>
      <c r="LQT5" s="55"/>
      <c r="LQU5" s="55"/>
      <c r="LQV5" s="55"/>
      <c r="LQW5" s="55"/>
      <c r="LQX5" s="55"/>
      <c r="LQY5" s="55"/>
      <c r="LQZ5" s="55"/>
      <c r="LRA5" s="55"/>
      <c r="LRB5" s="55"/>
      <c r="LRC5" s="55"/>
      <c r="LRD5" s="55"/>
      <c r="LRE5" s="55"/>
      <c r="LRF5" s="55"/>
      <c r="LRG5" s="55"/>
      <c r="LRH5" s="55"/>
      <c r="LRI5" s="55"/>
      <c r="LRJ5" s="55"/>
      <c r="LRK5" s="55"/>
      <c r="LRL5" s="55"/>
      <c r="LRM5" s="55"/>
      <c r="LRN5" s="55"/>
      <c r="LRO5" s="55"/>
      <c r="LRP5" s="55"/>
      <c r="LRQ5" s="55"/>
      <c r="LRR5" s="55"/>
      <c r="LRS5" s="55"/>
      <c r="LRT5" s="55"/>
      <c r="LRU5" s="55"/>
      <c r="LRV5" s="55"/>
      <c r="LRW5" s="55"/>
      <c r="LRX5" s="55"/>
      <c r="LRY5" s="55"/>
      <c r="LRZ5" s="55"/>
      <c r="LSA5" s="55"/>
      <c r="LSB5" s="55"/>
      <c r="LSC5" s="55"/>
      <c r="LSD5" s="55"/>
      <c r="LSE5" s="55"/>
      <c r="LSF5" s="55"/>
      <c r="LSG5" s="55"/>
      <c r="LSH5" s="55"/>
      <c r="LSI5" s="55"/>
      <c r="LSJ5" s="55"/>
      <c r="LSK5" s="55"/>
      <c r="LSL5" s="55"/>
      <c r="LSM5" s="55"/>
      <c r="LSN5" s="55"/>
      <c r="LSO5" s="55"/>
      <c r="LSP5" s="55"/>
      <c r="LSQ5" s="55"/>
      <c r="LSR5" s="55"/>
      <c r="LSS5" s="55"/>
      <c r="LST5" s="55"/>
      <c r="LSU5" s="55"/>
      <c r="LSV5" s="55"/>
      <c r="LSW5" s="55"/>
      <c r="LSX5" s="55"/>
      <c r="LSY5" s="55"/>
      <c r="LSZ5" s="55"/>
      <c r="LTA5" s="55"/>
      <c r="LTB5" s="55"/>
      <c r="LTC5" s="55"/>
      <c r="LTD5" s="55"/>
      <c r="LTE5" s="55"/>
      <c r="LTF5" s="55"/>
      <c r="LTG5" s="55"/>
      <c r="LTH5" s="55"/>
      <c r="LTI5" s="55"/>
      <c r="LTJ5" s="55"/>
      <c r="LTK5" s="55"/>
      <c r="LTL5" s="55"/>
      <c r="LTM5" s="55"/>
      <c r="LTN5" s="55"/>
      <c r="LTO5" s="55"/>
      <c r="LTP5" s="55"/>
      <c r="LTQ5" s="55"/>
      <c r="LTR5" s="55"/>
      <c r="LTS5" s="55"/>
      <c r="LTT5" s="55"/>
      <c r="LTU5" s="55"/>
      <c r="LTV5" s="55"/>
      <c r="LTW5" s="55"/>
      <c r="LTX5" s="55"/>
      <c r="LTY5" s="55"/>
      <c r="LTZ5" s="55"/>
      <c r="LUA5" s="55"/>
      <c r="LUB5" s="55"/>
      <c r="LUC5" s="55"/>
      <c r="LUD5" s="55"/>
      <c r="LUE5" s="55"/>
      <c r="LUF5" s="55"/>
      <c r="LUG5" s="55"/>
      <c r="LUH5" s="55"/>
      <c r="LUI5" s="55"/>
      <c r="LUJ5" s="55"/>
      <c r="LUK5" s="55"/>
      <c r="LUL5" s="55"/>
      <c r="LUM5" s="55"/>
      <c r="LUN5" s="55"/>
      <c r="LUO5" s="55"/>
      <c r="LUP5" s="55"/>
      <c r="LUQ5" s="55"/>
      <c r="LUR5" s="55"/>
      <c r="LUS5" s="55"/>
      <c r="LUT5" s="55"/>
      <c r="LUU5" s="55"/>
      <c r="LUV5" s="55"/>
      <c r="LUW5" s="55"/>
      <c r="LUX5" s="55"/>
      <c r="LUY5" s="55"/>
      <c r="LUZ5" s="55"/>
      <c r="LVA5" s="55"/>
      <c r="LVB5" s="55"/>
      <c r="LVC5" s="55"/>
      <c r="LVD5" s="55"/>
      <c r="LVE5" s="55"/>
      <c r="LVF5" s="55"/>
      <c r="LVG5" s="55"/>
      <c r="LVH5" s="55"/>
      <c r="LVI5" s="55"/>
      <c r="LVJ5" s="55"/>
      <c r="LVK5" s="55"/>
      <c r="LVL5" s="55"/>
      <c r="LVM5" s="55"/>
      <c r="LVN5" s="55"/>
      <c r="LVO5" s="55"/>
      <c r="LVP5" s="55"/>
      <c r="LVQ5" s="55"/>
      <c r="LVR5" s="55"/>
      <c r="LVS5" s="55"/>
      <c r="LVT5" s="55"/>
      <c r="LVU5" s="55"/>
      <c r="LVV5" s="55"/>
      <c r="LVW5" s="55"/>
      <c r="LVX5" s="55"/>
      <c r="LVY5" s="55"/>
      <c r="LVZ5" s="55"/>
      <c r="LWA5" s="55"/>
      <c r="LWB5" s="55"/>
      <c r="LWC5" s="55"/>
      <c r="LWD5" s="55"/>
      <c r="LWE5" s="55"/>
      <c r="LWF5" s="55"/>
      <c r="LWG5" s="55"/>
      <c r="LWH5" s="55"/>
      <c r="LWI5" s="55"/>
      <c r="LWJ5" s="55"/>
      <c r="LWK5" s="55"/>
      <c r="LWL5" s="55"/>
      <c r="LWM5" s="55"/>
      <c r="LWN5" s="55"/>
      <c r="LWO5" s="55"/>
      <c r="LWP5" s="55"/>
      <c r="LWQ5" s="55"/>
      <c r="LWR5" s="55"/>
      <c r="LWS5" s="55"/>
      <c r="LWT5" s="55"/>
      <c r="LWU5" s="55"/>
      <c r="LWV5" s="55"/>
      <c r="LWW5" s="55"/>
      <c r="LWX5" s="55"/>
      <c r="LWY5" s="55"/>
      <c r="LWZ5" s="55"/>
      <c r="LXA5" s="55"/>
      <c r="LXB5" s="55"/>
      <c r="LXC5" s="55"/>
      <c r="LXD5" s="55"/>
      <c r="LXE5" s="55"/>
      <c r="LXF5" s="55"/>
      <c r="LXG5" s="55"/>
      <c r="LXH5" s="55"/>
      <c r="LXI5" s="55"/>
      <c r="LXJ5" s="55"/>
      <c r="LXK5" s="55"/>
      <c r="LXL5" s="55"/>
      <c r="LXM5" s="55"/>
      <c r="LXN5" s="55"/>
      <c r="LXO5" s="55"/>
      <c r="LXP5" s="55"/>
      <c r="LXQ5" s="55"/>
      <c r="LXR5" s="55"/>
      <c r="LXS5" s="55"/>
      <c r="LXT5" s="55"/>
      <c r="LXU5" s="55"/>
      <c r="LXV5" s="55"/>
      <c r="LXW5" s="55"/>
      <c r="LXX5" s="55"/>
      <c r="LXY5" s="55"/>
      <c r="LXZ5" s="55"/>
      <c r="LYA5" s="55"/>
      <c r="LYB5" s="55"/>
      <c r="LYC5" s="55"/>
      <c r="LYD5" s="55"/>
      <c r="LYE5" s="55"/>
      <c r="LYF5" s="55"/>
      <c r="LYG5" s="55"/>
      <c r="LYH5" s="55"/>
      <c r="LYI5" s="55"/>
      <c r="LYJ5" s="55"/>
      <c r="LYK5" s="55"/>
      <c r="LYL5" s="55"/>
      <c r="LYM5" s="55"/>
      <c r="LYN5" s="55"/>
      <c r="LYO5" s="55"/>
      <c r="LYP5" s="55"/>
      <c r="LYQ5" s="55"/>
      <c r="LYR5" s="55"/>
      <c r="LYS5" s="55"/>
      <c r="LYT5" s="55"/>
      <c r="LYU5" s="55"/>
      <c r="LYV5" s="55"/>
      <c r="LYW5" s="55"/>
      <c r="LYX5" s="55"/>
      <c r="LYY5" s="55"/>
      <c r="LYZ5" s="55"/>
      <c r="LZA5" s="55"/>
      <c r="LZB5" s="55"/>
      <c r="LZC5" s="55"/>
      <c r="LZD5" s="55"/>
      <c r="LZE5" s="55"/>
      <c r="LZF5" s="55"/>
      <c r="LZG5" s="55"/>
      <c r="LZH5" s="55"/>
      <c r="LZI5" s="55"/>
      <c r="LZJ5" s="55"/>
      <c r="LZK5" s="55"/>
      <c r="LZL5" s="55"/>
      <c r="LZM5" s="55"/>
      <c r="LZN5" s="55"/>
      <c r="LZO5" s="55"/>
      <c r="LZP5" s="55"/>
      <c r="LZQ5" s="55"/>
      <c r="LZR5" s="55"/>
      <c r="LZS5" s="55"/>
      <c r="LZT5" s="55"/>
      <c r="LZU5" s="55"/>
      <c r="LZV5" s="55"/>
      <c r="LZW5" s="55"/>
      <c r="LZX5" s="55"/>
      <c r="LZY5" s="55"/>
      <c r="LZZ5" s="55"/>
      <c r="MAA5" s="55"/>
      <c r="MAB5" s="55"/>
      <c r="MAC5" s="55"/>
      <c r="MAD5" s="55"/>
      <c r="MAE5" s="55"/>
      <c r="MAF5" s="55"/>
      <c r="MAG5" s="55"/>
      <c r="MAH5" s="55"/>
      <c r="MAI5" s="55"/>
      <c r="MAJ5" s="55"/>
      <c r="MAK5" s="55"/>
      <c r="MAL5" s="55"/>
      <c r="MAM5" s="55"/>
      <c r="MAN5" s="55"/>
      <c r="MAO5" s="55"/>
      <c r="MAP5" s="55"/>
      <c r="MAQ5" s="55"/>
      <c r="MAR5" s="55"/>
      <c r="MAS5" s="55"/>
      <c r="MAT5" s="55"/>
      <c r="MAU5" s="55"/>
      <c r="MAV5" s="55"/>
      <c r="MAW5" s="55"/>
      <c r="MAX5" s="55"/>
      <c r="MAY5" s="55"/>
      <c r="MAZ5" s="55"/>
      <c r="MBA5" s="55"/>
      <c r="MBB5" s="55"/>
      <c r="MBC5" s="55"/>
      <c r="MBD5" s="55"/>
      <c r="MBE5" s="55"/>
      <c r="MBF5" s="55"/>
      <c r="MBG5" s="55"/>
      <c r="MBH5" s="55"/>
      <c r="MBI5" s="55"/>
      <c r="MBJ5" s="55"/>
      <c r="MBK5" s="55"/>
      <c r="MBL5" s="55"/>
      <c r="MBM5" s="55"/>
      <c r="MBN5" s="55"/>
      <c r="MBO5" s="55"/>
      <c r="MBP5" s="55"/>
      <c r="MBQ5" s="55"/>
      <c r="MBR5" s="55"/>
      <c r="MBS5" s="55"/>
      <c r="MBT5" s="55"/>
      <c r="MBU5" s="55"/>
      <c r="MBV5" s="55"/>
      <c r="MBW5" s="55"/>
      <c r="MBX5" s="55"/>
      <c r="MBY5" s="55"/>
      <c r="MBZ5" s="55"/>
      <c r="MCA5" s="55"/>
      <c r="MCB5" s="55"/>
      <c r="MCC5" s="55"/>
      <c r="MCD5" s="55"/>
      <c r="MCE5" s="55"/>
      <c r="MCF5" s="55"/>
      <c r="MCG5" s="55"/>
      <c r="MCH5" s="55"/>
      <c r="MCI5" s="55"/>
      <c r="MCJ5" s="55"/>
      <c r="MCK5" s="55"/>
      <c r="MCL5" s="55"/>
      <c r="MCM5" s="55"/>
      <c r="MCN5" s="55"/>
      <c r="MCO5" s="55"/>
      <c r="MCP5" s="55"/>
      <c r="MCQ5" s="55"/>
      <c r="MCR5" s="55"/>
      <c r="MCS5" s="55"/>
      <c r="MCT5" s="55"/>
      <c r="MCU5" s="55"/>
      <c r="MCV5" s="55"/>
      <c r="MCW5" s="55"/>
      <c r="MCX5" s="55"/>
      <c r="MCY5" s="55"/>
      <c r="MCZ5" s="55"/>
      <c r="MDA5" s="55"/>
      <c r="MDB5" s="55"/>
      <c r="MDC5" s="55"/>
      <c r="MDD5" s="55"/>
      <c r="MDE5" s="55"/>
      <c r="MDF5" s="55"/>
      <c r="MDG5" s="55"/>
      <c r="MDH5" s="55"/>
      <c r="MDI5" s="55"/>
      <c r="MDJ5" s="55"/>
      <c r="MDK5" s="55"/>
      <c r="MDL5" s="55"/>
      <c r="MDM5" s="55"/>
      <c r="MDN5" s="55"/>
      <c r="MDO5" s="55"/>
      <c r="MDP5" s="55"/>
      <c r="MDQ5" s="55"/>
      <c r="MDR5" s="55"/>
      <c r="MDS5" s="55"/>
      <c r="MDT5" s="55"/>
      <c r="MDU5" s="55"/>
      <c r="MDV5" s="55"/>
      <c r="MDW5" s="55"/>
      <c r="MDX5" s="55"/>
      <c r="MDY5" s="55"/>
      <c r="MDZ5" s="55"/>
      <c r="MEA5" s="55"/>
      <c r="MEB5" s="55"/>
      <c r="MEC5" s="55"/>
      <c r="MED5" s="55"/>
      <c r="MEE5" s="55"/>
      <c r="MEF5" s="55"/>
      <c r="MEG5" s="55"/>
      <c r="MEH5" s="55"/>
      <c r="MEI5" s="55"/>
      <c r="MEJ5" s="55"/>
      <c r="MEK5" s="55"/>
      <c r="MEL5" s="55"/>
      <c r="MEM5" s="55"/>
      <c r="MEN5" s="55"/>
      <c r="MEO5" s="55"/>
      <c r="MEP5" s="55"/>
      <c r="MEQ5" s="55"/>
      <c r="MER5" s="55"/>
      <c r="MES5" s="55"/>
      <c r="MET5" s="55"/>
      <c r="MEU5" s="55"/>
      <c r="MEV5" s="55"/>
      <c r="MEW5" s="55"/>
      <c r="MEX5" s="55"/>
      <c r="MEY5" s="55"/>
      <c r="MEZ5" s="55"/>
      <c r="MFA5" s="55"/>
      <c r="MFB5" s="55"/>
      <c r="MFC5" s="55"/>
      <c r="MFD5" s="55"/>
      <c r="MFE5" s="55"/>
      <c r="MFF5" s="55"/>
      <c r="MFG5" s="55"/>
      <c r="MFH5" s="55"/>
      <c r="MFI5" s="55"/>
      <c r="MFJ5" s="55"/>
      <c r="MFK5" s="55"/>
      <c r="MFL5" s="55"/>
      <c r="MFM5" s="55"/>
      <c r="MFN5" s="55"/>
      <c r="MFO5" s="55"/>
      <c r="MFP5" s="55"/>
      <c r="MFQ5" s="55"/>
      <c r="MFR5" s="55"/>
      <c r="MFS5" s="55"/>
      <c r="MFT5" s="55"/>
      <c r="MFU5" s="55"/>
      <c r="MFV5" s="55"/>
      <c r="MFW5" s="55"/>
      <c r="MFX5" s="55"/>
      <c r="MFY5" s="55"/>
      <c r="MFZ5" s="55"/>
      <c r="MGA5" s="55"/>
      <c r="MGB5" s="55"/>
      <c r="MGC5" s="55"/>
      <c r="MGD5" s="55"/>
      <c r="MGE5" s="55"/>
      <c r="MGF5" s="55"/>
      <c r="MGG5" s="55"/>
      <c r="MGH5" s="55"/>
      <c r="MGI5" s="55"/>
      <c r="MGJ5" s="55"/>
      <c r="MGK5" s="55"/>
      <c r="MGL5" s="55"/>
      <c r="MGM5" s="55"/>
      <c r="MGN5" s="55"/>
      <c r="MGO5" s="55"/>
      <c r="MGP5" s="55"/>
      <c r="MGQ5" s="55"/>
      <c r="MGR5" s="55"/>
      <c r="MGS5" s="55"/>
      <c r="MGT5" s="55"/>
      <c r="MGU5" s="55"/>
      <c r="MGV5" s="55"/>
      <c r="MGW5" s="55"/>
      <c r="MGX5" s="55"/>
      <c r="MGY5" s="55"/>
      <c r="MGZ5" s="55"/>
      <c r="MHA5" s="55"/>
      <c r="MHB5" s="55"/>
      <c r="MHC5" s="55"/>
      <c r="MHD5" s="55"/>
      <c r="MHE5" s="55"/>
      <c r="MHF5" s="55"/>
      <c r="MHG5" s="55"/>
      <c r="MHH5" s="55"/>
      <c r="MHI5" s="55"/>
      <c r="MHJ5" s="55"/>
      <c r="MHK5" s="55"/>
      <c r="MHL5" s="55"/>
      <c r="MHM5" s="55"/>
      <c r="MHN5" s="55"/>
      <c r="MHO5" s="55"/>
      <c r="MHP5" s="55"/>
      <c r="MHQ5" s="55"/>
      <c r="MHR5" s="55"/>
      <c r="MHS5" s="55"/>
      <c r="MHT5" s="55"/>
      <c r="MHU5" s="55"/>
      <c r="MHV5" s="55"/>
      <c r="MHW5" s="55"/>
      <c r="MHX5" s="55"/>
      <c r="MHY5" s="55"/>
      <c r="MHZ5" s="55"/>
      <c r="MIA5" s="55"/>
      <c r="MIB5" s="55"/>
      <c r="MIC5" s="55"/>
      <c r="MID5" s="55"/>
      <c r="MIE5" s="55"/>
      <c r="MIF5" s="55"/>
      <c r="MIG5" s="55"/>
      <c r="MIH5" s="55"/>
      <c r="MII5" s="55"/>
      <c r="MIJ5" s="55"/>
      <c r="MIK5" s="55"/>
      <c r="MIL5" s="55"/>
      <c r="MIM5" s="55"/>
      <c r="MIN5" s="55"/>
      <c r="MIO5" s="55"/>
      <c r="MIP5" s="55"/>
      <c r="MIQ5" s="55"/>
      <c r="MIR5" s="55"/>
      <c r="MIS5" s="55"/>
      <c r="MIT5" s="55"/>
      <c r="MIU5" s="55"/>
      <c r="MIV5" s="55"/>
      <c r="MIW5" s="55"/>
      <c r="MIX5" s="55"/>
      <c r="MIY5" s="55"/>
      <c r="MIZ5" s="55"/>
      <c r="MJA5" s="55"/>
      <c r="MJB5" s="55"/>
      <c r="MJC5" s="55"/>
      <c r="MJD5" s="55"/>
      <c r="MJE5" s="55"/>
      <c r="MJF5" s="55"/>
      <c r="MJG5" s="55"/>
      <c r="MJH5" s="55"/>
      <c r="MJI5" s="55"/>
      <c r="MJJ5" s="55"/>
      <c r="MJK5" s="55"/>
      <c r="MJL5" s="55"/>
      <c r="MJM5" s="55"/>
      <c r="MJN5" s="55"/>
      <c r="MJO5" s="55"/>
      <c r="MJP5" s="55"/>
      <c r="MJQ5" s="55"/>
      <c r="MJR5" s="55"/>
      <c r="MJS5" s="55"/>
      <c r="MJT5" s="55"/>
      <c r="MJU5" s="55"/>
      <c r="MJV5" s="55"/>
      <c r="MJW5" s="55"/>
      <c r="MJX5" s="55"/>
      <c r="MJY5" s="55"/>
      <c r="MJZ5" s="55"/>
      <c r="MKA5" s="55"/>
      <c r="MKB5" s="55"/>
      <c r="MKC5" s="55"/>
      <c r="MKD5" s="55"/>
      <c r="MKE5" s="55"/>
      <c r="MKF5" s="55"/>
      <c r="MKG5" s="55"/>
      <c r="MKH5" s="55"/>
      <c r="MKI5" s="55"/>
      <c r="MKJ5" s="55"/>
      <c r="MKK5" s="55"/>
      <c r="MKL5" s="55"/>
      <c r="MKM5" s="55"/>
      <c r="MKN5" s="55"/>
      <c r="MKO5" s="55"/>
      <c r="MKP5" s="55"/>
      <c r="MKQ5" s="55"/>
      <c r="MKR5" s="55"/>
      <c r="MKS5" s="55"/>
      <c r="MKT5" s="55"/>
      <c r="MKU5" s="55"/>
      <c r="MKV5" s="55"/>
      <c r="MKW5" s="55"/>
      <c r="MKX5" s="55"/>
      <c r="MKY5" s="55"/>
      <c r="MKZ5" s="55"/>
      <c r="MLA5" s="55"/>
      <c r="MLB5" s="55"/>
      <c r="MLC5" s="55"/>
      <c r="MLD5" s="55"/>
      <c r="MLE5" s="55"/>
      <c r="MLF5" s="55"/>
      <c r="MLG5" s="55"/>
      <c r="MLH5" s="55"/>
      <c r="MLI5" s="55"/>
      <c r="MLJ5" s="55"/>
      <c r="MLK5" s="55"/>
      <c r="MLL5" s="55"/>
      <c r="MLM5" s="55"/>
      <c r="MLN5" s="55"/>
      <c r="MLO5" s="55"/>
      <c r="MLP5" s="55"/>
      <c r="MLQ5" s="55"/>
      <c r="MLR5" s="55"/>
      <c r="MLS5" s="55"/>
      <c r="MLT5" s="55"/>
      <c r="MLU5" s="55"/>
      <c r="MLV5" s="55"/>
      <c r="MLW5" s="55"/>
      <c r="MLX5" s="55"/>
      <c r="MLY5" s="55"/>
      <c r="MLZ5" s="55"/>
      <c r="MMA5" s="55"/>
      <c r="MMB5" s="55"/>
      <c r="MMC5" s="55"/>
      <c r="MMD5" s="55"/>
      <c r="MME5" s="55"/>
      <c r="MMF5" s="55"/>
      <c r="MMG5" s="55"/>
      <c r="MMH5" s="55"/>
      <c r="MMI5" s="55"/>
      <c r="MMJ5" s="55"/>
      <c r="MMK5" s="55"/>
      <c r="MML5" s="55"/>
      <c r="MMM5" s="55"/>
      <c r="MMN5" s="55"/>
      <c r="MMO5" s="55"/>
      <c r="MMP5" s="55"/>
      <c r="MMQ5" s="55"/>
      <c r="MMR5" s="55"/>
      <c r="MMS5" s="55"/>
      <c r="MMT5" s="55"/>
      <c r="MMU5" s="55"/>
      <c r="MMV5" s="55"/>
      <c r="MMW5" s="55"/>
      <c r="MMX5" s="55"/>
      <c r="MMY5" s="55"/>
      <c r="MMZ5" s="55"/>
      <c r="MNA5" s="55"/>
      <c r="MNB5" s="55"/>
      <c r="MNC5" s="55"/>
      <c r="MND5" s="55"/>
      <c r="MNE5" s="55"/>
      <c r="MNF5" s="55"/>
      <c r="MNG5" s="55"/>
      <c r="MNH5" s="55"/>
      <c r="MNI5" s="55"/>
      <c r="MNJ5" s="55"/>
      <c r="MNK5" s="55"/>
      <c r="MNL5" s="55"/>
      <c r="MNM5" s="55"/>
      <c r="MNN5" s="55"/>
      <c r="MNO5" s="55"/>
      <c r="MNP5" s="55"/>
      <c r="MNQ5" s="55"/>
      <c r="MNR5" s="55"/>
      <c r="MNS5" s="55"/>
      <c r="MNT5" s="55"/>
      <c r="MNU5" s="55"/>
      <c r="MNV5" s="55"/>
      <c r="MNW5" s="55"/>
      <c r="MNX5" s="55"/>
      <c r="MNY5" s="55"/>
      <c r="MNZ5" s="55"/>
      <c r="MOA5" s="55"/>
      <c r="MOB5" s="55"/>
      <c r="MOC5" s="55"/>
      <c r="MOD5" s="55"/>
      <c r="MOE5" s="55"/>
      <c r="MOF5" s="55"/>
      <c r="MOG5" s="55"/>
      <c r="MOH5" s="55"/>
      <c r="MOI5" s="55"/>
      <c r="MOJ5" s="55"/>
      <c r="MOK5" s="55"/>
      <c r="MOL5" s="55"/>
      <c r="MOM5" s="55"/>
      <c r="MON5" s="55"/>
      <c r="MOO5" s="55"/>
      <c r="MOP5" s="55"/>
      <c r="MOQ5" s="55"/>
      <c r="MOR5" s="55"/>
      <c r="MOS5" s="55"/>
      <c r="MOT5" s="55"/>
      <c r="MOU5" s="55"/>
      <c r="MOV5" s="55"/>
      <c r="MOW5" s="55"/>
      <c r="MOX5" s="55"/>
      <c r="MOY5" s="55"/>
      <c r="MOZ5" s="55"/>
      <c r="MPA5" s="55"/>
      <c r="MPB5" s="55"/>
      <c r="MPC5" s="55"/>
      <c r="MPD5" s="55"/>
      <c r="MPE5" s="55"/>
      <c r="MPF5" s="55"/>
      <c r="MPG5" s="55"/>
      <c r="MPH5" s="55"/>
      <c r="MPI5" s="55"/>
      <c r="MPJ5" s="55"/>
      <c r="MPK5" s="55"/>
      <c r="MPL5" s="55"/>
      <c r="MPM5" s="55"/>
      <c r="MPN5" s="55"/>
      <c r="MPO5" s="55"/>
      <c r="MPP5" s="55"/>
      <c r="MPQ5" s="55"/>
      <c r="MPR5" s="55"/>
      <c r="MPS5" s="55"/>
      <c r="MPT5" s="55"/>
      <c r="MPU5" s="55"/>
      <c r="MPV5" s="55"/>
      <c r="MPW5" s="55"/>
      <c r="MPX5" s="55"/>
      <c r="MPY5" s="55"/>
      <c r="MPZ5" s="55"/>
      <c r="MQA5" s="55"/>
      <c r="MQB5" s="55"/>
      <c r="MQC5" s="55"/>
      <c r="MQD5" s="55"/>
      <c r="MQE5" s="55"/>
      <c r="MQF5" s="55"/>
      <c r="MQG5" s="55"/>
      <c r="MQH5" s="55"/>
      <c r="MQI5" s="55"/>
      <c r="MQJ5" s="55"/>
      <c r="MQK5" s="55"/>
      <c r="MQL5" s="55"/>
      <c r="MQM5" s="55"/>
      <c r="MQN5" s="55"/>
      <c r="MQO5" s="55"/>
      <c r="MQP5" s="55"/>
      <c r="MQQ5" s="55"/>
      <c r="MQR5" s="55"/>
      <c r="MQS5" s="55"/>
      <c r="MQT5" s="55"/>
      <c r="MQU5" s="55"/>
      <c r="MQV5" s="55"/>
      <c r="MQW5" s="55"/>
      <c r="MQX5" s="55"/>
      <c r="MQY5" s="55"/>
      <c r="MQZ5" s="55"/>
      <c r="MRA5" s="55"/>
      <c r="MRB5" s="55"/>
      <c r="MRC5" s="55"/>
      <c r="MRD5" s="55"/>
      <c r="MRE5" s="55"/>
      <c r="MRF5" s="55"/>
      <c r="MRG5" s="55"/>
      <c r="MRH5" s="55"/>
      <c r="MRI5" s="55"/>
      <c r="MRJ5" s="55"/>
      <c r="MRK5" s="55"/>
      <c r="MRL5" s="55"/>
      <c r="MRM5" s="55"/>
      <c r="MRN5" s="55"/>
      <c r="MRO5" s="55"/>
      <c r="MRP5" s="55"/>
      <c r="MRQ5" s="55"/>
      <c r="MRR5" s="55"/>
      <c r="MRS5" s="55"/>
      <c r="MRT5" s="55"/>
      <c r="MRU5" s="55"/>
      <c r="MRV5" s="55"/>
      <c r="MRW5" s="55"/>
      <c r="MRX5" s="55"/>
      <c r="MRY5" s="55"/>
      <c r="MRZ5" s="55"/>
      <c r="MSA5" s="55"/>
      <c r="MSB5" s="55"/>
      <c r="MSC5" s="55"/>
      <c r="MSD5" s="55"/>
      <c r="MSE5" s="55"/>
      <c r="MSF5" s="55"/>
      <c r="MSG5" s="55"/>
      <c r="MSH5" s="55"/>
      <c r="MSI5" s="55"/>
      <c r="MSJ5" s="55"/>
      <c r="MSK5" s="55"/>
      <c r="MSL5" s="55"/>
      <c r="MSM5" s="55"/>
      <c r="MSN5" s="55"/>
      <c r="MSO5" s="55"/>
      <c r="MSP5" s="55"/>
      <c r="MSQ5" s="55"/>
      <c r="MSR5" s="55"/>
      <c r="MSS5" s="55"/>
      <c r="MST5" s="55"/>
      <c r="MSU5" s="55"/>
      <c r="MSV5" s="55"/>
      <c r="MSW5" s="55"/>
      <c r="MSX5" s="55"/>
      <c r="MSY5" s="55"/>
      <c r="MSZ5" s="55"/>
      <c r="MTA5" s="55"/>
      <c r="MTB5" s="55"/>
      <c r="MTC5" s="55"/>
      <c r="MTD5" s="55"/>
      <c r="MTE5" s="55"/>
      <c r="MTF5" s="55"/>
      <c r="MTG5" s="55"/>
      <c r="MTH5" s="55"/>
      <c r="MTI5" s="55"/>
      <c r="MTJ5" s="55"/>
      <c r="MTK5" s="55"/>
      <c r="MTL5" s="55"/>
      <c r="MTM5" s="55"/>
      <c r="MTN5" s="55"/>
      <c r="MTO5" s="55"/>
      <c r="MTP5" s="55"/>
      <c r="MTQ5" s="55"/>
      <c r="MTR5" s="55"/>
      <c r="MTS5" s="55"/>
      <c r="MTT5" s="55"/>
      <c r="MTU5" s="55"/>
      <c r="MTV5" s="55"/>
      <c r="MTW5" s="55"/>
      <c r="MTX5" s="55"/>
      <c r="MTY5" s="55"/>
      <c r="MTZ5" s="55"/>
      <c r="MUA5" s="55"/>
      <c r="MUB5" s="55"/>
      <c r="MUC5" s="55"/>
      <c r="MUD5" s="55"/>
      <c r="MUE5" s="55"/>
      <c r="MUF5" s="55"/>
      <c r="MUG5" s="55"/>
      <c r="MUH5" s="55"/>
      <c r="MUI5" s="55"/>
      <c r="MUJ5" s="55"/>
      <c r="MUK5" s="55"/>
      <c r="MUL5" s="55"/>
      <c r="MUM5" s="55"/>
      <c r="MUN5" s="55"/>
      <c r="MUO5" s="55"/>
      <c r="MUP5" s="55"/>
      <c r="MUQ5" s="55"/>
      <c r="MUR5" s="55"/>
      <c r="MUS5" s="55"/>
      <c r="MUT5" s="55"/>
      <c r="MUU5" s="55"/>
      <c r="MUV5" s="55"/>
      <c r="MUW5" s="55"/>
      <c r="MUX5" s="55"/>
      <c r="MUY5" s="55"/>
      <c r="MUZ5" s="55"/>
      <c r="MVA5" s="55"/>
      <c r="MVB5" s="55"/>
      <c r="MVC5" s="55"/>
      <c r="MVD5" s="55"/>
      <c r="MVE5" s="55"/>
      <c r="MVF5" s="55"/>
      <c r="MVG5" s="55"/>
      <c r="MVH5" s="55"/>
      <c r="MVI5" s="55"/>
      <c r="MVJ5" s="55"/>
      <c r="MVK5" s="55"/>
      <c r="MVL5" s="55"/>
      <c r="MVM5" s="55"/>
      <c r="MVN5" s="55"/>
      <c r="MVO5" s="55"/>
      <c r="MVP5" s="55"/>
      <c r="MVQ5" s="55"/>
      <c r="MVR5" s="55"/>
      <c r="MVS5" s="55"/>
      <c r="MVT5" s="55"/>
      <c r="MVU5" s="55"/>
      <c r="MVV5" s="55"/>
      <c r="MVW5" s="55"/>
      <c r="MVX5" s="55"/>
      <c r="MVY5" s="55"/>
      <c r="MVZ5" s="55"/>
      <c r="MWA5" s="55"/>
      <c r="MWB5" s="55"/>
      <c r="MWC5" s="55"/>
      <c r="MWD5" s="55"/>
      <c r="MWE5" s="55"/>
      <c r="MWF5" s="55"/>
      <c r="MWG5" s="55"/>
      <c r="MWH5" s="55"/>
      <c r="MWI5" s="55"/>
      <c r="MWJ5" s="55"/>
      <c r="MWK5" s="55"/>
      <c r="MWL5" s="55"/>
      <c r="MWM5" s="55"/>
      <c r="MWN5" s="55"/>
      <c r="MWO5" s="55"/>
      <c r="MWP5" s="55"/>
      <c r="MWQ5" s="55"/>
      <c r="MWR5" s="55"/>
      <c r="MWS5" s="55"/>
      <c r="MWT5" s="55"/>
      <c r="MWU5" s="55"/>
      <c r="MWV5" s="55"/>
      <c r="MWW5" s="55"/>
      <c r="MWX5" s="55"/>
      <c r="MWY5" s="55"/>
      <c r="MWZ5" s="55"/>
      <c r="MXA5" s="55"/>
      <c r="MXB5" s="55"/>
      <c r="MXC5" s="55"/>
      <c r="MXD5" s="55"/>
      <c r="MXE5" s="55"/>
      <c r="MXF5" s="55"/>
      <c r="MXG5" s="55"/>
      <c r="MXH5" s="55"/>
      <c r="MXI5" s="55"/>
      <c r="MXJ5" s="55"/>
      <c r="MXK5" s="55"/>
      <c r="MXL5" s="55"/>
      <c r="MXM5" s="55"/>
      <c r="MXN5" s="55"/>
      <c r="MXO5" s="55"/>
      <c r="MXP5" s="55"/>
      <c r="MXQ5" s="55"/>
      <c r="MXR5" s="55"/>
      <c r="MXS5" s="55"/>
      <c r="MXT5" s="55"/>
      <c r="MXU5" s="55"/>
      <c r="MXV5" s="55"/>
      <c r="MXW5" s="55"/>
      <c r="MXX5" s="55"/>
      <c r="MXY5" s="55"/>
      <c r="MXZ5" s="55"/>
      <c r="MYA5" s="55"/>
      <c r="MYB5" s="55"/>
      <c r="MYC5" s="55"/>
      <c r="MYD5" s="55"/>
      <c r="MYE5" s="55"/>
      <c r="MYF5" s="55"/>
      <c r="MYG5" s="55"/>
      <c r="MYH5" s="55"/>
      <c r="MYI5" s="55"/>
      <c r="MYJ5" s="55"/>
      <c r="MYK5" s="55"/>
      <c r="MYL5" s="55"/>
      <c r="MYM5" s="55"/>
      <c r="MYN5" s="55"/>
      <c r="MYO5" s="55"/>
      <c r="MYP5" s="55"/>
      <c r="MYQ5" s="55"/>
      <c r="MYR5" s="55"/>
      <c r="MYS5" s="55"/>
      <c r="MYT5" s="55"/>
      <c r="MYU5" s="55"/>
      <c r="MYV5" s="55"/>
      <c r="MYW5" s="55"/>
      <c r="MYX5" s="55"/>
      <c r="MYY5" s="55"/>
      <c r="MYZ5" s="55"/>
      <c r="MZA5" s="55"/>
      <c r="MZB5" s="55"/>
      <c r="MZC5" s="55"/>
      <c r="MZD5" s="55"/>
      <c r="MZE5" s="55"/>
      <c r="MZF5" s="55"/>
      <c r="MZG5" s="55"/>
      <c r="MZH5" s="55"/>
      <c r="MZI5" s="55"/>
      <c r="MZJ5" s="55"/>
      <c r="MZK5" s="55"/>
      <c r="MZL5" s="55"/>
      <c r="MZM5" s="55"/>
      <c r="MZN5" s="55"/>
      <c r="MZO5" s="55"/>
      <c r="MZP5" s="55"/>
      <c r="MZQ5" s="55"/>
      <c r="MZR5" s="55"/>
      <c r="MZS5" s="55"/>
      <c r="MZT5" s="55"/>
      <c r="MZU5" s="55"/>
      <c r="MZV5" s="55"/>
      <c r="MZW5" s="55"/>
      <c r="MZX5" s="55"/>
      <c r="MZY5" s="55"/>
      <c r="MZZ5" s="55"/>
      <c r="NAA5" s="55"/>
      <c r="NAB5" s="55"/>
      <c r="NAC5" s="55"/>
      <c r="NAD5" s="55"/>
      <c r="NAE5" s="55"/>
      <c r="NAF5" s="55"/>
      <c r="NAG5" s="55"/>
      <c r="NAH5" s="55"/>
      <c r="NAI5" s="55"/>
      <c r="NAJ5" s="55"/>
      <c r="NAK5" s="55"/>
      <c r="NAL5" s="55"/>
      <c r="NAM5" s="55"/>
      <c r="NAN5" s="55"/>
      <c r="NAO5" s="55"/>
      <c r="NAP5" s="55"/>
      <c r="NAQ5" s="55"/>
      <c r="NAR5" s="55"/>
      <c r="NAS5" s="55"/>
      <c r="NAT5" s="55"/>
      <c r="NAU5" s="55"/>
      <c r="NAV5" s="55"/>
      <c r="NAW5" s="55"/>
      <c r="NAX5" s="55"/>
      <c r="NAY5" s="55"/>
      <c r="NAZ5" s="55"/>
      <c r="NBA5" s="55"/>
      <c r="NBB5" s="55"/>
      <c r="NBC5" s="55"/>
      <c r="NBD5" s="55"/>
      <c r="NBE5" s="55"/>
      <c r="NBF5" s="55"/>
      <c r="NBG5" s="55"/>
      <c r="NBH5" s="55"/>
      <c r="NBI5" s="55"/>
      <c r="NBJ5" s="55"/>
      <c r="NBK5" s="55"/>
      <c r="NBL5" s="55"/>
      <c r="NBM5" s="55"/>
      <c r="NBN5" s="55"/>
      <c r="NBO5" s="55"/>
      <c r="NBP5" s="55"/>
      <c r="NBQ5" s="55"/>
      <c r="NBR5" s="55"/>
      <c r="NBS5" s="55"/>
      <c r="NBT5" s="55"/>
      <c r="NBU5" s="55"/>
      <c r="NBV5" s="55"/>
      <c r="NBW5" s="55"/>
      <c r="NBX5" s="55"/>
      <c r="NBY5" s="55"/>
      <c r="NBZ5" s="55"/>
      <c r="NCA5" s="55"/>
      <c r="NCB5" s="55"/>
      <c r="NCC5" s="55"/>
      <c r="NCD5" s="55"/>
      <c r="NCE5" s="55"/>
      <c r="NCF5" s="55"/>
      <c r="NCG5" s="55"/>
      <c r="NCH5" s="55"/>
      <c r="NCI5" s="55"/>
      <c r="NCJ5" s="55"/>
      <c r="NCK5" s="55"/>
      <c r="NCL5" s="55"/>
      <c r="NCM5" s="55"/>
      <c r="NCN5" s="55"/>
      <c r="NCO5" s="55"/>
      <c r="NCP5" s="55"/>
      <c r="NCQ5" s="55"/>
      <c r="NCR5" s="55"/>
      <c r="NCS5" s="55"/>
      <c r="NCT5" s="55"/>
      <c r="NCU5" s="55"/>
      <c r="NCV5" s="55"/>
      <c r="NCW5" s="55"/>
      <c r="NCX5" s="55"/>
      <c r="NCY5" s="55"/>
      <c r="NCZ5" s="55"/>
      <c r="NDA5" s="55"/>
      <c r="NDB5" s="55"/>
      <c r="NDC5" s="55"/>
      <c r="NDD5" s="55"/>
      <c r="NDE5" s="55"/>
      <c r="NDF5" s="55"/>
      <c r="NDG5" s="55"/>
      <c r="NDH5" s="55"/>
      <c r="NDI5" s="55"/>
      <c r="NDJ5" s="55"/>
      <c r="NDK5" s="55"/>
      <c r="NDL5" s="55"/>
      <c r="NDM5" s="55"/>
      <c r="NDN5" s="55"/>
      <c r="NDO5" s="55"/>
      <c r="NDP5" s="55"/>
      <c r="NDQ5" s="55"/>
      <c r="NDR5" s="55"/>
      <c r="NDS5" s="55"/>
      <c r="NDT5" s="55"/>
      <c r="NDU5" s="55"/>
      <c r="NDV5" s="55"/>
      <c r="NDW5" s="55"/>
      <c r="NDX5" s="55"/>
      <c r="NDY5" s="55"/>
      <c r="NDZ5" s="55"/>
      <c r="NEA5" s="55"/>
      <c r="NEB5" s="55"/>
      <c r="NEC5" s="55"/>
      <c r="NED5" s="55"/>
      <c r="NEE5" s="55"/>
      <c r="NEF5" s="55"/>
      <c r="NEG5" s="55"/>
      <c r="NEH5" s="55"/>
      <c r="NEI5" s="55"/>
      <c r="NEJ5" s="55"/>
      <c r="NEK5" s="55"/>
      <c r="NEL5" s="55"/>
      <c r="NEM5" s="55"/>
      <c r="NEN5" s="55"/>
      <c r="NEO5" s="55"/>
      <c r="NEP5" s="55"/>
      <c r="NEQ5" s="55"/>
      <c r="NER5" s="55"/>
      <c r="NES5" s="55"/>
      <c r="NET5" s="55"/>
      <c r="NEU5" s="55"/>
      <c r="NEV5" s="55"/>
      <c r="NEW5" s="55"/>
      <c r="NEX5" s="55"/>
      <c r="NEY5" s="55"/>
      <c r="NEZ5" s="55"/>
      <c r="NFA5" s="55"/>
      <c r="NFB5" s="55"/>
      <c r="NFC5" s="55"/>
      <c r="NFD5" s="55"/>
      <c r="NFE5" s="55"/>
      <c r="NFF5" s="55"/>
      <c r="NFG5" s="55"/>
      <c r="NFH5" s="55"/>
      <c r="NFI5" s="55"/>
      <c r="NFJ5" s="55"/>
      <c r="NFK5" s="55"/>
      <c r="NFL5" s="55"/>
      <c r="NFM5" s="55"/>
      <c r="NFN5" s="55"/>
      <c r="NFO5" s="55"/>
      <c r="NFP5" s="55"/>
      <c r="NFQ5" s="55"/>
      <c r="NFR5" s="55"/>
      <c r="NFS5" s="55"/>
      <c r="NFT5" s="55"/>
      <c r="NFU5" s="55"/>
      <c r="NFV5" s="55"/>
      <c r="NFW5" s="55"/>
      <c r="NFX5" s="55"/>
      <c r="NFY5" s="55"/>
      <c r="NFZ5" s="55"/>
      <c r="NGA5" s="55"/>
      <c r="NGB5" s="55"/>
      <c r="NGC5" s="55"/>
      <c r="NGD5" s="55"/>
      <c r="NGE5" s="55"/>
      <c r="NGF5" s="55"/>
      <c r="NGG5" s="55"/>
      <c r="NGH5" s="55"/>
      <c r="NGI5" s="55"/>
      <c r="NGJ5" s="55"/>
      <c r="NGK5" s="55"/>
      <c r="NGL5" s="55"/>
      <c r="NGM5" s="55"/>
      <c r="NGN5" s="55"/>
      <c r="NGO5" s="55"/>
      <c r="NGP5" s="55"/>
      <c r="NGQ5" s="55"/>
      <c r="NGR5" s="55"/>
      <c r="NGS5" s="55"/>
      <c r="NGT5" s="55"/>
      <c r="NGU5" s="55"/>
      <c r="NGV5" s="55"/>
      <c r="NGW5" s="55"/>
      <c r="NGX5" s="55"/>
      <c r="NGY5" s="55"/>
      <c r="NGZ5" s="55"/>
      <c r="NHA5" s="55"/>
      <c r="NHB5" s="55"/>
      <c r="NHC5" s="55"/>
      <c r="NHD5" s="55"/>
      <c r="NHE5" s="55"/>
      <c r="NHF5" s="55"/>
      <c r="NHG5" s="55"/>
      <c r="NHH5" s="55"/>
      <c r="NHI5" s="55"/>
      <c r="NHJ5" s="55"/>
      <c r="NHK5" s="55"/>
      <c r="NHL5" s="55"/>
      <c r="NHM5" s="55"/>
      <c r="NHN5" s="55"/>
      <c r="NHO5" s="55"/>
      <c r="NHP5" s="55"/>
      <c r="NHQ5" s="55"/>
      <c r="NHR5" s="55"/>
      <c r="NHS5" s="55"/>
      <c r="NHT5" s="55"/>
      <c r="NHU5" s="55"/>
      <c r="NHV5" s="55"/>
      <c r="NHW5" s="55"/>
      <c r="NHX5" s="55"/>
      <c r="NHY5" s="55"/>
      <c r="NHZ5" s="55"/>
      <c r="NIA5" s="55"/>
      <c r="NIB5" s="55"/>
      <c r="NIC5" s="55"/>
      <c r="NID5" s="55"/>
      <c r="NIE5" s="55"/>
      <c r="NIF5" s="55"/>
      <c r="NIG5" s="55"/>
      <c r="NIH5" s="55"/>
      <c r="NII5" s="55"/>
      <c r="NIJ5" s="55"/>
      <c r="NIK5" s="55"/>
      <c r="NIL5" s="55"/>
      <c r="NIM5" s="55"/>
      <c r="NIN5" s="55"/>
      <c r="NIO5" s="55"/>
      <c r="NIP5" s="55"/>
      <c r="NIQ5" s="55"/>
      <c r="NIR5" s="55"/>
      <c r="NIS5" s="55"/>
      <c r="NIT5" s="55"/>
      <c r="NIU5" s="55"/>
      <c r="NIV5" s="55"/>
      <c r="NIW5" s="55"/>
      <c r="NIX5" s="55"/>
      <c r="NIY5" s="55"/>
      <c r="NIZ5" s="55"/>
      <c r="NJA5" s="55"/>
      <c r="NJB5" s="55"/>
      <c r="NJC5" s="55"/>
      <c r="NJD5" s="55"/>
      <c r="NJE5" s="55"/>
      <c r="NJF5" s="55"/>
      <c r="NJG5" s="55"/>
      <c r="NJH5" s="55"/>
      <c r="NJI5" s="55"/>
      <c r="NJJ5" s="55"/>
      <c r="NJK5" s="55"/>
      <c r="NJL5" s="55"/>
      <c r="NJM5" s="55"/>
      <c r="NJN5" s="55"/>
      <c r="NJO5" s="55"/>
      <c r="NJP5" s="55"/>
      <c r="NJQ5" s="55"/>
      <c r="NJR5" s="55"/>
      <c r="NJS5" s="55"/>
      <c r="NJT5" s="55"/>
      <c r="NJU5" s="55"/>
      <c r="NJV5" s="55"/>
      <c r="NJW5" s="55"/>
      <c r="NJX5" s="55"/>
      <c r="NJY5" s="55"/>
      <c r="NJZ5" s="55"/>
      <c r="NKA5" s="55"/>
      <c r="NKB5" s="55"/>
      <c r="NKC5" s="55"/>
      <c r="NKD5" s="55"/>
      <c r="NKE5" s="55"/>
      <c r="NKF5" s="55"/>
      <c r="NKG5" s="55"/>
      <c r="NKH5" s="55"/>
      <c r="NKI5" s="55"/>
      <c r="NKJ5" s="55"/>
      <c r="NKK5" s="55"/>
      <c r="NKL5" s="55"/>
      <c r="NKM5" s="55"/>
      <c r="NKN5" s="55"/>
      <c r="NKO5" s="55"/>
      <c r="NKP5" s="55"/>
      <c r="NKQ5" s="55"/>
      <c r="NKR5" s="55"/>
      <c r="NKS5" s="55"/>
      <c r="NKT5" s="55"/>
      <c r="NKU5" s="55"/>
      <c r="NKV5" s="55"/>
      <c r="NKW5" s="55"/>
      <c r="NKX5" s="55"/>
      <c r="NKY5" s="55"/>
      <c r="NKZ5" s="55"/>
      <c r="NLA5" s="55"/>
      <c r="NLB5" s="55"/>
      <c r="NLC5" s="55"/>
      <c r="NLD5" s="55"/>
      <c r="NLE5" s="55"/>
      <c r="NLF5" s="55"/>
      <c r="NLG5" s="55"/>
      <c r="NLH5" s="55"/>
      <c r="NLI5" s="55"/>
      <c r="NLJ5" s="55"/>
      <c r="NLK5" s="55"/>
      <c r="NLL5" s="55"/>
      <c r="NLM5" s="55"/>
      <c r="NLN5" s="55"/>
      <c r="NLO5" s="55"/>
      <c r="NLP5" s="55"/>
      <c r="NLQ5" s="55"/>
      <c r="NLR5" s="55"/>
      <c r="NLS5" s="55"/>
      <c r="NLT5" s="55"/>
      <c r="NLU5" s="55"/>
      <c r="NLV5" s="55"/>
      <c r="NLW5" s="55"/>
      <c r="NLX5" s="55"/>
      <c r="NLY5" s="55"/>
      <c r="NLZ5" s="55"/>
      <c r="NMA5" s="55"/>
      <c r="NMB5" s="55"/>
      <c r="NMC5" s="55"/>
      <c r="NMD5" s="55"/>
      <c r="NME5" s="55"/>
      <c r="NMF5" s="55"/>
      <c r="NMG5" s="55"/>
      <c r="NMH5" s="55"/>
      <c r="NMI5" s="55"/>
      <c r="NMJ5" s="55"/>
      <c r="NMK5" s="55"/>
      <c r="NML5" s="55"/>
      <c r="NMM5" s="55"/>
      <c r="NMN5" s="55"/>
      <c r="NMO5" s="55"/>
      <c r="NMP5" s="55"/>
      <c r="NMQ5" s="55"/>
      <c r="NMR5" s="55"/>
      <c r="NMS5" s="55"/>
      <c r="NMT5" s="55"/>
      <c r="NMU5" s="55"/>
      <c r="NMV5" s="55"/>
      <c r="NMW5" s="55"/>
      <c r="NMX5" s="55"/>
      <c r="NMY5" s="55"/>
      <c r="NMZ5" s="55"/>
      <c r="NNA5" s="55"/>
      <c r="NNB5" s="55"/>
      <c r="NNC5" s="55"/>
      <c r="NND5" s="55"/>
      <c r="NNE5" s="55"/>
      <c r="NNF5" s="55"/>
      <c r="NNG5" s="55"/>
      <c r="NNH5" s="55"/>
      <c r="NNI5" s="55"/>
      <c r="NNJ5" s="55"/>
      <c r="NNK5" s="55"/>
      <c r="NNL5" s="55"/>
      <c r="NNM5" s="55"/>
      <c r="NNN5" s="55"/>
      <c r="NNO5" s="55"/>
      <c r="NNP5" s="55"/>
      <c r="NNQ5" s="55"/>
      <c r="NNR5" s="55"/>
      <c r="NNS5" s="55"/>
      <c r="NNT5" s="55"/>
      <c r="NNU5" s="55"/>
      <c r="NNV5" s="55"/>
      <c r="NNW5" s="55"/>
      <c r="NNX5" s="55"/>
      <c r="NNY5" s="55"/>
      <c r="NNZ5" s="55"/>
      <c r="NOA5" s="55"/>
      <c r="NOB5" s="55"/>
      <c r="NOC5" s="55"/>
      <c r="NOD5" s="55"/>
      <c r="NOE5" s="55"/>
      <c r="NOF5" s="55"/>
      <c r="NOG5" s="55"/>
      <c r="NOH5" s="55"/>
      <c r="NOI5" s="55"/>
      <c r="NOJ5" s="55"/>
      <c r="NOK5" s="55"/>
      <c r="NOL5" s="55"/>
      <c r="NOM5" s="55"/>
      <c r="NON5" s="55"/>
      <c r="NOO5" s="55"/>
      <c r="NOP5" s="55"/>
      <c r="NOQ5" s="55"/>
      <c r="NOR5" s="55"/>
      <c r="NOS5" s="55"/>
      <c r="NOT5" s="55"/>
      <c r="NOU5" s="55"/>
      <c r="NOV5" s="55"/>
      <c r="NOW5" s="55"/>
      <c r="NOX5" s="55"/>
      <c r="NOY5" s="55"/>
      <c r="NOZ5" s="55"/>
      <c r="NPA5" s="55"/>
      <c r="NPB5" s="55"/>
      <c r="NPC5" s="55"/>
      <c r="NPD5" s="55"/>
      <c r="NPE5" s="55"/>
      <c r="NPF5" s="55"/>
      <c r="NPG5" s="55"/>
      <c r="NPH5" s="55"/>
      <c r="NPI5" s="55"/>
      <c r="NPJ5" s="55"/>
      <c r="NPK5" s="55"/>
      <c r="NPL5" s="55"/>
      <c r="NPM5" s="55"/>
      <c r="NPN5" s="55"/>
      <c r="NPO5" s="55"/>
      <c r="NPP5" s="55"/>
      <c r="NPQ5" s="55"/>
      <c r="NPR5" s="55"/>
      <c r="NPS5" s="55"/>
      <c r="NPT5" s="55"/>
      <c r="NPU5" s="55"/>
      <c r="NPV5" s="55"/>
      <c r="NPW5" s="55"/>
      <c r="NPX5" s="55"/>
      <c r="NPY5" s="55"/>
      <c r="NPZ5" s="55"/>
      <c r="NQA5" s="55"/>
      <c r="NQB5" s="55"/>
      <c r="NQC5" s="55"/>
      <c r="NQD5" s="55"/>
      <c r="NQE5" s="55"/>
      <c r="NQF5" s="55"/>
      <c r="NQG5" s="55"/>
      <c r="NQH5" s="55"/>
      <c r="NQI5" s="55"/>
      <c r="NQJ5" s="55"/>
      <c r="NQK5" s="55"/>
      <c r="NQL5" s="55"/>
      <c r="NQM5" s="55"/>
      <c r="NQN5" s="55"/>
      <c r="NQO5" s="55"/>
      <c r="NQP5" s="55"/>
      <c r="NQQ5" s="55"/>
      <c r="NQR5" s="55"/>
      <c r="NQS5" s="55"/>
      <c r="NQT5" s="55"/>
      <c r="NQU5" s="55"/>
      <c r="NQV5" s="55"/>
      <c r="NQW5" s="55"/>
      <c r="NQX5" s="55"/>
      <c r="NQY5" s="55"/>
      <c r="NQZ5" s="55"/>
      <c r="NRA5" s="55"/>
      <c r="NRB5" s="55"/>
      <c r="NRC5" s="55"/>
      <c r="NRD5" s="55"/>
      <c r="NRE5" s="55"/>
      <c r="NRF5" s="55"/>
      <c r="NRG5" s="55"/>
      <c r="NRH5" s="55"/>
      <c r="NRI5" s="55"/>
      <c r="NRJ5" s="55"/>
      <c r="NRK5" s="55"/>
      <c r="NRL5" s="55"/>
      <c r="NRM5" s="55"/>
      <c r="NRN5" s="55"/>
      <c r="NRO5" s="55"/>
      <c r="NRP5" s="55"/>
      <c r="NRQ5" s="55"/>
      <c r="NRR5" s="55"/>
      <c r="NRS5" s="55"/>
      <c r="NRT5" s="55"/>
      <c r="NRU5" s="55"/>
      <c r="NRV5" s="55"/>
      <c r="NRW5" s="55"/>
      <c r="NRX5" s="55"/>
      <c r="NRY5" s="55"/>
      <c r="NRZ5" s="55"/>
      <c r="NSA5" s="55"/>
      <c r="NSB5" s="55"/>
      <c r="NSC5" s="55"/>
      <c r="NSD5" s="55"/>
      <c r="NSE5" s="55"/>
      <c r="NSF5" s="55"/>
      <c r="NSG5" s="55"/>
      <c r="NSH5" s="55"/>
      <c r="NSI5" s="55"/>
      <c r="NSJ5" s="55"/>
      <c r="NSK5" s="55"/>
      <c r="NSL5" s="55"/>
      <c r="NSM5" s="55"/>
      <c r="NSN5" s="55"/>
      <c r="NSO5" s="55"/>
      <c r="NSP5" s="55"/>
      <c r="NSQ5" s="55"/>
      <c r="NSR5" s="55"/>
      <c r="NSS5" s="55"/>
      <c r="NST5" s="55"/>
      <c r="NSU5" s="55"/>
      <c r="NSV5" s="55"/>
      <c r="NSW5" s="55"/>
      <c r="NSX5" s="55"/>
      <c r="NSY5" s="55"/>
      <c r="NSZ5" s="55"/>
      <c r="NTA5" s="55"/>
      <c r="NTB5" s="55"/>
      <c r="NTC5" s="55"/>
      <c r="NTD5" s="55"/>
      <c r="NTE5" s="55"/>
      <c r="NTF5" s="55"/>
      <c r="NTG5" s="55"/>
      <c r="NTH5" s="55"/>
      <c r="NTI5" s="55"/>
      <c r="NTJ5" s="55"/>
      <c r="NTK5" s="55"/>
      <c r="NTL5" s="55"/>
      <c r="NTM5" s="55"/>
      <c r="NTN5" s="55"/>
      <c r="NTO5" s="55"/>
      <c r="NTP5" s="55"/>
      <c r="NTQ5" s="55"/>
      <c r="NTR5" s="55"/>
      <c r="NTS5" s="55"/>
      <c r="NTT5" s="55"/>
      <c r="NTU5" s="55"/>
      <c r="NTV5" s="55"/>
      <c r="NTW5" s="55"/>
      <c r="NTX5" s="55"/>
      <c r="NTY5" s="55"/>
      <c r="NTZ5" s="55"/>
      <c r="NUA5" s="55"/>
      <c r="NUB5" s="55"/>
      <c r="NUC5" s="55"/>
      <c r="NUD5" s="55"/>
      <c r="NUE5" s="55"/>
      <c r="NUF5" s="55"/>
      <c r="NUG5" s="55"/>
      <c r="NUH5" s="55"/>
      <c r="NUI5" s="55"/>
      <c r="NUJ5" s="55"/>
      <c r="NUK5" s="55"/>
      <c r="NUL5" s="55"/>
      <c r="NUM5" s="55"/>
      <c r="NUN5" s="55"/>
      <c r="NUO5" s="55"/>
      <c r="NUP5" s="55"/>
      <c r="NUQ5" s="55"/>
      <c r="NUR5" s="55"/>
      <c r="NUS5" s="55"/>
      <c r="NUT5" s="55"/>
      <c r="NUU5" s="55"/>
      <c r="NUV5" s="55"/>
      <c r="NUW5" s="55"/>
      <c r="NUX5" s="55"/>
      <c r="NUY5" s="55"/>
      <c r="NUZ5" s="55"/>
      <c r="NVA5" s="55"/>
      <c r="NVB5" s="55"/>
      <c r="NVC5" s="55"/>
      <c r="NVD5" s="55"/>
      <c r="NVE5" s="55"/>
      <c r="NVF5" s="55"/>
      <c r="NVG5" s="55"/>
      <c r="NVH5" s="55"/>
      <c r="NVI5" s="55"/>
      <c r="NVJ5" s="55"/>
      <c r="NVK5" s="55"/>
      <c r="NVL5" s="55"/>
      <c r="NVM5" s="55"/>
      <c r="NVN5" s="55"/>
      <c r="NVO5" s="55"/>
      <c r="NVP5" s="55"/>
      <c r="NVQ5" s="55"/>
      <c r="NVR5" s="55"/>
      <c r="NVS5" s="55"/>
      <c r="NVT5" s="55"/>
      <c r="NVU5" s="55"/>
      <c r="NVV5" s="55"/>
      <c r="NVW5" s="55"/>
      <c r="NVX5" s="55"/>
      <c r="NVY5" s="55"/>
      <c r="NVZ5" s="55"/>
      <c r="NWA5" s="55"/>
      <c r="NWB5" s="55"/>
      <c r="NWC5" s="55"/>
      <c r="NWD5" s="55"/>
      <c r="NWE5" s="55"/>
      <c r="NWF5" s="55"/>
      <c r="NWG5" s="55"/>
      <c r="NWH5" s="55"/>
      <c r="NWI5" s="55"/>
      <c r="NWJ5" s="55"/>
      <c r="NWK5" s="55"/>
      <c r="NWL5" s="55"/>
      <c r="NWM5" s="55"/>
      <c r="NWN5" s="55"/>
      <c r="NWO5" s="55"/>
      <c r="NWP5" s="55"/>
      <c r="NWQ5" s="55"/>
      <c r="NWR5" s="55"/>
      <c r="NWS5" s="55"/>
      <c r="NWT5" s="55"/>
      <c r="NWU5" s="55"/>
      <c r="NWV5" s="55"/>
      <c r="NWW5" s="55"/>
      <c r="NWX5" s="55"/>
      <c r="NWY5" s="55"/>
      <c r="NWZ5" s="55"/>
      <c r="NXA5" s="55"/>
      <c r="NXB5" s="55"/>
      <c r="NXC5" s="55"/>
      <c r="NXD5" s="55"/>
      <c r="NXE5" s="55"/>
      <c r="NXF5" s="55"/>
      <c r="NXG5" s="55"/>
      <c r="NXH5" s="55"/>
      <c r="NXI5" s="55"/>
      <c r="NXJ5" s="55"/>
      <c r="NXK5" s="55"/>
      <c r="NXL5" s="55"/>
      <c r="NXM5" s="55"/>
      <c r="NXN5" s="55"/>
      <c r="NXO5" s="55"/>
      <c r="NXP5" s="55"/>
      <c r="NXQ5" s="55"/>
      <c r="NXR5" s="55"/>
      <c r="NXS5" s="55"/>
      <c r="NXT5" s="55"/>
      <c r="NXU5" s="55"/>
      <c r="NXV5" s="55"/>
      <c r="NXW5" s="55"/>
      <c r="NXX5" s="55"/>
      <c r="NXY5" s="55"/>
      <c r="NXZ5" s="55"/>
      <c r="NYA5" s="55"/>
      <c r="NYB5" s="55"/>
      <c r="NYC5" s="55"/>
      <c r="NYD5" s="55"/>
      <c r="NYE5" s="55"/>
      <c r="NYF5" s="55"/>
      <c r="NYG5" s="55"/>
      <c r="NYH5" s="55"/>
      <c r="NYI5" s="55"/>
      <c r="NYJ5" s="55"/>
      <c r="NYK5" s="55"/>
      <c r="NYL5" s="55"/>
      <c r="NYM5" s="55"/>
      <c r="NYN5" s="55"/>
      <c r="NYO5" s="55"/>
      <c r="NYP5" s="55"/>
      <c r="NYQ5" s="55"/>
      <c r="NYR5" s="55"/>
      <c r="NYS5" s="55"/>
      <c r="NYT5" s="55"/>
      <c r="NYU5" s="55"/>
      <c r="NYV5" s="55"/>
      <c r="NYW5" s="55"/>
      <c r="NYX5" s="55"/>
      <c r="NYY5" s="55"/>
      <c r="NYZ5" s="55"/>
      <c r="NZA5" s="55"/>
      <c r="NZB5" s="55"/>
      <c r="NZC5" s="55"/>
      <c r="NZD5" s="55"/>
      <c r="NZE5" s="55"/>
      <c r="NZF5" s="55"/>
      <c r="NZG5" s="55"/>
      <c r="NZH5" s="55"/>
      <c r="NZI5" s="55"/>
      <c r="NZJ5" s="55"/>
      <c r="NZK5" s="55"/>
      <c r="NZL5" s="55"/>
      <c r="NZM5" s="55"/>
      <c r="NZN5" s="55"/>
      <c r="NZO5" s="55"/>
      <c r="NZP5" s="55"/>
      <c r="NZQ5" s="55"/>
      <c r="NZR5" s="55"/>
      <c r="NZS5" s="55"/>
      <c r="NZT5" s="55"/>
      <c r="NZU5" s="55"/>
      <c r="NZV5" s="55"/>
      <c r="NZW5" s="55"/>
      <c r="NZX5" s="55"/>
      <c r="NZY5" s="55"/>
      <c r="NZZ5" s="55"/>
      <c r="OAA5" s="55"/>
      <c r="OAB5" s="55"/>
      <c r="OAC5" s="55"/>
      <c r="OAD5" s="55"/>
      <c r="OAE5" s="55"/>
      <c r="OAF5" s="55"/>
      <c r="OAG5" s="55"/>
      <c r="OAH5" s="55"/>
      <c r="OAI5" s="55"/>
      <c r="OAJ5" s="55"/>
      <c r="OAK5" s="55"/>
      <c r="OAL5" s="55"/>
      <c r="OAM5" s="55"/>
      <c r="OAN5" s="55"/>
      <c r="OAO5" s="55"/>
      <c r="OAP5" s="55"/>
      <c r="OAQ5" s="55"/>
      <c r="OAR5" s="55"/>
      <c r="OAS5" s="55"/>
      <c r="OAT5" s="55"/>
      <c r="OAU5" s="55"/>
      <c r="OAV5" s="55"/>
      <c r="OAW5" s="55"/>
      <c r="OAX5" s="55"/>
      <c r="OAY5" s="55"/>
      <c r="OAZ5" s="55"/>
      <c r="OBA5" s="55"/>
      <c r="OBB5" s="55"/>
      <c r="OBC5" s="55"/>
      <c r="OBD5" s="55"/>
      <c r="OBE5" s="55"/>
      <c r="OBF5" s="55"/>
      <c r="OBG5" s="55"/>
      <c r="OBH5" s="55"/>
      <c r="OBI5" s="55"/>
      <c r="OBJ5" s="55"/>
      <c r="OBK5" s="55"/>
      <c r="OBL5" s="55"/>
      <c r="OBM5" s="55"/>
      <c r="OBN5" s="55"/>
      <c r="OBO5" s="55"/>
      <c r="OBP5" s="55"/>
      <c r="OBQ5" s="55"/>
      <c r="OBR5" s="55"/>
      <c r="OBS5" s="55"/>
      <c r="OBT5" s="55"/>
      <c r="OBU5" s="55"/>
      <c r="OBV5" s="55"/>
      <c r="OBW5" s="55"/>
      <c r="OBX5" s="55"/>
      <c r="OBY5" s="55"/>
      <c r="OBZ5" s="55"/>
      <c r="OCA5" s="55"/>
      <c r="OCB5" s="55"/>
      <c r="OCC5" s="55"/>
      <c r="OCD5" s="55"/>
      <c r="OCE5" s="55"/>
      <c r="OCF5" s="55"/>
      <c r="OCG5" s="55"/>
      <c r="OCH5" s="55"/>
      <c r="OCI5" s="55"/>
      <c r="OCJ5" s="55"/>
      <c r="OCK5" s="55"/>
      <c r="OCL5" s="55"/>
      <c r="OCM5" s="55"/>
      <c r="OCN5" s="55"/>
      <c r="OCO5" s="55"/>
      <c r="OCP5" s="55"/>
      <c r="OCQ5" s="55"/>
      <c r="OCR5" s="55"/>
      <c r="OCS5" s="55"/>
      <c r="OCT5" s="55"/>
      <c r="OCU5" s="55"/>
      <c r="OCV5" s="55"/>
      <c r="OCW5" s="55"/>
      <c r="OCX5" s="55"/>
      <c r="OCY5" s="55"/>
      <c r="OCZ5" s="55"/>
      <c r="ODA5" s="55"/>
      <c r="ODB5" s="55"/>
      <c r="ODC5" s="55"/>
      <c r="ODD5" s="55"/>
      <c r="ODE5" s="55"/>
      <c r="ODF5" s="55"/>
      <c r="ODG5" s="55"/>
      <c r="ODH5" s="55"/>
      <c r="ODI5" s="55"/>
      <c r="ODJ5" s="55"/>
      <c r="ODK5" s="55"/>
      <c r="ODL5" s="55"/>
      <c r="ODM5" s="55"/>
      <c r="ODN5" s="55"/>
      <c r="ODO5" s="55"/>
      <c r="ODP5" s="55"/>
      <c r="ODQ5" s="55"/>
      <c r="ODR5" s="55"/>
      <c r="ODS5" s="55"/>
      <c r="ODT5" s="55"/>
      <c r="ODU5" s="55"/>
      <c r="ODV5" s="55"/>
      <c r="ODW5" s="55"/>
      <c r="ODX5" s="55"/>
      <c r="ODY5" s="55"/>
      <c r="ODZ5" s="55"/>
      <c r="OEA5" s="55"/>
      <c r="OEB5" s="55"/>
      <c r="OEC5" s="55"/>
      <c r="OED5" s="55"/>
      <c r="OEE5" s="55"/>
      <c r="OEF5" s="55"/>
      <c r="OEG5" s="55"/>
      <c r="OEH5" s="55"/>
      <c r="OEI5" s="55"/>
      <c r="OEJ5" s="55"/>
      <c r="OEK5" s="55"/>
      <c r="OEL5" s="55"/>
      <c r="OEM5" s="55"/>
      <c r="OEN5" s="55"/>
      <c r="OEO5" s="55"/>
      <c r="OEP5" s="55"/>
      <c r="OEQ5" s="55"/>
      <c r="OER5" s="55"/>
      <c r="OES5" s="55"/>
      <c r="OET5" s="55"/>
      <c r="OEU5" s="55"/>
      <c r="OEV5" s="55"/>
      <c r="OEW5" s="55"/>
      <c r="OEX5" s="55"/>
      <c r="OEY5" s="55"/>
      <c r="OEZ5" s="55"/>
      <c r="OFA5" s="55"/>
      <c r="OFB5" s="55"/>
      <c r="OFC5" s="55"/>
      <c r="OFD5" s="55"/>
      <c r="OFE5" s="55"/>
      <c r="OFF5" s="55"/>
      <c r="OFG5" s="55"/>
      <c r="OFH5" s="55"/>
      <c r="OFI5" s="55"/>
      <c r="OFJ5" s="55"/>
      <c r="OFK5" s="55"/>
      <c r="OFL5" s="55"/>
      <c r="OFM5" s="55"/>
      <c r="OFN5" s="55"/>
      <c r="OFO5" s="55"/>
      <c r="OFP5" s="55"/>
      <c r="OFQ5" s="55"/>
      <c r="OFR5" s="55"/>
      <c r="OFS5" s="55"/>
      <c r="OFT5" s="55"/>
      <c r="OFU5" s="55"/>
      <c r="OFV5" s="55"/>
      <c r="OFW5" s="55"/>
      <c r="OFX5" s="55"/>
      <c r="OFY5" s="55"/>
      <c r="OFZ5" s="55"/>
      <c r="OGA5" s="55"/>
      <c r="OGB5" s="55"/>
      <c r="OGC5" s="55"/>
      <c r="OGD5" s="55"/>
      <c r="OGE5" s="55"/>
      <c r="OGF5" s="55"/>
      <c r="OGG5" s="55"/>
      <c r="OGH5" s="55"/>
      <c r="OGI5" s="55"/>
      <c r="OGJ5" s="55"/>
      <c r="OGK5" s="55"/>
      <c r="OGL5" s="55"/>
      <c r="OGM5" s="55"/>
      <c r="OGN5" s="55"/>
      <c r="OGO5" s="55"/>
      <c r="OGP5" s="55"/>
      <c r="OGQ5" s="55"/>
      <c r="OGR5" s="55"/>
      <c r="OGS5" s="55"/>
      <c r="OGT5" s="55"/>
      <c r="OGU5" s="55"/>
      <c r="OGV5" s="55"/>
      <c r="OGW5" s="55"/>
      <c r="OGX5" s="55"/>
      <c r="OGY5" s="55"/>
      <c r="OGZ5" s="55"/>
      <c r="OHA5" s="55"/>
      <c r="OHB5" s="55"/>
      <c r="OHC5" s="55"/>
      <c r="OHD5" s="55"/>
      <c r="OHE5" s="55"/>
      <c r="OHF5" s="55"/>
      <c r="OHG5" s="55"/>
      <c r="OHH5" s="55"/>
      <c r="OHI5" s="55"/>
      <c r="OHJ5" s="55"/>
      <c r="OHK5" s="55"/>
      <c r="OHL5" s="55"/>
      <c r="OHM5" s="55"/>
      <c r="OHN5" s="55"/>
      <c r="OHO5" s="55"/>
      <c r="OHP5" s="55"/>
      <c r="OHQ5" s="55"/>
      <c r="OHR5" s="55"/>
      <c r="OHS5" s="55"/>
      <c r="OHT5" s="55"/>
      <c r="OHU5" s="55"/>
      <c r="OHV5" s="55"/>
      <c r="OHW5" s="55"/>
      <c r="OHX5" s="55"/>
      <c r="OHY5" s="55"/>
      <c r="OHZ5" s="55"/>
      <c r="OIA5" s="55"/>
      <c r="OIB5" s="55"/>
      <c r="OIC5" s="55"/>
      <c r="OID5" s="55"/>
      <c r="OIE5" s="55"/>
      <c r="OIF5" s="55"/>
      <c r="OIG5" s="55"/>
      <c r="OIH5" s="55"/>
      <c r="OII5" s="55"/>
      <c r="OIJ5" s="55"/>
      <c r="OIK5" s="55"/>
      <c r="OIL5" s="55"/>
      <c r="OIM5" s="55"/>
      <c r="OIN5" s="55"/>
      <c r="OIO5" s="55"/>
      <c r="OIP5" s="55"/>
      <c r="OIQ5" s="55"/>
      <c r="OIR5" s="55"/>
      <c r="OIS5" s="55"/>
      <c r="OIT5" s="55"/>
      <c r="OIU5" s="55"/>
      <c r="OIV5" s="55"/>
      <c r="OIW5" s="55"/>
      <c r="OIX5" s="55"/>
      <c r="OIY5" s="55"/>
      <c r="OIZ5" s="55"/>
      <c r="OJA5" s="55"/>
      <c r="OJB5" s="55"/>
      <c r="OJC5" s="55"/>
      <c r="OJD5" s="55"/>
      <c r="OJE5" s="55"/>
      <c r="OJF5" s="55"/>
      <c r="OJG5" s="55"/>
      <c r="OJH5" s="55"/>
      <c r="OJI5" s="55"/>
      <c r="OJJ5" s="55"/>
      <c r="OJK5" s="55"/>
      <c r="OJL5" s="55"/>
      <c r="OJM5" s="55"/>
      <c r="OJN5" s="55"/>
      <c r="OJO5" s="55"/>
      <c r="OJP5" s="55"/>
      <c r="OJQ5" s="55"/>
      <c r="OJR5" s="55"/>
      <c r="OJS5" s="55"/>
      <c r="OJT5" s="55"/>
      <c r="OJU5" s="55"/>
      <c r="OJV5" s="55"/>
      <c r="OJW5" s="55"/>
      <c r="OJX5" s="55"/>
      <c r="OJY5" s="55"/>
      <c r="OJZ5" s="55"/>
      <c r="OKA5" s="55"/>
      <c r="OKB5" s="55"/>
      <c r="OKC5" s="55"/>
      <c r="OKD5" s="55"/>
      <c r="OKE5" s="55"/>
      <c r="OKF5" s="55"/>
      <c r="OKG5" s="55"/>
      <c r="OKH5" s="55"/>
      <c r="OKI5" s="55"/>
      <c r="OKJ5" s="55"/>
      <c r="OKK5" s="55"/>
      <c r="OKL5" s="55"/>
      <c r="OKM5" s="55"/>
      <c r="OKN5" s="55"/>
      <c r="OKO5" s="55"/>
      <c r="OKP5" s="55"/>
      <c r="OKQ5" s="55"/>
      <c r="OKR5" s="55"/>
      <c r="OKS5" s="55"/>
      <c r="OKT5" s="55"/>
      <c r="OKU5" s="55"/>
      <c r="OKV5" s="55"/>
      <c r="OKW5" s="55"/>
      <c r="OKX5" s="55"/>
      <c r="OKY5" s="55"/>
      <c r="OKZ5" s="55"/>
      <c r="OLA5" s="55"/>
      <c r="OLB5" s="55"/>
      <c r="OLC5" s="55"/>
      <c r="OLD5" s="55"/>
      <c r="OLE5" s="55"/>
      <c r="OLF5" s="55"/>
      <c r="OLG5" s="55"/>
      <c r="OLH5" s="55"/>
      <c r="OLI5" s="55"/>
      <c r="OLJ5" s="55"/>
      <c r="OLK5" s="55"/>
      <c r="OLL5" s="55"/>
      <c r="OLM5" s="55"/>
      <c r="OLN5" s="55"/>
      <c r="OLO5" s="55"/>
      <c r="OLP5" s="55"/>
      <c r="OLQ5" s="55"/>
      <c r="OLR5" s="55"/>
      <c r="OLS5" s="55"/>
      <c r="OLT5" s="55"/>
      <c r="OLU5" s="55"/>
      <c r="OLV5" s="55"/>
      <c r="OLW5" s="55"/>
      <c r="OLX5" s="55"/>
      <c r="OLY5" s="55"/>
      <c r="OLZ5" s="55"/>
      <c r="OMA5" s="55"/>
      <c r="OMB5" s="55"/>
      <c r="OMC5" s="55"/>
      <c r="OMD5" s="55"/>
      <c r="OME5" s="55"/>
      <c r="OMF5" s="55"/>
      <c r="OMG5" s="55"/>
      <c r="OMH5" s="55"/>
      <c r="OMI5" s="55"/>
      <c r="OMJ5" s="55"/>
      <c r="OMK5" s="55"/>
      <c r="OML5" s="55"/>
      <c r="OMM5" s="55"/>
      <c r="OMN5" s="55"/>
      <c r="OMO5" s="55"/>
      <c r="OMP5" s="55"/>
      <c r="OMQ5" s="55"/>
      <c r="OMR5" s="55"/>
      <c r="OMS5" s="55"/>
      <c r="OMT5" s="55"/>
      <c r="OMU5" s="55"/>
      <c r="OMV5" s="55"/>
      <c r="OMW5" s="55"/>
      <c r="OMX5" s="55"/>
      <c r="OMY5" s="55"/>
      <c r="OMZ5" s="55"/>
      <c r="ONA5" s="55"/>
      <c r="ONB5" s="55"/>
      <c r="ONC5" s="55"/>
      <c r="OND5" s="55"/>
      <c r="ONE5" s="55"/>
      <c r="ONF5" s="55"/>
      <c r="ONG5" s="55"/>
      <c r="ONH5" s="55"/>
      <c r="ONI5" s="55"/>
      <c r="ONJ5" s="55"/>
      <c r="ONK5" s="55"/>
      <c r="ONL5" s="55"/>
      <c r="ONM5" s="55"/>
      <c r="ONN5" s="55"/>
      <c r="ONO5" s="55"/>
      <c r="ONP5" s="55"/>
      <c r="ONQ5" s="55"/>
      <c r="ONR5" s="55"/>
      <c r="ONS5" s="55"/>
      <c r="ONT5" s="55"/>
      <c r="ONU5" s="55"/>
      <c r="ONV5" s="55"/>
      <c r="ONW5" s="55"/>
      <c r="ONX5" s="55"/>
      <c r="ONY5" s="55"/>
      <c r="ONZ5" s="55"/>
      <c r="OOA5" s="55"/>
      <c r="OOB5" s="55"/>
      <c r="OOC5" s="55"/>
      <c r="OOD5" s="55"/>
      <c r="OOE5" s="55"/>
      <c r="OOF5" s="55"/>
      <c r="OOG5" s="55"/>
      <c r="OOH5" s="55"/>
      <c r="OOI5" s="55"/>
      <c r="OOJ5" s="55"/>
      <c r="OOK5" s="55"/>
      <c r="OOL5" s="55"/>
      <c r="OOM5" s="55"/>
      <c r="OON5" s="55"/>
      <c r="OOO5" s="55"/>
      <c r="OOP5" s="55"/>
      <c r="OOQ5" s="55"/>
      <c r="OOR5" s="55"/>
      <c r="OOS5" s="55"/>
      <c r="OOT5" s="55"/>
      <c r="OOU5" s="55"/>
      <c r="OOV5" s="55"/>
      <c r="OOW5" s="55"/>
      <c r="OOX5" s="55"/>
      <c r="OOY5" s="55"/>
      <c r="OOZ5" s="55"/>
      <c r="OPA5" s="55"/>
      <c r="OPB5" s="55"/>
      <c r="OPC5" s="55"/>
      <c r="OPD5" s="55"/>
      <c r="OPE5" s="55"/>
      <c r="OPF5" s="55"/>
      <c r="OPG5" s="55"/>
      <c r="OPH5" s="55"/>
      <c r="OPI5" s="55"/>
      <c r="OPJ5" s="55"/>
      <c r="OPK5" s="55"/>
      <c r="OPL5" s="55"/>
      <c r="OPM5" s="55"/>
      <c r="OPN5" s="55"/>
      <c r="OPO5" s="55"/>
      <c r="OPP5" s="55"/>
      <c r="OPQ5" s="55"/>
      <c r="OPR5" s="55"/>
      <c r="OPS5" s="55"/>
      <c r="OPT5" s="55"/>
      <c r="OPU5" s="55"/>
      <c r="OPV5" s="55"/>
      <c r="OPW5" s="55"/>
      <c r="OPX5" s="55"/>
      <c r="OPY5" s="55"/>
      <c r="OPZ5" s="55"/>
      <c r="OQA5" s="55"/>
      <c r="OQB5" s="55"/>
      <c r="OQC5" s="55"/>
      <c r="OQD5" s="55"/>
      <c r="OQE5" s="55"/>
      <c r="OQF5" s="55"/>
      <c r="OQG5" s="55"/>
      <c r="OQH5" s="55"/>
      <c r="OQI5" s="55"/>
      <c r="OQJ5" s="55"/>
      <c r="OQK5" s="55"/>
      <c r="OQL5" s="55"/>
      <c r="OQM5" s="55"/>
      <c r="OQN5" s="55"/>
      <c r="OQO5" s="55"/>
      <c r="OQP5" s="55"/>
      <c r="OQQ5" s="55"/>
      <c r="OQR5" s="55"/>
      <c r="OQS5" s="55"/>
      <c r="OQT5" s="55"/>
      <c r="OQU5" s="55"/>
      <c r="OQV5" s="55"/>
      <c r="OQW5" s="55"/>
      <c r="OQX5" s="55"/>
      <c r="OQY5" s="55"/>
      <c r="OQZ5" s="55"/>
      <c r="ORA5" s="55"/>
      <c r="ORB5" s="55"/>
      <c r="ORC5" s="55"/>
      <c r="ORD5" s="55"/>
      <c r="ORE5" s="55"/>
      <c r="ORF5" s="55"/>
      <c r="ORG5" s="55"/>
      <c r="ORH5" s="55"/>
      <c r="ORI5" s="55"/>
      <c r="ORJ5" s="55"/>
      <c r="ORK5" s="55"/>
      <c r="ORL5" s="55"/>
      <c r="ORM5" s="55"/>
      <c r="ORN5" s="55"/>
      <c r="ORO5" s="55"/>
      <c r="ORP5" s="55"/>
      <c r="ORQ5" s="55"/>
      <c r="ORR5" s="55"/>
      <c r="ORS5" s="55"/>
      <c r="ORT5" s="55"/>
      <c r="ORU5" s="55"/>
      <c r="ORV5" s="55"/>
      <c r="ORW5" s="55"/>
      <c r="ORX5" s="55"/>
      <c r="ORY5" s="55"/>
      <c r="ORZ5" s="55"/>
      <c r="OSA5" s="55"/>
      <c r="OSB5" s="55"/>
      <c r="OSC5" s="55"/>
      <c r="OSD5" s="55"/>
      <c r="OSE5" s="55"/>
      <c r="OSF5" s="55"/>
      <c r="OSG5" s="55"/>
      <c r="OSH5" s="55"/>
      <c r="OSI5" s="55"/>
      <c r="OSJ5" s="55"/>
      <c r="OSK5" s="55"/>
      <c r="OSL5" s="55"/>
      <c r="OSM5" s="55"/>
      <c r="OSN5" s="55"/>
      <c r="OSO5" s="55"/>
      <c r="OSP5" s="55"/>
      <c r="OSQ5" s="55"/>
      <c r="OSR5" s="55"/>
      <c r="OSS5" s="55"/>
      <c r="OST5" s="55"/>
      <c r="OSU5" s="55"/>
      <c r="OSV5" s="55"/>
      <c r="OSW5" s="55"/>
      <c r="OSX5" s="55"/>
      <c r="OSY5" s="55"/>
      <c r="OSZ5" s="55"/>
      <c r="OTA5" s="55"/>
      <c r="OTB5" s="55"/>
      <c r="OTC5" s="55"/>
      <c r="OTD5" s="55"/>
      <c r="OTE5" s="55"/>
      <c r="OTF5" s="55"/>
      <c r="OTG5" s="55"/>
      <c r="OTH5" s="55"/>
      <c r="OTI5" s="55"/>
      <c r="OTJ5" s="55"/>
      <c r="OTK5" s="55"/>
      <c r="OTL5" s="55"/>
      <c r="OTM5" s="55"/>
      <c r="OTN5" s="55"/>
      <c r="OTO5" s="55"/>
      <c r="OTP5" s="55"/>
      <c r="OTQ5" s="55"/>
      <c r="OTR5" s="55"/>
      <c r="OTS5" s="55"/>
      <c r="OTT5" s="55"/>
      <c r="OTU5" s="55"/>
      <c r="OTV5" s="55"/>
      <c r="OTW5" s="55"/>
      <c r="OTX5" s="55"/>
      <c r="OTY5" s="55"/>
      <c r="OTZ5" s="55"/>
      <c r="OUA5" s="55"/>
      <c r="OUB5" s="55"/>
      <c r="OUC5" s="55"/>
      <c r="OUD5" s="55"/>
      <c r="OUE5" s="55"/>
      <c r="OUF5" s="55"/>
      <c r="OUG5" s="55"/>
      <c r="OUH5" s="55"/>
      <c r="OUI5" s="55"/>
      <c r="OUJ5" s="55"/>
      <c r="OUK5" s="55"/>
      <c r="OUL5" s="55"/>
      <c r="OUM5" s="55"/>
      <c r="OUN5" s="55"/>
      <c r="OUO5" s="55"/>
      <c r="OUP5" s="55"/>
      <c r="OUQ5" s="55"/>
      <c r="OUR5" s="55"/>
      <c r="OUS5" s="55"/>
      <c r="OUT5" s="55"/>
      <c r="OUU5" s="55"/>
      <c r="OUV5" s="55"/>
      <c r="OUW5" s="55"/>
      <c r="OUX5" s="55"/>
      <c r="OUY5" s="55"/>
      <c r="OUZ5" s="55"/>
      <c r="OVA5" s="55"/>
      <c r="OVB5" s="55"/>
      <c r="OVC5" s="55"/>
      <c r="OVD5" s="55"/>
      <c r="OVE5" s="55"/>
      <c r="OVF5" s="55"/>
      <c r="OVG5" s="55"/>
      <c r="OVH5" s="55"/>
      <c r="OVI5" s="55"/>
      <c r="OVJ5" s="55"/>
      <c r="OVK5" s="55"/>
      <c r="OVL5" s="55"/>
      <c r="OVM5" s="55"/>
      <c r="OVN5" s="55"/>
      <c r="OVO5" s="55"/>
      <c r="OVP5" s="55"/>
      <c r="OVQ5" s="55"/>
      <c r="OVR5" s="55"/>
      <c r="OVS5" s="55"/>
      <c r="OVT5" s="55"/>
      <c r="OVU5" s="55"/>
      <c r="OVV5" s="55"/>
      <c r="OVW5" s="55"/>
      <c r="OVX5" s="55"/>
      <c r="OVY5" s="55"/>
      <c r="OVZ5" s="55"/>
      <c r="OWA5" s="55"/>
      <c r="OWB5" s="55"/>
      <c r="OWC5" s="55"/>
      <c r="OWD5" s="55"/>
      <c r="OWE5" s="55"/>
      <c r="OWF5" s="55"/>
      <c r="OWG5" s="55"/>
      <c r="OWH5" s="55"/>
      <c r="OWI5" s="55"/>
      <c r="OWJ5" s="55"/>
      <c r="OWK5" s="55"/>
      <c r="OWL5" s="55"/>
      <c r="OWM5" s="55"/>
      <c r="OWN5" s="55"/>
      <c r="OWO5" s="55"/>
      <c r="OWP5" s="55"/>
      <c r="OWQ5" s="55"/>
      <c r="OWR5" s="55"/>
      <c r="OWS5" s="55"/>
      <c r="OWT5" s="55"/>
      <c r="OWU5" s="55"/>
      <c r="OWV5" s="55"/>
      <c r="OWW5" s="55"/>
      <c r="OWX5" s="55"/>
      <c r="OWY5" s="55"/>
      <c r="OWZ5" s="55"/>
      <c r="OXA5" s="55"/>
      <c r="OXB5" s="55"/>
      <c r="OXC5" s="55"/>
      <c r="OXD5" s="55"/>
      <c r="OXE5" s="55"/>
      <c r="OXF5" s="55"/>
      <c r="OXG5" s="55"/>
      <c r="OXH5" s="55"/>
      <c r="OXI5" s="55"/>
      <c r="OXJ5" s="55"/>
      <c r="OXK5" s="55"/>
      <c r="OXL5" s="55"/>
      <c r="OXM5" s="55"/>
      <c r="OXN5" s="55"/>
      <c r="OXO5" s="55"/>
      <c r="OXP5" s="55"/>
      <c r="OXQ5" s="55"/>
      <c r="OXR5" s="55"/>
      <c r="OXS5" s="55"/>
      <c r="OXT5" s="55"/>
      <c r="OXU5" s="55"/>
      <c r="OXV5" s="55"/>
      <c r="OXW5" s="55"/>
      <c r="OXX5" s="55"/>
      <c r="OXY5" s="55"/>
      <c r="OXZ5" s="55"/>
      <c r="OYA5" s="55"/>
      <c r="OYB5" s="55"/>
      <c r="OYC5" s="55"/>
      <c r="OYD5" s="55"/>
      <c r="OYE5" s="55"/>
      <c r="OYF5" s="55"/>
      <c r="OYG5" s="55"/>
      <c r="OYH5" s="55"/>
      <c r="OYI5" s="55"/>
      <c r="OYJ5" s="55"/>
      <c r="OYK5" s="55"/>
      <c r="OYL5" s="55"/>
      <c r="OYM5" s="55"/>
      <c r="OYN5" s="55"/>
      <c r="OYO5" s="55"/>
      <c r="OYP5" s="55"/>
      <c r="OYQ5" s="55"/>
      <c r="OYR5" s="55"/>
      <c r="OYS5" s="55"/>
      <c r="OYT5" s="55"/>
      <c r="OYU5" s="55"/>
      <c r="OYV5" s="55"/>
      <c r="OYW5" s="55"/>
      <c r="OYX5" s="55"/>
      <c r="OYY5" s="55"/>
      <c r="OYZ5" s="55"/>
      <c r="OZA5" s="55"/>
      <c r="OZB5" s="55"/>
      <c r="OZC5" s="55"/>
      <c r="OZD5" s="55"/>
      <c r="OZE5" s="55"/>
      <c r="OZF5" s="55"/>
      <c r="OZG5" s="55"/>
      <c r="OZH5" s="55"/>
      <c r="OZI5" s="55"/>
      <c r="OZJ5" s="55"/>
      <c r="OZK5" s="55"/>
      <c r="OZL5" s="55"/>
      <c r="OZM5" s="55"/>
      <c r="OZN5" s="55"/>
      <c r="OZO5" s="55"/>
      <c r="OZP5" s="55"/>
      <c r="OZQ5" s="55"/>
      <c r="OZR5" s="55"/>
      <c r="OZS5" s="55"/>
      <c r="OZT5" s="55"/>
      <c r="OZU5" s="55"/>
      <c r="OZV5" s="55"/>
      <c r="OZW5" s="55"/>
      <c r="OZX5" s="55"/>
      <c r="OZY5" s="55"/>
      <c r="OZZ5" s="55"/>
      <c r="PAA5" s="55"/>
      <c r="PAB5" s="55"/>
      <c r="PAC5" s="55"/>
      <c r="PAD5" s="55"/>
      <c r="PAE5" s="55"/>
      <c r="PAF5" s="55"/>
      <c r="PAG5" s="55"/>
      <c r="PAH5" s="55"/>
      <c r="PAI5" s="55"/>
      <c r="PAJ5" s="55"/>
      <c r="PAK5" s="55"/>
      <c r="PAL5" s="55"/>
      <c r="PAM5" s="55"/>
      <c r="PAN5" s="55"/>
      <c r="PAO5" s="55"/>
      <c r="PAP5" s="55"/>
      <c r="PAQ5" s="55"/>
      <c r="PAR5" s="55"/>
      <c r="PAS5" s="55"/>
      <c r="PAT5" s="55"/>
      <c r="PAU5" s="55"/>
      <c r="PAV5" s="55"/>
      <c r="PAW5" s="55"/>
      <c r="PAX5" s="55"/>
      <c r="PAY5" s="55"/>
      <c r="PAZ5" s="55"/>
      <c r="PBA5" s="55"/>
      <c r="PBB5" s="55"/>
      <c r="PBC5" s="55"/>
      <c r="PBD5" s="55"/>
      <c r="PBE5" s="55"/>
      <c r="PBF5" s="55"/>
      <c r="PBG5" s="55"/>
      <c r="PBH5" s="55"/>
      <c r="PBI5" s="55"/>
      <c r="PBJ5" s="55"/>
      <c r="PBK5" s="55"/>
      <c r="PBL5" s="55"/>
      <c r="PBM5" s="55"/>
      <c r="PBN5" s="55"/>
      <c r="PBO5" s="55"/>
      <c r="PBP5" s="55"/>
      <c r="PBQ5" s="55"/>
      <c r="PBR5" s="55"/>
      <c r="PBS5" s="55"/>
      <c r="PBT5" s="55"/>
      <c r="PBU5" s="55"/>
      <c r="PBV5" s="55"/>
      <c r="PBW5" s="55"/>
      <c r="PBX5" s="55"/>
      <c r="PBY5" s="55"/>
      <c r="PBZ5" s="55"/>
      <c r="PCA5" s="55"/>
      <c r="PCB5" s="55"/>
      <c r="PCC5" s="55"/>
      <c r="PCD5" s="55"/>
      <c r="PCE5" s="55"/>
      <c r="PCF5" s="55"/>
      <c r="PCG5" s="55"/>
      <c r="PCH5" s="55"/>
      <c r="PCI5" s="55"/>
      <c r="PCJ5" s="55"/>
      <c r="PCK5" s="55"/>
      <c r="PCL5" s="55"/>
      <c r="PCM5" s="55"/>
      <c r="PCN5" s="55"/>
      <c r="PCO5" s="55"/>
      <c r="PCP5" s="55"/>
      <c r="PCQ5" s="55"/>
      <c r="PCR5" s="55"/>
      <c r="PCS5" s="55"/>
      <c r="PCT5" s="55"/>
      <c r="PCU5" s="55"/>
      <c r="PCV5" s="55"/>
      <c r="PCW5" s="55"/>
      <c r="PCX5" s="55"/>
      <c r="PCY5" s="55"/>
      <c r="PCZ5" s="55"/>
      <c r="PDA5" s="55"/>
      <c r="PDB5" s="55"/>
      <c r="PDC5" s="55"/>
      <c r="PDD5" s="55"/>
      <c r="PDE5" s="55"/>
      <c r="PDF5" s="55"/>
      <c r="PDG5" s="55"/>
      <c r="PDH5" s="55"/>
      <c r="PDI5" s="55"/>
      <c r="PDJ5" s="55"/>
      <c r="PDK5" s="55"/>
      <c r="PDL5" s="55"/>
      <c r="PDM5" s="55"/>
      <c r="PDN5" s="55"/>
      <c r="PDO5" s="55"/>
      <c r="PDP5" s="55"/>
      <c r="PDQ5" s="55"/>
      <c r="PDR5" s="55"/>
      <c r="PDS5" s="55"/>
      <c r="PDT5" s="55"/>
      <c r="PDU5" s="55"/>
      <c r="PDV5" s="55"/>
      <c r="PDW5" s="55"/>
      <c r="PDX5" s="55"/>
      <c r="PDY5" s="55"/>
      <c r="PDZ5" s="55"/>
      <c r="PEA5" s="55"/>
      <c r="PEB5" s="55"/>
      <c r="PEC5" s="55"/>
      <c r="PED5" s="55"/>
      <c r="PEE5" s="55"/>
      <c r="PEF5" s="55"/>
      <c r="PEG5" s="55"/>
      <c r="PEH5" s="55"/>
      <c r="PEI5" s="55"/>
      <c r="PEJ5" s="55"/>
      <c r="PEK5" s="55"/>
      <c r="PEL5" s="55"/>
      <c r="PEM5" s="55"/>
      <c r="PEN5" s="55"/>
      <c r="PEO5" s="55"/>
      <c r="PEP5" s="55"/>
      <c r="PEQ5" s="55"/>
      <c r="PER5" s="55"/>
      <c r="PES5" s="55"/>
      <c r="PET5" s="55"/>
      <c r="PEU5" s="55"/>
      <c r="PEV5" s="55"/>
      <c r="PEW5" s="55"/>
      <c r="PEX5" s="55"/>
      <c r="PEY5" s="55"/>
      <c r="PEZ5" s="55"/>
      <c r="PFA5" s="55"/>
      <c r="PFB5" s="55"/>
      <c r="PFC5" s="55"/>
      <c r="PFD5" s="55"/>
      <c r="PFE5" s="55"/>
      <c r="PFF5" s="55"/>
      <c r="PFG5" s="55"/>
      <c r="PFH5" s="55"/>
      <c r="PFI5" s="55"/>
      <c r="PFJ5" s="55"/>
      <c r="PFK5" s="55"/>
      <c r="PFL5" s="55"/>
      <c r="PFM5" s="55"/>
      <c r="PFN5" s="55"/>
      <c r="PFO5" s="55"/>
      <c r="PFP5" s="55"/>
      <c r="PFQ5" s="55"/>
      <c r="PFR5" s="55"/>
      <c r="PFS5" s="55"/>
      <c r="PFT5" s="55"/>
      <c r="PFU5" s="55"/>
      <c r="PFV5" s="55"/>
      <c r="PFW5" s="55"/>
      <c r="PFX5" s="55"/>
      <c r="PFY5" s="55"/>
      <c r="PFZ5" s="55"/>
      <c r="PGA5" s="55"/>
      <c r="PGB5" s="55"/>
      <c r="PGC5" s="55"/>
      <c r="PGD5" s="55"/>
      <c r="PGE5" s="55"/>
      <c r="PGF5" s="55"/>
      <c r="PGG5" s="55"/>
      <c r="PGH5" s="55"/>
      <c r="PGI5" s="55"/>
      <c r="PGJ5" s="55"/>
      <c r="PGK5" s="55"/>
      <c r="PGL5" s="55"/>
      <c r="PGM5" s="55"/>
      <c r="PGN5" s="55"/>
      <c r="PGO5" s="55"/>
      <c r="PGP5" s="55"/>
      <c r="PGQ5" s="55"/>
      <c r="PGR5" s="55"/>
      <c r="PGS5" s="55"/>
      <c r="PGT5" s="55"/>
      <c r="PGU5" s="55"/>
      <c r="PGV5" s="55"/>
      <c r="PGW5" s="55"/>
      <c r="PGX5" s="55"/>
      <c r="PGY5" s="55"/>
      <c r="PGZ5" s="55"/>
      <c r="PHA5" s="55"/>
      <c r="PHB5" s="55"/>
      <c r="PHC5" s="55"/>
      <c r="PHD5" s="55"/>
      <c r="PHE5" s="55"/>
      <c r="PHF5" s="55"/>
      <c r="PHG5" s="55"/>
      <c r="PHH5" s="55"/>
      <c r="PHI5" s="55"/>
      <c r="PHJ5" s="55"/>
      <c r="PHK5" s="55"/>
      <c r="PHL5" s="55"/>
      <c r="PHM5" s="55"/>
      <c r="PHN5" s="55"/>
      <c r="PHO5" s="55"/>
      <c r="PHP5" s="55"/>
      <c r="PHQ5" s="55"/>
      <c r="PHR5" s="55"/>
      <c r="PHS5" s="55"/>
      <c r="PHT5" s="55"/>
      <c r="PHU5" s="55"/>
      <c r="PHV5" s="55"/>
      <c r="PHW5" s="55"/>
      <c r="PHX5" s="55"/>
      <c r="PHY5" s="55"/>
      <c r="PHZ5" s="55"/>
      <c r="PIA5" s="55"/>
      <c r="PIB5" s="55"/>
      <c r="PIC5" s="55"/>
      <c r="PID5" s="55"/>
      <c r="PIE5" s="55"/>
      <c r="PIF5" s="55"/>
      <c r="PIG5" s="55"/>
      <c r="PIH5" s="55"/>
      <c r="PII5" s="55"/>
      <c r="PIJ5" s="55"/>
      <c r="PIK5" s="55"/>
      <c r="PIL5" s="55"/>
      <c r="PIM5" s="55"/>
      <c r="PIN5" s="55"/>
      <c r="PIO5" s="55"/>
      <c r="PIP5" s="55"/>
      <c r="PIQ5" s="55"/>
      <c r="PIR5" s="55"/>
      <c r="PIS5" s="55"/>
      <c r="PIT5" s="55"/>
      <c r="PIU5" s="55"/>
      <c r="PIV5" s="55"/>
      <c r="PIW5" s="55"/>
      <c r="PIX5" s="55"/>
      <c r="PIY5" s="55"/>
      <c r="PIZ5" s="55"/>
      <c r="PJA5" s="55"/>
      <c r="PJB5" s="55"/>
      <c r="PJC5" s="55"/>
      <c r="PJD5" s="55"/>
      <c r="PJE5" s="55"/>
      <c r="PJF5" s="55"/>
      <c r="PJG5" s="55"/>
      <c r="PJH5" s="55"/>
      <c r="PJI5" s="55"/>
      <c r="PJJ5" s="55"/>
      <c r="PJK5" s="55"/>
      <c r="PJL5" s="55"/>
      <c r="PJM5" s="55"/>
      <c r="PJN5" s="55"/>
      <c r="PJO5" s="55"/>
      <c r="PJP5" s="55"/>
      <c r="PJQ5" s="55"/>
      <c r="PJR5" s="55"/>
      <c r="PJS5" s="55"/>
      <c r="PJT5" s="55"/>
      <c r="PJU5" s="55"/>
      <c r="PJV5" s="55"/>
      <c r="PJW5" s="55"/>
      <c r="PJX5" s="55"/>
      <c r="PJY5" s="55"/>
      <c r="PJZ5" s="55"/>
      <c r="PKA5" s="55"/>
      <c r="PKB5" s="55"/>
      <c r="PKC5" s="55"/>
      <c r="PKD5" s="55"/>
      <c r="PKE5" s="55"/>
      <c r="PKF5" s="55"/>
      <c r="PKG5" s="55"/>
      <c r="PKH5" s="55"/>
      <c r="PKI5" s="55"/>
      <c r="PKJ5" s="55"/>
      <c r="PKK5" s="55"/>
      <c r="PKL5" s="55"/>
      <c r="PKM5" s="55"/>
      <c r="PKN5" s="55"/>
      <c r="PKO5" s="55"/>
      <c r="PKP5" s="55"/>
      <c r="PKQ5" s="55"/>
      <c r="PKR5" s="55"/>
      <c r="PKS5" s="55"/>
      <c r="PKT5" s="55"/>
      <c r="PKU5" s="55"/>
      <c r="PKV5" s="55"/>
      <c r="PKW5" s="55"/>
      <c r="PKX5" s="55"/>
      <c r="PKY5" s="55"/>
      <c r="PKZ5" s="55"/>
      <c r="PLA5" s="55"/>
      <c r="PLB5" s="55"/>
      <c r="PLC5" s="55"/>
      <c r="PLD5" s="55"/>
      <c r="PLE5" s="55"/>
      <c r="PLF5" s="55"/>
      <c r="PLG5" s="55"/>
      <c r="PLH5" s="55"/>
      <c r="PLI5" s="55"/>
      <c r="PLJ5" s="55"/>
      <c r="PLK5" s="55"/>
      <c r="PLL5" s="55"/>
      <c r="PLM5" s="55"/>
      <c r="PLN5" s="55"/>
      <c r="PLO5" s="55"/>
      <c r="PLP5" s="55"/>
      <c r="PLQ5" s="55"/>
      <c r="PLR5" s="55"/>
      <c r="PLS5" s="55"/>
      <c r="PLT5" s="55"/>
      <c r="PLU5" s="55"/>
      <c r="PLV5" s="55"/>
      <c r="PLW5" s="55"/>
      <c r="PLX5" s="55"/>
      <c r="PLY5" s="55"/>
      <c r="PLZ5" s="55"/>
      <c r="PMA5" s="55"/>
      <c r="PMB5" s="55"/>
      <c r="PMC5" s="55"/>
      <c r="PMD5" s="55"/>
      <c r="PME5" s="55"/>
      <c r="PMF5" s="55"/>
      <c r="PMG5" s="55"/>
      <c r="PMH5" s="55"/>
      <c r="PMI5" s="55"/>
      <c r="PMJ5" s="55"/>
      <c r="PMK5" s="55"/>
      <c r="PML5" s="55"/>
      <c r="PMM5" s="55"/>
      <c r="PMN5" s="55"/>
      <c r="PMO5" s="55"/>
      <c r="PMP5" s="55"/>
      <c r="PMQ5" s="55"/>
      <c r="PMR5" s="55"/>
      <c r="PMS5" s="55"/>
      <c r="PMT5" s="55"/>
      <c r="PMU5" s="55"/>
      <c r="PMV5" s="55"/>
      <c r="PMW5" s="55"/>
      <c r="PMX5" s="55"/>
      <c r="PMY5" s="55"/>
      <c r="PMZ5" s="55"/>
      <c r="PNA5" s="55"/>
      <c r="PNB5" s="55"/>
      <c r="PNC5" s="55"/>
      <c r="PND5" s="55"/>
      <c r="PNE5" s="55"/>
      <c r="PNF5" s="55"/>
      <c r="PNG5" s="55"/>
      <c r="PNH5" s="55"/>
      <c r="PNI5" s="55"/>
      <c r="PNJ5" s="55"/>
      <c r="PNK5" s="55"/>
      <c r="PNL5" s="55"/>
      <c r="PNM5" s="55"/>
      <c r="PNN5" s="55"/>
      <c r="PNO5" s="55"/>
      <c r="PNP5" s="55"/>
      <c r="PNQ5" s="55"/>
      <c r="PNR5" s="55"/>
      <c r="PNS5" s="55"/>
      <c r="PNT5" s="55"/>
      <c r="PNU5" s="55"/>
      <c r="PNV5" s="55"/>
      <c r="PNW5" s="55"/>
      <c r="PNX5" s="55"/>
      <c r="PNY5" s="55"/>
      <c r="PNZ5" s="55"/>
      <c r="POA5" s="55"/>
      <c r="POB5" s="55"/>
      <c r="POC5" s="55"/>
      <c r="POD5" s="55"/>
      <c r="POE5" s="55"/>
      <c r="POF5" s="55"/>
      <c r="POG5" s="55"/>
      <c r="POH5" s="55"/>
      <c r="POI5" s="55"/>
      <c r="POJ5" s="55"/>
      <c r="POK5" s="55"/>
      <c r="POL5" s="55"/>
      <c r="POM5" s="55"/>
      <c r="PON5" s="55"/>
      <c r="POO5" s="55"/>
      <c r="POP5" s="55"/>
      <c r="POQ5" s="55"/>
      <c r="POR5" s="55"/>
      <c r="POS5" s="55"/>
      <c r="POT5" s="55"/>
      <c r="POU5" s="55"/>
      <c r="POV5" s="55"/>
      <c r="POW5" s="55"/>
      <c r="POX5" s="55"/>
      <c r="POY5" s="55"/>
      <c r="POZ5" s="55"/>
      <c r="PPA5" s="55"/>
      <c r="PPB5" s="55"/>
      <c r="PPC5" s="55"/>
      <c r="PPD5" s="55"/>
      <c r="PPE5" s="55"/>
      <c r="PPF5" s="55"/>
      <c r="PPG5" s="55"/>
      <c r="PPH5" s="55"/>
      <c r="PPI5" s="55"/>
      <c r="PPJ5" s="55"/>
      <c r="PPK5" s="55"/>
      <c r="PPL5" s="55"/>
      <c r="PPM5" s="55"/>
      <c r="PPN5" s="55"/>
      <c r="PPO5" s="55"/>
      <c r="PPP5" s="55"/>
      <c r="PPQ5" s="55"/>
      <c r="PPR5" s="55"/>
      <c r="PPS5" s="55"/>
      <c r="PPT5" s="55"/>
      <c r="PPU5" s="55"/>
      <c r="PPV5" s="55"/>
      <c r="PPW5" s="55"/>
      <c r="PPX5" s="55"/>
      <c r="PPY5" s="55"/>
      <c r="PPZ5" s="55"/>
      <c r="PQA5" s="55"/>
      <c r="PQB5" s="55"/>
      <c r="PQC5" s="55"/>
      <c r="PQD5" s="55"/>
      <c r="PQE5" s="55"/>
      <c r="PQF5" s="55"/>
      <c r="PQG5" s="55"/>
      <c r="PQH5" s="55"/>
      <c r="PQI5" s="55"/>
      <c r="PQJ5" s="55"/>
      <c r="PQK5" s="55"/>
      <c r="PQL5" s="55"/>
      <c r="PQM5" s="55"/>
      <c r="PQN5" s="55"/>
      <c r="PQO5" s="55"/>
      <c r="PQP5" s="55"/>
      <c r="PQQ5" s="55"/>
      <c r="PQR5" s="55"/>
      <c r="PQS5" s="55"/>
      <c r="PQT5" s="55"/>
      <c r="PQU5" s="55"/>
      <c r="PQV5" s="55"/>
      <c r="PQW5" s="55"/>
      <c r="PQX5" s="55"/>
      <c r="PQY5" s="55"/>
      <c r="PQZ5" s="55"/>
      <c r="PRA5" s="55"/>
      <c r="PRB5" s="55"/>
      <c r="PRC5" s="55"/>
      <c r="PRD5" s="55"/>
      <c r="PRE5" s="55"/>
      <c r="PRF5" s="55"/>
      <c r="PRG5" s="55"/>
      <c r="PRH5" s="55"/>
      <c r="PRI5" s="55"/>
      <c r="PRJ5" s="55"/>
      <c r="PRK5" s="55"/>
      <c r="PRL5" s="55"/>
      <c r="PRM5" s="55"/>
      <c r="PRN5" s="55"/>
      <c r="PRO5" s="55"/>
      <c r="PRP5" s="55"/>
      <c r="PRQ5" s="55"/>
      <c r="PRR5" s="55"/>
      <c r="PRS5" s="55"/>
      <c r="PRT5" s="55"/>
      <c r="PRU5" s="55"/>
      <c r="PRV5" s="55"/>
      <c r="PRW5" s="55"/>
      <c r="PRX5" s="55"/>
      <c r="PRY5" s="55"/>
      <c r="PRZ5" s="55"/>
      <c r="PSA5" s="55"/>
      <c r="PSB5" s="55"/>
      <c r="PSC5" s="55"/>
      <c r="PSD5" s="55"/>
      <c r="PSE5" s="55"/>
      <c r="PSF5" s="55"/>
      <c r="PSG5" s="55"/>
      <c r="PSH5" s="55"/>
      <c r="PSI5" s="55"/>
      <c r="PSJ5" s="55"/>
      <c r="PSK5" s="55"/>
      <c r="PSL5" s="55"/>
      <c r="PSM5" s="55"/>
      <c r="PSN5" s="55"/>
      <c r="PSO5" s="55"/>
      <c r="PSP5" s="55"/>
      <c r="PSQ5" s="55"/>
      <c r="PSR5" s="55"/>
      <c r="PSS5" s="55"/>
      <c r="PST5" s="55"/>
      <c r="PSU5" s="55"/>
      <c r="PSV5" s="55"/>
      <c r="PSW5" s="55"/>
      <c r="PSX5" s="55"/>
      <c r="PSY5" s="55"/>
      <c r="PSZ5" s="55"/>
      <c r="PTA5" s="55"/>
      <c r="PTB5" s="55"/>
      <c r="PTC5" s="55"/>
      <c r="PTD5" s="55"/>
      <c r="PTE5" s="55"/>
      <c r="PTF5" s="55"/>
      <c r="PTG5" s="55"/>
      <c r="PTH5" s="55"/>
      <c r="PTI5" s="55"/>
      <c r="PTJ5" s="55"/>
      <c r="PTK5" s="55"/>
      <c r="PTL5" s="55"/>
      <c r="PTM5" s="55"/>
      <c r="PTN5" s="55"/>
      <c r="PTO5" s="55"/>
      <c r="PTP5" s="55"/>
      <c r="PTQ5" s="55"/>
      <c r="PTR5" s="55"/>
      <c r="PTS5" s="55"/>
      <c r="PTT5" s="55"/>
      <c r="PTU5" s="55"/>
      <c r="PTV5" s="55"/>
      <c r="PTW5" s="55"/>
      <c r="PTX5" s="55"/>
      <c r="PTY5" s="55"/>
      <c r="PTZ5" s="55"/>
      <c r="PUA5" s="55"/>
      <c r="PUB5" s="55"/>
      <c r="PUC5" s="55"/>
      <c r="PUD5" s="55"/>
      <c r="PUE5" s="55"/>
      <c r="PUF5" s="55"/>
      <c r="PUG5" s="55"/>
      <c r="PUH5" s="55"/>
      <c r="PUI5" s="55"/>
      <c r="PUJ5" s="55"/>
      <c r="PUK5" s="55"/>
      <c r="PUL5" s="55"/>
      <c r="PUM5" s="55"/>
      <c r="PUN5" s="55"/>
      <c r="PUO5" s="55"/>
      <c r="PUP5" s="55"/>
      <c r="PUQ5" s="55"/>
      <c r="PUR5" s="55"/>
      <c r="PUS5" s="55"/>
      <c r="PUT5" s="55"/>
      <c r="PUU5" s="55"/>
      <c r="PUV5" s="55"/>
      <c r="PUW5" s="55"/>
      <c r="PUX5" s="55"/>
      <c r="PUY5" s="55"/>
      <c r="PUZ5" s="55"/>
      <c r="PVA5" s="55"/>
      <c r="PVB5" s="55"/>
      <c r="PVC5" s="55"/>
      <c r="PVD5" s="55"/>
      <c r="PVE5" s="55"/>
      <c r="PVF5" s="55"/>
      <c r="PVG5" s="55"/>
      <c r="PVH5" s="55"/>
      <c r="PVI5" s="55"/>
      <c r="PVJ5" s="55"/>
      <c r="PVK5" s="55"/>
      <c r="PVL5" s="55"/>
      <c r="PVM5" s="55"/>
      <c r="PVN5" s="55"/>
      <c r="PVO5" s="55"/>
      <c r="PVP5" s="55"/>
      <c r="PVQ5" s="55"/>
      <c r="PVR5" s="55"/>
      <c r="PVS5" s="55"/>
      <c r="PVT5" s="55"/>
      <c r="PVU5" s="55"/>
      <c r="PVV5" s="55"/>
      <c r="PVW5" s="55"/>
      <c r="PVX5" s="55"/>
      <c r="PVY5" s="55"/>
      <c r="PVZ5" s="55"/>
      <c r="PWA5" s="55"/>
      <c r="PWB5" s="55"/>
      <c r="PWC5" s="55"/>
      <c r="PWD5" s="55"/>
      <c r="PWE5" s="55"/>
      <c r="PWF5" s="55"/>
      <c r="PWG5" s="55"/>
      <c r="PWH5" s="55"/>
      <c r="PWI5" s="55"/>
      <c r="PWJ5" s="55"/>
      <c r="PWK5" s="55"/>
      <c r="PWL5" s="55"/>
      <c r="PWM5" s="55"/>
      <c r="PWN5" s="55"/>
      <c r="PWO5" s="55"/>
      <c r="PWP5" s="55"/>
      <c r="PWQ5" s="55"/>
      <c r="PWR5" s="55"/>
      <c r="PWS5" s="55"/>
      <c r="PWT5" s="55"/>
      <c r="PWU5" s="55"/>
      <c r="PWV5" s="55"/>
      <c r="PWW5" s="55"/>
      <c r="PWX5" s="55"/>
      <c r="PWY5" s="55"/>
      <c r="PWZ5" s="55"/>
      <c r="PXA5" s="55"/>
      <c r="PXB5" s="55"/>
      <c r="PXC5" s="55"/>
      <c r="PXD5" s="55"/>
      <c r="PXE5" s="55"/>
      <c r="PXF5" s="55"/>
      <c r="PXG5" s="55"/>
      <c r="PXH5" s="55"/>
      <c r="PXI5" s="55"/>
      <c r="PXJ5" s="55"/>
      <c r="PXK5" s="55"/>
      <c r="PXL5" s="55"/>
      <c r="PXM5" s="55"/>
      <c r="PXN5" s="55"/>
      <c r="PXO5" s="55"/>
      <c r="PXP5" s="55"/>
      <c r="PXQ5" s="55"/>
      <c r="PXR5" s="55"/>
      <c r="PXS5" s="55"/>
      <c r="PXT5" s="55"/>
      <c r="PXU5" s="55"/>
      <c r="PXV5" s="55"/>
      <c r="PXW5" s="55"/>
      <c r="PXX5" s="55"/>
      <c r="PXY5" s="55"/>
      <c r="PXZ5" s="55"/>
      <c r="PYA5" s="55"/>
      <c r="PYB5" s="55"/>
      <c r="PYC5" s="55"/>
      <c r="PYD5" s="55"/>
      <c r="PYE5" s="55"/>
      <c r="PYF5" s="55"/>
      <c r="PYG5" s="55"/>
      <c r="PYH5" s="55"/>
      <c r="PYI5" s="55"/>
      <c r="PYJ5" s="55"/>
      <c r="PYK5" s="55"/>
      <c r="PYL5" s="55"/>
      <c r="PYM5" s="55"/>
      <c r="PYN5" s="55"/>
      <c r="PYO5" s="55"/>
      <c r="PYP5" s="55"/>
      <c r="PYQ5" s="55"/>
      <c r="PYR5" s="55"/>
      <c r="PYS5" s="55"/>
      <c r="PYT5" s="55"/>
      <c r="PYU5" s="55"/>
      <c r="PYV5" s="55"/>
      <c r="PYW5" s="55"/>
      <c r="PYX5" s="55"/>
      <c r="PYY5" s="55"/>
      <c r="PYZ5" s="55"/>
      <c r="PZA5" s="55"/>
      <c r="PZB5" s="55"/>
      <c r="PZC5" s="55"/>
      <c r="PZD5" s="55"/>
      <c r="PZE5" s="55"/>
      <c r="PZF5" s="55"/>
      <c r="PZG5" s="55"/>
      <c r="PZH5" s="55"/>
      <c r="PZI5" s="55"/>
      <c r="PZJ5" s="55"/>
      <c r="PZK5" s="55"/>
      <c r="PZL5" s="55"/>
      <c r="PZM5" s="55"/>
      <c r="PZN5" s="55"/>
      <c r="PZO5" s="55"/>
      <c r="PZP5" s="55"/>
      <c r="PZQ5" s="55"/>
      <c r="PZR5" s="55"/>
      <c r="PZS5" s="55"/>
      <c r="PZT5" s="55"/>
      <c r="PZU5" s="55"/>
      <c r="PZV5" s="55"/>
      <c r="PZW5" s="55"/>
      <c r="PZX5" s="55"/>
      <c r="PZY5" s="55"/>
      <c r="PZZ5" s="55"/>
      <c r="QAA5" s="55"/>
      <c r="QAB5" s="55"/>
      <c r="QAC5" s="55"/>
      <c r="QAD5" s="55"/>
      <c r="QAE5" s="55"/>
      <c r="QAF5" s="55"/>
      <c r="QAG5" s="55"/>
      <c r="QAH5" s="55"/>
      <c r="QAI5" s="55"/>
      <c r="QAJ5" s="55"/>
      <c r="QAK5" s="55"/>
      <c r="QAL5" s="55"/>
      <c r="QAM5" s="55"/>
      <c r="QAN5" s="55"/>
      <c r="QAO5" s="55"/>
      <c r="QAP5" s="55"/>
      <c r="QAQ5" s="55"/>
      <c r="QAR5" s="55"/>
      <c r="QAS5" s="55"/>
      <c r="QAT5" s="55"/>
      <c r="QAU5" s="55"/>
      <c r="QAV5" s="55"/>
      <c r="QAW5" s="55"/>
      <c r="QAX5" s="55"/>
      <c r="QAY5" s="55"/>
      <c r="QAZ5" s="55"/>
      <c r="QBA5" s="55"/>
      <c r="QBB5" s="55"/>
      <c r="QBC5" s="55"/>
      <c r="QBD5" s="55"/>
      <c r="QBE5" s="55"/>
      <c r="QBF5" s="55"/>
      <c r="QBG5" s="55"/>
      <c r="QBH5" s="55"/>
      <c r="QBI5" s="55"/>
      <c r="QBJ5" s="55"/>
      <c r="QBK5" s="55"/>
      <c r="QBL5" s="55"/>
      <c r="QBM5" s="55"/>
      <c r="QBN5" s="55"/>
      <c r="QBO5" s="55"/>
      <c r="QBP5" s="55"/>
      <c r="QBQ5" s="55"/>
      <c r="QBR5" s="55"/>
      <c r="QBS5" s="55"/>
      <c r="QBT5" s="55"/>
      <c r="QBU5" s="55"/>
      <c r="QBV5" s="55"/>
      <c r="QBW5" s="55"/>
      <c r="QBX5" s="55"/>
      <c r="QBY5" s="55"/>
      <c r="QBZ5" s="55"/>
      <c r="QCA5" s="55"/>
      <c r="QCB5" s="55"/>
      <c r="QCC5" s="55"/>
      <c r="QCD5" s="55"/>
      <c r="QCE5" s="55"/>
      <c r="QCF5" s="55"/>
      <c r="QCG5" s="55"/>
      <c r="QCH5" s="55"/>
      <c r="QCI5" s="55"/>
      <c r="QCJ5" s="55"/>
      <c r="QCK5" s="55"/>
      <c r="QCL5" s="55"/>
      <c r="QCM5" s="55"/>
      <c r="QCN5" s="55"/>
      <c r="QCO5" s="55"/>
      <c r="QCP5" s="55"/>
      <c r="QCQ5" s="55"/>
      <c r="QCR5" s="55"/>
      <c r="QCS5" s="55"/>
      <c r="QCT5" s="55"/>
      <c r="QCU5" s="55"/>
      <c r="QCV5" s="55"/>
      <c r="QCW5" s="55"/>
      <c r="QCX5" s="55"/>
      <c r="QCY5" s="55"/>
      <c r="QCZ5" s="55"/>
      <c r="QDA5" s="55"/>
      <c r="QDB5" s="55"/>
      <c r="QDC5" s="55"/>
      <c r="QDD5" s="55"/>
      <c r="QDE5" s="55"/>
      <c r="QDF5" s="55"/>
      <c r="QDG5" s="55"/>
      <c r="QDH5" s="55"/>
      <c r="QDI5" s="55"/>
      <c r="QDJ5" s="55"/>
      <c r="QDK5" s="55"/>
      <c r="QDL5" s="55"/>
      <c r="QDM5" s="55"/>
      <c r="QDN5" s="55"/>
      <c r="QDO5" s="55"/>
      <c r="QDP5" s="55"/>
      <c r="QDQ5" s="55"/>
      <c r="QDR5" s="55"/>
      <c r="QDS5" s="55"/>
      <c r="QDT5" s="55"/>
      <c r="QDU5" s="55"/>
      <c r="QDV5" s="55"/>
      <c r="QDW5" s="55"/>
      <c r="QDX5" s="55"/>
      <c r="QDY5" s="55"/>
      <c r="QDZ5" s="55"/>
      <c r="QEA5" s="55"/>
      <c r="QEB5" s="55"/>
      <c r="QEC5" s="55"/>
      <c r="QED5" s="55"/>
      <c r="QEE5" s="55"/>
      <c r="QEF5" s="55"/>
      <c r="QEG5" s="55"/>
      <c r="QEH5" s="55"/>
      <c r="QEI5" s="55"/>
      <c r="QEJ5" s="55"/>
      <c r="QEK5" s="55"/>
      <c r="QEL5" s="55"/>
      <c r="QEM5" s="55"/>
      <c r="QEN5" s="55"/>
      <c r="QEO5" s="55"/>
      <c r="QEP5" s="55"/>
      <c r="QEQ5" s="55"/>
      <c r="QER5" s="55"/>
      <c r="QES5" s="55"/>
      <c r="QET5" s="55"/>
      <c r="QEU5" s="55"/>
      <c r="QEV5" s="55"/>
      <c r="QEW5" s="55"/>
      <c r="QEX5" s="55"/>
      <c r="QEY5" s="55"/>
      <c r="QEZ5" s="55"/>
      <c r="QFA5" s="55"/>
      <c r="QFB5" s="55"/>
      <c r="QFC5" s="55"/>
      <c r="QFD5" s="55"/>
      <c r="QFE5" s="55"/>
      <c r="QFF5" s="55"/>
      <c r="QFG5" s="55"/>
      <c r="QFH5" s="55"/>
      <c r="QFI5" s="55"/>
      <c r="QFJ5" s="55"/>
      <c r="QFK5" s="55"/>
      <c r="QFL5" s="55"/>
      <c r="QFM5" s="55"/>
      <c r="QFN5" s="55"/>
      <c r="QFO5" s="55"/>
      <c r="QFP5" s="55"/>
      <c r="QFQ5" s="55"/>
      <c r="QFR5" s="55"/>
      <c r="QFS5" s="55"/>
      <c r="QFT5" s="55"/>
      <c r="QFU5" s="55"/>
      <c r="QFV5" s="55"/>
      <c r="QFW5" s="55"/>
      <c r="QFX5" s="55"/>
      <c r="QFY5" s="55"/>
      <c r="QFZ5" s="55"/>
      <c r="QGA5" s="55"/>
      <c r="QGB5" s="55"/>
      <c r="QGC5" s="55"/>
      <c r="QGD5" s="55"/>
      <c r="QGE5" s="55"/>
      <c r="QGF5" s="55"/>
      <c r="QGG5" s="55"/>
      <c r="QGH5" s="55"/>
      <c r="QGI5" s="55"/>
      <c r="QGJ5" s="55"/>
      <c r="QGK5" s="55"/>
      <c r="QGL5" s="55"/>
      <c r="QGM5" s="55"/>
      <c r="QGN5" s="55"/>
      <c r="QGO5" s="55"/>
      <c r="QGP5" s="55"/>
      <c r="QGQ5" s="55"/>
      <c r="QGR5" s="55"/>
      <c r="QGS5" s="55"/>
      <c r="QGT5" s="55"/>
      <c r="QGU5" s="55"/>
      <c r="QGV5" s="55"/>
      <c r="QGW5" s="55"/>
      <c r="QGX5" s="55"/>
      <c r="QGY5" s="55"/>
      <c r="QGZ5" s="55"/>
      <c r="QHA5" s="55"/>
      <c r="QHB5" s="55"/>
      <c r="QHC5" s="55"/>
      <c r="QHD5" s="55"/>
      <c r="QHE5" s="55"/>
      <c r="QHF5" s="55"/>
      <c r="QHG5" s="55"/>
      <c r="QHH5" s="55"/>
      <c r="QHI5" s="55"/>
      <c r="QHJ5" s="55"/>
      <c r="QHK5" s="55"/>
      <c r="QHL5" s="55"/>
      <c r="QHM5" s="55"/>
      <c r="QHN5" s="55"/>
      <c r="QHO5" s="55"/>
      <c r="QHP5" s="55"/>
      <c r="QHQ5" s="55"/>
      <c r="QHR5" s="55"/>
      <c r="QHS5" s="55"/>
      <c r="QHT5" s="55"/>
      <c r="QHU5" s="55"/>
      <c r="QHV5" s="55"/>
      <c r="QHW5" s="55"/>
      <c r="QHX5" s="55"/>
      <c r="QHY5" s="55"/>
      <c r="QHZ5" s="55"/>
      <c r="QIA5" s="55"/>
      <c r="QIB5" s="55"/>
      <c r="QIC5" s="55"/>
      <c r="QID5" s="55"/>
      <c r="QIE5" s="55"/>
      <c r="QIF5" s="55"/>
      <c r="QIG5" s="55"/>
      <c r="QIH5" s="55"/>
      <c r="QII5" s="55"/>
      <c r="QIJ5" s="55"/>
      <c r="QIK5" s="55"/>
      <c r="QIL5" s="55"/>
      <c r="QIM5" s="55"/>
      <c r="QIN5" s="55"/>
      <c r="QIO5" s="55"/>
      <c r="QIP5" s="55"/>
      <c r="QIQ5" s="55"/>
      <c r="QIR5" s="55"/>
      <c r="QIS5" s="55"/>
      <c r="QIT5" s="55"/>
      <c r="QIU5" s="55"/>
      <c r="QIV5" s="55"/>
      <c r="QIW5" s="55"/>
      <c r="QIX5" s="55"/>
      <c r="QIY5" s="55"/>
      <c r="QIZ5" s="55"/>
      <c r="QJA5" s="55"/>
      <c r="QJB5" s="55"/>
      <c r="QJC5" s="55"/>
      <c r="QJD5" s="55"/>
      <c r="QJE5" s="55"/>
      <c r="QJF5" s="55"/>
      <c r="QJG5" s="55"/>
      <c r="QJH5" s="55"/>
      <c r="QJI5" s="55"/>
      <c r="QJJ5" s="55"/>
      <c r="QJK5" s="55"/>
      <c r="QJL5" s="55"/>
      <c r="QJM5" s="55"/>
      <c r="QJN5" s="55"/>
      <c r="QJO5" s="55"/>
      <c r="QJP5" s="55"/>
      <c r="QJQ5" s="55"/>
      <c r="QJR5" s="55"/>
      <c r="QJS5" s="55"/>
      <c r="QJT5" s="55"/>
      <c r="QJU5" s="55"/>
      <c r="QJV5" s="55"/>
      <c r="QJW5" s="55"/>
      <c r="QJX5" s="55"/>
      <c r="QJY5" s="55"/>
      <c r="QJZ5" s="55"/>
      <c r="QKA5" s="55"/>
      <c r="QKB5" s="55"/>
      <c r="QKC5" s="55"/>
      <c r="QKD5" s="55"/>
      <c r="QKE5" s="55"/>
      <c r="QKF5" s="55"/>
      <c r="QKG5" s="55"/>
      <c r="QKH5" s="55"/>
      <c r="QKI5" s="55"/>
      <c r="QKJ5" s="55"/>
      <c r="QKK5" s="55"/>
      <c r="QKL5" s="55"/>
      <c r="QKM5" s="55"/>
      <c r="QKN5" s="55"/>
      <c r="QKO5" s="55"/>
      <c r="QKP5" s="55"/>
      <c r="QKQ5" s="55"/>
      <c r="QKR5" s="55"/>
      <c r="QKS5" s="55"/>
      <c r="QKT5" s="55"/>
      <c r="QKU5" s="55"/>
      <c r="QKV5" s="55"/>
      <c r="QKW5" s="55"/>
      <c r="QKX5" s="55"/>
      <c r="QKY5" s="55"/>
      <c r="QKZ5" s="55"/>
      <c r="QLA5" s="55"/>
      <c r="QLB5" s="55"/>
      <c r="QLC5" s="55"/>
      <c r="QLD5" s="55"/>
      <c r="QLE5" s="55"/>
      <c r="QLF5" s="55"/>
      <c r="QLG5" s="55"/>
      <c r="QLH5" s="55"/>
      <c r="QLI5" s="55"/>
      <c r="QLJ5" s="55"/>
      <c r="QLK5" s="55"/>
      <c r="QLL5" s="55"/>
      <c r="QLM5" s="55"/>
      <c r="QLN5" s="55"/>
      <c r="QLO5" s="55"/>
      <c r="QLP5" s="55"/>
      <c r="QLQ5" s="55"/>
      <c r="QLR5" s="55"/>
      <c r="QLS5" s="55"/>
      <c r="QLT5" s="55"/>
      <c r="QLU5" s="55"/>
      <c r="QLV5" s="55"/>
      <c r="QLW5" s="55"/>
      <c r="QLX5" s="55"/>
      <c r="QLY5" s="55"/>
      <c r="QLZ5" s="55"/>
      <c r="QMA5" s="55"/>
      <c r="QMB5" s="55"/>
      <c r="QMC5" s="55"/>
      <c r="QMD5" s="55"/>
      <c r="QME5" s="55"/>
      <c r="QMF5" s="55"/>
      <c r="QMG5" s="55"/>
      <c r="QMH5" s="55"/>
      <c r="QMI5" s="55"/>
      <c r="QMJ5" s="55"/>
      <c r="QMK5" s="55"/>
      <c r="QML5" s="55"/>
      <c r="QMM5" s="55"/>
      <c r="QMN5" s="55"/>
      <c r="QMO5" s="55"/>
      <c r="QMP5" s="55"/>
      <c r="QMQ5" s="55"/>
      <c r="QMR5" s="55"/>
      <c r="QMS5" s="55"/>
      <c r="QMT5" s="55"/>
      <c r="QMU5" s="55"/>
      <c r="QMV5" s="55"/>
      <c r="QMW5" s="55"/>
      <c r="QMX5" s="55"/>
      <c r="QMY5" s="55"/>
      <c r="QMZ5" s="55"/>
      <c r="QNA5" s="55"/>
      <c r="QNB5" s="55"/>
      <c r="QNC5" s="55"/>
      <c r="QND5" s="55"/>
      <c r="QNE5" s="55"/>
      <c r="QNF5" s="55"/>
      <c r="QNG5" s="55"/>
      <c r="QNH5" s="55"/>
      <c r="QNI5" s="55"/>
      <c r="QNJ5" s="55"/>
      <c r="QNK5" s="55"/>
      <c r="QNL5" s="55"/>
      <c r="QNM5" s="55"/>
      <c r="QNN5" s="55"/>
      <c r="QNO5" s="55"/>
      <c r="QNP5" s="55"/>
      <c r="QNQ5" s="55"/>
      <c r="QNR5" s="55"/>
      <c r="QNS5" s="55"/>
      <c r="QNT5" s="55"/>
      <c r="QNU5" s="55"/>
      <c r="QNV5" s="55"/>
      <c r="QNW5" s="55"/>
      <c r="QNX5" s="55"/>
      <c r="QNY5" s="55"/>
      <c r="QNZ5" s="55"/>
      <c r="QOA5" s="55"/>
      <c r="QOB5" s="55"/>
      <c r="QOC5" s="55"/>
      <c r="QOD5" s="55"/>
      <c r="QOE5" s="55"/>
      <c r="QOF5" s="55"/>
      <c r="QOG5" s="55"/>
      <c r="QOH5" s="55"/>
      <c r="QOI5" s="55"/>
      <c r="QOJ5" s="55"/>
      <c r="QOK5" s="55"/>
      <c r="QOL5" s="55"/>
      <c r="QOM5" s="55"/>
      <c r="QON5" s="55"/>
      <c r="QOO5" s="55"/>
      <c r="QOP5" s="55"/>
      <c r="QOQ5" s="55"/>
      <c r="QOR5" s="55"/>
      <c r="QOS5" s="55"/>
      <c r="QOT5" s="55"/>
      <c r="QOU5" s="55"/>
      <c r="QOV5" s="55"/>
      <c r="QOW5" s="55"/>
      <c r="QOX5" s="55"/>
      <c r="QOY5" s="55"/>
      <c r="QOZ5" s="55"/>
      <c r="QPA5" s="55"/>
      <c r="QPB5" s="55"/>
      <c r="QPC5" s="55"/>
      <c r="QPD5" s="55"/>
      <c r="QPE5" s="55"/>
      <c r="QPF5" s="55"/>
      <c r="QPG5" s="55"/>
      <c r="QPH5" s="55"/>
      <c r="QPI5" s="55"/>
      <c r="QPJ5" s="55"/>
      <c r="QPK5" s="55"/>
      <c r="QPL5" s="55"/>
      <c r="QPM5" s="55"/>
      <c r="QPN5" s="55"/>
      <c r="QPO5" s="55"/>
      <c r="QPP5" s="55"/>
      <c r="QPQ5" s="55"/>
      <c r="QPR5" s="55"/>
      <c r="QPS5" s="55"/>
      <c r="QPT5" s="55"/>
      <c r="QPU5" s="55"/>
      <c r="QPV5" s="55"/>
      <c r="QPW5" s="55"/>
      <c r="QPX5" s="55"/>
      <c r="QPY5" s="55"/>
      <c r="QPZ5" s="55"/>
      <c r="QQA5" s="55"/>
      <c r="QQB5" s="55"/>
      <c r="QQC5" s="55"/>
      <c r="QQD5" s="55"/>
      <c r="QQE5" s="55"/>
      <c r="QQF5" s="55"/>
      <c r="QQG5" s="55"/>
      <c r="QQH5" s="55"/>
      <c r="QQI5" s="55"/>
      <c r="QQJ5" s="55"/>
      <c r="QQK5" s="55"/>
      <c r="QQL5" s="55"/>
      <c r="QQM5" s="55"/>
      <c r="QQN5" s="55"/>
      <c r="QQO5" s="55"/>
      <c r="QQP5" s="55"/>
      <c r="QQQ5" s="55"/>
      <c r="QQR5" s="55"/>
      <c r="QQS5" s="55"/>
      <c r="QQT5" s="55"/>
      <c r="QQU5" s="55"/>
      <c r="QQV5" s="55"/>
      <c r="QQW5" s="55"/>
      <c r="QQX5" s="55"/>
      <c r="QQY5" s="55"/>
      <c r="QQZ5" s="55"/>
      <c r="QRA5" s="55"/>
      <c r="QRB5" s="55"/>
      <c r="QRC5" s="55"/>
      <c r="QRD5" s="55"/>
      <c r="QRE5" s="55"/>
      <c r="QRF5" s="55"/>
      <c r="QRG5" s="55"/>
      <c r="QRH5" s="55"/>
      <c r="QRI5" s="55"/>
      <c r="QRJ5" s="55"/>
      <c r="QRK5" s="55"/>
      <c r="QRL5" s="55"/>
      <c r="QRM5" s="55"/>
      <c r="QRN5" s="55"/>
      <c r="QRO5" s="55"/>
      <c r="QRP5" s="55"/>
      <c r="QRQ5" s="55"/>
      <c r="QRR5" s="55"/>
      <c r="QRS5" s="55"/>
      <c r="QRT5" s="55"/>
      <c r="QRU5" s="55"/>
      <c r="QRV5" s="55"/>
      <c r="QRW5" s="55"/>
      <c r="QRX5" s="55"/>
      <c r="QRY5" s="55"/>
      <c r="QRZ5" s="55"/>
      <c r="QSA5" s="55"/>
      <c r="QSB5" s="55"/>
      <c r="QSC5" s="55"/>
      <c r="QSD5" s="55"/>
      <c r="QSE5" s="55"/>
      <c r="QSF5" s="55"/>
      <c r="QSG5" s="55"/>
      <c r="QSH5" s="55"/>
      <c r="QSI5" s="55"/>
      <c r="QSJ5" s="55"/>
      <c r="QSK5" s="55"/>
      <c r="QSL5" s="55"/>
      <c r="QSM5" s="55"/>
      <c r="QSN5" s="55"/>
      <c r="QSO5" s="55"/>
      <c r="QSP5" s="55"/>
      <c r="QSQ5" s="55"/>
      <c r="QSR5" s="55"/>
      <c r="QSS5" s="55"/>
      <c r="QST5" s="55"/>
      <c r="QSU5" s="55"/>
      <c r="QSV5" s="55"/>
      <c r="QSW5" s="55"/>
      <c r="QSX5" s="55"/>
      <c r="QSY5" s="55"/>
      <c r="QSZ5" s="55"/>
      <c r="QTA5" s="55"/>
      <c r="QTB5" s="55"/>
      <c r="QTC5" s="55"/>
      <c r="QTD5" s="55"/>
      <c r="QTE5" s="55"/>
      <c r="QTF5" s="55"/>
      <c r="QTG5" s="55"/>
      <c r="QTH5" s="55"/>
      <c r="QTI5" s="55"/>
      <c r="QTJ5" s="55"/>
      <c r="QTK5" s="55"/>
      <c r="QTL5" s="55"/>
      <c r="QTM5" s="55"/>
      <c r="QTN5" s="55"/>
      <c r="QTO5" s="55"/>
      <c r="QTP5" s="55"/>
      <c r="QTQ5" s="55"/>
      <c r="QTR5" s="55"/>
      <c r="QTS5" s="55"/>
      <c r="QTT5" s="55"/>
      <c r="QTU5" s="55"/>
      <c r="QTV5" s="55"/>
      <c r="QTW5" s="55"/>
      <c r="QTX5" s="55"/>
      <c r="QTY5" s="55"/>
      <c r="QTZ5" s="55"/>
      <c r="QUA5" s="55"/>
      <c r="QUB5" s="55"/>
      <c r="QUC5" s="55"/>
      <c r="QUD5" s="55"/>
      <c r="QUE5" s="55"/>
      <c r="QUF5" s="55"/>
      <c r="QUG5" s="55"/>
      <c r="QUH5" s="55"/>
      <c r="QUI5" s="55"/>
      <c r="QUJ5" s="55"/>
      <c r="QUK5" s="55"/>
      <c r="QUL5" s="55"/>
      <c r="QUM5" s="55"/>
      <c r="QUN5" s="55"/>
      <c r="QUO5" s="55"/>
      <c r="QUP5" s="55"/>
      <c r="QUQ5" s="55"/>
      <c r="QUR5" s="55"/>
      <c r="QUS5" s="55"/>
      <c r="QUT5" s="55"/>
      <c r="QUU5" s="55"/>
      <c r="QUV5" s="55"/>
      <c r="QUW5" s="55"/>
      <c r="QUX5" s="55"/>
      <c r="QUY5" s="55"/>
      <c r="QUZ5" s="55"/>
      <c r="QVA5" s="55"/>
      <c r="QVB5" s="55"/>
      <c r="QVC5" s="55"/>
      <c r="QVD5" s="55"/>
      <c r="QVE5" s="55"/>
      <c r="QVF5" s="55"/>
      <c r="QVG5" s="55"/>
      <c r="QVH5" s="55"/>
      <c r="QVI5" s="55"/>
      <c r="QVJ5" s="55"/>
      <c r="QVK5" s="55"/>
      <c r="QVL5" s="55"/>
      <c r="QVM5" s="55"/>
      <c r="QVN5" s="55"/>
      <c r="QVO5" s="55"/>
      <c r="QVP5" s="55"/>
      <c r="QVQ5" s="55"/>
      <c r="QVR5" s="55"/>
      <c r="QVS5" s="55"/>
      <c r="QVT5" s="55"/>
      <c r="QVU5" s="55"/>
      <c r="QVV5" s="55"/>
      <c r="QVW5" s="55"/>
      <c r="QVX5" s="55"/>
      <c r="QVY5" s="55"/>
      <c r="QVZ5" s="55"/>
      <c r="QWA5" s="55"/>
      <c r="QWB5" s="55"/>
      <c r="QWC5" s="55"/>
      <c r="QWD5" s="55"/>
      <c r="QWE5" s="55"/>
      <c r="QWF5" s="55"/>
      <c r="QWG5" s="55"/>
      <c r="QWH5" s="55"/>
      <c r="QWI5" s="55"/>
      <c r="QWJ5" s="55"/>
      <c r="QWK5" s="55"/>
      <c r="QWL5" s="55"/>
      <c r="QWM5" s="55"/>
      <c r="QWN5" s="55"/>
      <c r="QWO5" s="55"/>
      <c r="QWP5" s="55"/>
      <c r="QWQ5" s="55"/>
      <c r="QWR5" s="55"/>
      <c r="QWS5" s="55"/>
      <c r="QWT5" s="55"/>
      <c r="QWU5" s="55"/>
      <c r="QWV5" s="55"/>
      <c r="QWW5" s="55"/>
      <c r="QWX5" s="55"/>
      <c r="QWY5" s="55"/>
      <c r="QWZ5" s="55"/>
      <c r="QXA5" s="55"/>
      <c r="QXB5" s="55"/>
      <c r="QXC5" s="55"/>
      <c r="QXD5" s="55"/>
      <c r="QXE5" s="55"/>
      <c r="QXF5" s="55"/>
      <c r="QXG5" s="55"/>
      <c r="QXH5" s="55"/>
      <c r="QXI5" s="55"/>
      <c r="QXJ5" s="55"/>
      <c r="QXK5" s="55"/>
      <c r="QXL5" s="55"/>
      <c r="QXM5" s="55"/>
      <c r="QXN5" s="55"/>
      <c r="QXO5" s="55"/>
      <c r="QXP5" s="55"/>
      <c r="QXQ5" s="55"/>
      <c r="QXR5" s="55"/>
      <c r="QXS5" s="55"/>
      <c r="QXT5" s="55"/>
      <c r="QXU5" s="55"/>
      <c r="QXV5" s="55"/>
      <c r="QXW5" s="55"/>
      <c r="QXX5" s="55"/>
      <c r="QXY5" s="55"/>
      <c r="QXZ5" s="55"/>
      <c r="QYA5" s="55"/>
      <c r="QYB5" s="55"/>
      <c r="QYC5" s="55"/>
      <c r="QYD5" s="55"/>
      <c r="QYE5" s="55"/>
      <c r="QYF5" s="55"/>
      <c r="QYG5" s="55"/>
      <c r="QYH5" s="55"/>
      <c r="QYI5" s="55"/>
      <c r="QYJ5" s="55"/>
      <c r="QYK5" s="55"/>
      <c r="QYL5" s="55"/>
      <c r="QYM5" s="55"/>
      <c r="QYN5" s="55"/>
      <c r="QYO5" s="55"/>
      <c r="QYP5" s="55"/>
      <c r="QYQ5" s="55"/>
      <c r="QYR5" s="55"/>
      <c r="QYS5" s="55"/>
      <c r="QYT5" s="55"/>
      <c r="QYU5" s="55"/>
      <c r="QYV5" s="55"/>
      <c r="QYW5" s="55"/>
      <c r="QYX5" s="55"/>
      <c r="QYY5" s="55"/>
      <c r="QYZ5" s="55"/>
      <c r="QZA5" s="55"/>
      <c r="QZB5" s="55"/>
      <c r="QZC5" s="55"/>
      <c r="QZD5" s="55"/>
      <c r="QZE5" s="55"/>
      <c r="QZF5" s="55"/>
      <c r="QZG5" s="55"/>
      <c r="QZH5" s="55"/>
      <c r="QZI5" s="55"/>
      <c r="QZJ5" s="55"/>
      <c r="QZK5" s="55"/>
      <c r="QZL5" s="55"/>
      <c r="QZM5" s="55"/>
      <c r="QZN5" s="55"/>
      <c r="QZO5" s="55"/>
      <c r="QZP5" s="55"/>
      <c r="QZQ5" s="55"/>
      <c r="QZR5" s="55"/>
      <c r="QZS5" s="55"/>
      <c r="QZT5" s="55"/>
      <c r="QZU5" s="55"/>
      <c r="QZV5" s="55"/>
      <c r="QZW5" s="55"/>
      <c r="QZX5" s="55"/>
      <c r="QZY5" s="55"/>
      <c r="QZZ5" s="55"/>
      <c r="RAA5" s="55"/>
      <c r="RAB5" s="55"/>
      <c r="RAC5" s="55"/>
      <c r="RAD5" s="55"/>
      <c r="RAE5" s="55"/>
      <c r="RAF5" s="55"/>
      <c r="RAG5" s="55"/>
      <c r="RAH5" s="55"/>
      <c r="RAI5" s="55"/>
      <c r="RAJ5" s="55"/>
      <c r="RAK5" s="55"/>
      <c r="RAL5" s="55"/>
      <c r="RAM5" s="55"/>
      <c r="RAN5" s="55"/>
      <c r="RAO5" s="55"/>
      <c r="RAP5" s="55"/>
      <c r="RAQ5" s="55"/>
      <c r="RAR5" s="55"/>
      <c r="RAS5" s="55"/>
      <c r="RAT5" s="55"/>
      <c r="RAU5" s="55"/>
      <c r="RAV5" s="55"/>
      <c r="RAW5" s="55"/>
      <c r="RAX5" s="55"/>
      <c r="RAY5" s="55"/>
      <c r="RAZ5" s="55"/>
      <c r="RBA5" s="55"/>
      <c r="RBB5" s="55"/>
      <c r="RBC5" s="55"/>
      <c r="RBD5" s="55"/>
      <c r="RBE5" s="55"/>
      <c r="RBF5" s="55"/>
      <c r="RBG5" s="55"/>
      <c r="RBH5" s="55"/>
      <c r="RBI5" s="55"/>
      <c r="RBJ5" s="55"/>
      <c r="RBK5" s="55"/>
      <c r="RBL5" s="55"/>
      <c r="RBM5" s="55"/>
      <c r="RBN5" s="55"/>
      <c r="RBO5" s="55"/>
      <c r="RBP5" s="55"/>
      <c r="RBQ5" s="55"/>
      <c r="RBR5" s="55"/>
      <c r="RBS5" s="55"/>
      <c r="RBT5" s="55"/>
      <c r="RBU5" s="55"/>
      <c r="RBV5" s="55"/>
      <c r="RBW5" s="55"/>
      <c r="RBX5" s="55"/>
      <c r="RBY5" s="55"/>
      <c r="RBZ5" s="55"/>
      <c r="RCA5" s="55"/>
      <c r="RCB5" s="55"/>
      <c r="RCC5" s="55"/>
      <c r="RCD5" s="55"/>
      <c r="RCE5" s="55"/>
      <c r="RCF5" s="55"/>
      <c r="RCG5" s="55"/>
      <c r="RCH5" s="55"/>
      <c r="RCI5" s="55"/>
      <c r="RCJ5" s="55"/>
      <c r="RCK5" s="55"/>
      <c r="RCL5" s="55"/>
      <c r="RCM5" s="55"/>
      <c r="RCN5" s="55"/>
      <c r="RCO5" s="55"/>
      <c r="RCP5" s="55"/>
      <c r="RCQ5" s="55"/>
      <c r="RCR5" s="55"/>
      <c r="RCS5" s="55"/>
      <c r="RCT5" s="55"/>
      <c r="RCU5" s="55"/>
      <c r="RCV5" s="55"/>
      <c r="RCW5" s="55"/>
      <c r="RCX5" s="55"/>
      <c r="RCY5" s="55"/>
      <c r="RCZ5" s="55"/>
      <c r="RDA5" s="55"/>
      <c r="RDB5" s="55"/>
      <c r="RDC5" s="55"/>
      <c r="RDD5" s="55"/>
      <c r="RDE5" s="55"/>
      <c r="RDF5" s="55"/>
      <c r="RDG5" s="55"/>
      <c r="RDH5" s="55"/>
      <c r="RDI5" s="55"/>
      <c r="RDJ5" s="55"/>
      <c r="RDK5" s="55"/>
      <c r="RDL5" s="55"/>
      <c r="RDM5" s="55"/>
      <c r="RDN5" s="55"/>
      <c r="RDO5" s="55"/>
      <c r="RDP5" s="55"/>
      <c r="RDQ5" s="55"/>
      <c r="RDR5" s="55"/>
      <c r="RDS5" s="55"/>
      <c r="RDT5" s="55"/>
      <c r="RDU5" s="55"/>
      <c r="RDV5" s="55"/>
      <c r="RDW5" s="55"/>
      <c r="RDX5" s="55"/>
      <c r="RDY5" s="55"/>
      <c r="RDZ5" s="55"/>
      <c r="REA5" s="55"/>
      <c r="REB5" s="55"/>
      <c r="REC5" s="55"/>
      <c r="RED5" s="55"/>
      <c r="REE5" s="55"/>
      <c r="REF5" s="55"/>
      <c r="REG5" s="55"/>
      <c r="REH5" s="55"/>
      <c r="REI5" s="55"/>
      <c r="REJ5" s="55"/>
      <c r="REK5" s="55"/>
      <c r="REL5" s="55"/>
      <c r="REM5" s="55"/>
      <c r="REN5" s="55"/>
      <c r="REO5" s="55"/>
      <c r="REP5" s="55"/>
      <c r="REQ5" s="55"/>
      <c r="RER5" s="55"/>
      <c r="RES5" s="55"/>
      <c r="RET5" s="55"/>
      <c r="REU5" s="55"/>
      <c r="REV5" s="55"/>
      <c r="REW5" s="55"/>
      <c r="REX5" s="55"/>
      <c r="REY5" s="55"/>
      <c r="REZ5" s="55"/>
      <c r="RFA5" s="55"/>
      <c r="RFB5" s="55"/>
      <c r="RFC5" s="55"/>
      <c r="RFD5" s="55"/>
      <c r="RFE5" s="55"/>
      <c r="RFF5" s="55"/>
      <c r="RFG5" s="55"/>
      <c r="RFH5" s="55"/>
      <c r="RFI5" s="55"/>
      <c r="RFJ5" s="55"/>
      <c r="RFK5" s="55"/>
      <c r="RFL5" s="55"/>
      <c r="RFM5" s="55"/>
      <c r="RFN5" s="55"/>
      <c r="RFO5" s="55"/>
      <c r="RFP5" s="55"/>
      <c r="RFQ5" s="55"/>
      <c r="RFR5" s="55"/>
      <c r="RFS5" s="55"/>
      <c r="RFT5" s="55"/>
      <c r="RFU5" s="55"/>
      <c r="RFV5" s="55"/>
      <c r="RFW5" s="55"/>
      <c r="RFX5" s="55"/>
      <c r="RFY5" s="55"/>
      <c r="RFZ5" s="55"/>
      <c r="RGA5" s="55"/>
      <c r="RGB5" s="55"/>
      <c r="RGC5" s="55"/>
      <c r="RGD5" s="55"/>
      <c r="RGE5" s="55"/>
      <c r="RGF5" s="55"/>
      <c r="RGG5" s="55"/>
      <c r="RGH5" s="55"/>
      <c r="RGI5" s="55"/>
      <c r="RGJ5" s="55"/>
      <c r="RGK5" s="55"/>
      <c r="RGL5" s="55"/>
      <c r="RGM5" s="55"/>
      <c r="RGN5" s="55"/>
      <c r="RGO5" s="55"/>
      <c r="RGP5" s="55"/>
      <c r="RGQ5" s="55"/>
      <c r="RGR5" s="55"/>
      <c r="RGS5" s="55"/>
      <c r="RGT5" s="55"/>
      <c r="RGU5" s="55"/>
      <c r="RGV5" s="55"/>
      <c r="RGW5" s="55"/>
      <c r="RGX5" s="55"/>
      <c r="RGY5" s="55"/>
      <c r="RGZ5" s="55"/>
      <c r="RHA5" s="55"/>
      <c r="RHB5" s="55"/>
      <c r="RHC5" s="55"/>
      <c r="RHD5" s="55"/>
      <c r="RHE5" s="55"/>
      <c r="RHF5" s="55"/>
      <c r="RHG5" s="55"/>
      <c r="RHH5" s="55"/>
      <c r="RHI5" s="55"/>
      <c r="RHJ5" s="55"/>
      <c r="RHK5" s="55"/>
      <c r="RHL5" s="55"/>
      <c r="RHM5" s="55"/>
      <c r="RHN5" s="55"/>
      <c r="RHO5" s="55"/>
      <c r="RHP5" s="55"/>
      <c r="RHQ5" s="55"/>
      <c r="RHR5" s="55"/>
      <c r="RHS5" s="55"/>
      <c r="RHT5" s="55"/>
      <c r="RHU5" s="55"/>
      <c r="RHV5" s="55"/>
      <c r="RHW5" s="55"/>
      <c r="RHX5" s="55"/>
      <c r="RHY5" s="55"/>
      <c r="RHZ5" s="55"/>
      <c r="RIA5" s="55"/>
      <c r="RIB5" s="55"/>
      <c r="RIC5" s="55"/>
      <c r="RID5" s="55"/>
      <c r="RIE5" s="55"/>
      <c r="RIF5" s="55"/>
      <c r="RIG5" s="55"/>
      <c r="RIH5" s="55"/>
      <c r="RII5" s="55"/>
      <c r="RIJ5" s="55"/>
      <c r="RIK5" s="55"/>
      <c r="RIL5" s="55"/>
      <c r="RIM5" s="55"/>
      <c r="RIN5" s="55"/>
      <c r="RIO5" s="55"/>
      <c r="RIP5" s="55"/>
      <c r="RIQ5" s="55"/>
      <c r="RIR5" s="55"/>
      <c r="RIS5" s="55"/>
      <c r="RIT5" s="55"/>
      <c r="RIU5" s="55"/>
      <c r="RIV5" s="55"/>
      <c r="RIW5" s="55"/>
      <c r="RIX5" s="55"/>
      <c r="RIY5" s="55"/>
      <c r="RIZ5" s="55"/>
      <c r="RJA5" s="55"/>
      <c r="RJB5" s="55"/>
      <c r="RJC5" s="55"/>
      <c r="RJD5" s="55"/>
      <c r="RJE5" s="55"/>
      <c r="RJF5" s="55"/>
      <c r="RJG5" s="55"/>
      <c r="RJH5" s="55"/>
      <c r="RJI5" s="55"/>
      <c r="RJJ5" s="55"/>
      <c r="RJK5" s="55"/>
      <c r="RJL5" s="55"/>
      <c r="RJM5" s="55"/>
      <c r="RJN5" s="55"/>
      <c r="RJO5" s="55"/>
      <c r="RJP5" s="55"/>
      <c r="RJQ5" s="55"/>
      <c r="RJR5" s="55"/>
      <c r="RJS5" s="55"/>
      <c r="RJT5" s="55"/>
      <c r="RJU5" s="55"/>
      <c r="RJV5" s="55"/>
      <c r="RJW5" s="55"/>
      <c r="RJX5" s="55"/>
      <c r="RJY5" s="55"/>
      <c r="RJZ5" s="55"/>
      <c r="RKA5" s="55"/>
      <c r="RKB5" s="55"/>
      <c r="RKC5" s="55"/>
      <c r="RKD5" s="55"/>
      <c r="RKE5" s="55"/>
      <c r="RKF5" s="55"/>
      <c r="RKG5" s="55"/>
      <c r="RKH5" s="55"/>
      <c r="RKI5" s="55"/>
      <c r="RKJ5" s="55"/>
      <c r="RKK5" s="55"/>
      <c r="RKL5" s="55"/>
      <c r="RKM5" s="55"/>
      <c r="RKN5" s="55"/>
      <c r="RKO5" s="55"/>
      <c r="RKP5" s="55"/>
      <c r="RKQ5" s="55"/>
      <c r="RKR5" s="55"/>
      <c r="RKS5" s="55"/>
      <c r="RKT5" s="55"/>
      <c r="RKU5" s="55"/>
      <c r="RKV5" s="55"/>
      <c r="RKW5" s="55"/>
      <c r="RKX5" s="55"/>
      <c r="RKY5" s="55"/>
      <c r="RKZ5" s="55"/>
      <c r="RLA5" s="55"/>
      <c r="RLB5" s="55"/>
      <c r="RLC5" s="55"/>
      <c r="RLD5" s="55"/>
      <c r="RLE5" s="55"/>
      <c r="RLF5" s="55"/>
      <c r="RLG5" s="55"/>
      <c r="RLH5" s="55"/>
      <c r="RLI5" s="55"/>
      <c r="RLJ5" s="55"/>
      <c r="RLK5" s="55"/>
      <c r="RLL5" s="55"/>
      <c r="RLM5" s="55"/>
      <c r="RLN5" s="55"/>
      <c r="RLO5" s="55"/>
      <c r="RLP5" s="55"/>
      <c r="RLQ5" s="55"/>
      <c r="RLR5" s="55"/>
      <c r="RLS5" s="55"/>
      <c r="RLT5" s="55"/>
      <c r="RLU5" s="55"/>
      <c r="RLV5" s="55"/>
      <c r="RLW5" s="55"/>
      <c r="RLX5" s="55"/>
      <c r="RLY5" s="55"/>
      <c r="RLZ5" s="55"/>
      <c r="RMA5" s="55"/>
      <c r="RMB5" s="55"/>
      <c r="RMC5" s="55"/>
      <c r="RMD5" s="55"/>
      <c r="RME5" s="55"/>
      <c r="RMF5" s="55"/>
      <c r="RMG5" s="55"/>
      <c r="RMH5" s="55"/>
      <c r="RMI5" s="55"/>
      <c r="RMJ5" s="55"/>
      <c r="RMK5" s="55"/>
      <c r="RML5" s="55"/>
      <c r="RMM5" s="55"/>
      <c r="RMN5" s="55"/>
      <c r="RMO5" s="55"/>
      <c r="RMP5" s="55"/>
      <c r="RMQ5" s="55"/>
      <c r="RMR5" s="55"/>
      <c r="RMS5" s="55"/>
      <c r="RMT5" s="55"/>
      <c r="RMU5" s="55"/>
      <c r="RMV5" s="55"/>
      <c r="RMW5" s="55"/>
      <c r="RMX5" s="55"/>
      <c r="RMY5" s="55"/>
      <c r="RMZ5" s="55"/>
      <c r="RNA5" s="55"/>
      <c r="RNB5" s="55"/>
      <c r="RNC5" s="55"/>
      <c r="RND5" s="55"/>
      <c r="RNE5" s="55"/>
      <c r="RNF5" s="55"/>
      <c r="RNG5" s="55"/>
      <c r="RNH5" s="55"/>
      <c r="RNI5" s="55"/>
      <c r="RNJ5" s="55"/>
      <c r="RNK5" s="55"/>
      <c r="RNL5" s="55"/>
      <c r="RNM5" s="55"/>
      <c r="RNN5" s="55"/>
      <c r="RNO5" s="55"/>
      <c r="RNP5" s="55"/>
      <c r="RNQ5" s="55"/>
      <c r="RNR5" s="55"/>
      <c r="RNS5" s="55"/>
      <c r="RNT5" s="55"/>
      <c r="RNU5" s="55"/>
      <c r="RNV5" s="55"/>
      <c r="RNW5" s="55"/>
      <c r="RNX5" s="55"/>
      <c r="RNY5" s="55"/>
      <c r="RNZ5" s="55"/>
      <c r="ROA5" s="55"/>
      <c r="ROB5" s="55"/>
      <c r="ROC5" s="55"/>
      <c r="ROD5" s="55"/>
      <c r="ROE5" s="55"/>
      <c r="ROF5" s="55"/>
      <c r="ROG5" s="55"/>
      <c r="ROH5" s="55"/>
      <c r="ROI5" s="55"/>
      <c r="ROJ5" s="55"/>
      <c r="ROK5" s="55"/>
      <c r="ROL5" s="55"/>
      <c r="ROM5" s="55"/>
      <c r="RON5" s="55"/>
      <c r="ROO5" s="55"/>
      <c r="ROP5" s="55"/>
      <c r="ROQ5" s="55"/>
      <c r="ROR5" s="55"/>
      <c r="ROS5" s="55"/>
      <c r="ROT5" s="55"/>
      <c r="ROU5" s="55"/>
      <c r="ROV5" s="55"/>
      <c r="ROW5" s="55"/>
      <c r="ROX5" s="55"/>
      <c r="ROY5" s="55"/>
      <c r="ROZ5" s="55"/>
      <c r="RPA5" s="55"/>
      <c r="RPB5" s="55"/>
      <c r="RPC5" s="55"/>
      <c r="RPD5" s="55"/>
      <c r="RPE5" s="55"/>
      <c r="RPF5" s="55"/>
      <c r="RPG5" s="55"/>
      <c r="RPH5" s="55"/>
      <c r="RPI5" s="55"/>
      <c r="RPJ5" s="55"/>
      <c r="RPK5" s="55"/>
      <c r="RPL5" s="55"/>
      <c r="RPM5" s="55"/>
      <c r="RPN5" s="55"/>
      <c r="RPO5" s="55"/>
      <c r="RPP5" s="55"/>
      <c r="RPQ5" s="55"/>
      <c r="RPR5" s="55"/>
      <c r="RPS5" s="55"/>
      <c r="RPT5" s="55"/>
      <c r="RPU5" s="55"/>
      <c r="RPV5" s="55"/>
      <c r="RPW5" s="55"/>
      <c r="RPX5" s="55"/>
      <c r="RPY5" s="55"/>
      <c r="RPZ5" s="55"/>
      <c r="RQA5" s="55"/>
      <c r="RQB5" s="55"/>
      <c r="RQC5" s="55"/>
      <c r="RQD5" s="55"/>
      <c r="RQE5" s="55"/>
      <c r="RQF5" s="55"/>
      <c r="RQG5" s="55"/>
      <c r="RQH5" s="55"/>
      <c r="RQI5" s="55"/>
      <c r="RQJ5" s="55"/>
      <c r="RQK5" s="55"/>
      <c r="RQL5" s="55"/>
      <c r="RQM5" s="55"/>
      <c r="RQN5" s="55"/>
      <c r="RQO5" s="55"/>
      <c r="RQP5" s="55"/>
      <c r="RQQ5" s="55"/>
      <c r="RQR5" s="55"/>
      <c r="RQS5" s="55"/>
      <c r="RQT5" s="55"/>
      <c r="RQU5" s="55"/>
      <c r="RQV5" s="55"/>
      <c r="RQW5" s="55"/>
      <c r="RQX5" s="55"/>
      <c r="RQY5" s="55"/>
      <c r="RQZ5" s="55"/>
      <c r="RRA5" s="55"/>
      <c r="RRB5" s="55"/>
      <c r="RRC5" s="55"/>
      <c r="RRD5" s="55"/>
      <c r="RRE5" s="55"/>
      <c r="RRF5" s="55"/>
      <c r="RRG5" s="55"/>
      <c r="RRH5" s="55"/>
      <c r="RRI5" s="55"/>
      <c r="RRJ5" s="55"/>
      <c r="RRK5" s="55"/>
      <c r="RRL5" s="55"/>
      <c r="RRM5" s="55"/>
      <c r="RRN5" s="55"/>
      <c r="RRO5" s="55"/>
      <c r="RRP5" s="55"/>
      <c r="RRQ5" s="55"/>
      <c r="RRR5" s="55"/>
      <c r="RRS5" s="55"/>
      <c r="RRT5" s="55"/>
      <c r="RRU5" s="55"/>
      <c r="RRV5" s="55"/>
      <c r="RRW5" s="55"/>
      <c r="RRX5" s="55"/>
      <c r="RRY5" s="55"/>
      <c r="RRZ5" s="55"/>
      <c r="RSA5" s="55"/>
      <c r="RSB5" s="55"/>
      <c r="RSC5" s="55"/>
      <c r="RSD5" s="55"/>
      <c r="RSE5" s="55"/>
      <c r="RSF5" s="55"/>
      <c r="RSG5" s="55"/>
      <c r="RSH5" s="55"/>
      <c r="RSI5" s="55"/>
      <c r="RSJ5" s="55"/>
      <c r="RSK5" s="55"/>
      <c r="RSL5" s="55"/>
      <c r="RSM5" s="55"/>
      <c r="RSN5" s="55"/>
      <c r="RSO5" s="55"/>
      <c r="RSP5" s="55"/>
      <c r="RSQ5" s="55"/>
      <c r="RSR5" s="55"/>
      <c r="RSS5" s="55"/>
      <c r="RST5" s="55"/>
      <c r="RSU5" s="55"/>
      <c r="RSV5" s="55"/>
      <c r="RSW5" s="55"/>
      <c r="RSX5" s="55"/>
      <c r="RSY5" s="55"/>
      <c r="RSZ5" s="55"/>
      <c r="RTA5" s="55"/>
      <c r="RTB5" s="55"/>
      <c r="RTC5" s="55"/>
      <c r="RTD5" s="55"/>
      <c r="RTE5" s="55"/>
      <c r="RTF5" s="55"/>
      <c r="RTG5" s="55"/>
      <c r="RTH5" s="55"/>
      <c r="RTI5" s="55"/>
      <c r="RTJ5" s="55"/>
      <c r="RTK5" s="55"/>
      <c r="RTL5" s="55"/>
      <c r="RTM5" s="55"/>
      <c r="RTN5" s="55"/>
      <c r="RTO5" s="55"/>
      <c r="RTP5" s="55"/>
      <c r="RTQ5" s="55"/>
      <c r="RTR5" s="55"/>
      <c r="RTS5" s="55"/>
      <c r="RTT5" s="55"/>
      <c r="RTU5" s="55"/>
      <c r="RTV5" s="55"/>
      <c r="RTW5" s="55"/>
      <c r="RTX5" s="55"/>
      <c r="RTY5" s="55"/>
      <c r="RTZ5" s="55"/>
      <c r="RUA5" s="55"/>
      <c r="RUB5" s="55"/>
      <c r="RUC5" s="55"/>
      <c r="RUD5" s="55"/>
      <c r="RUE5" s="55"/>
      <c r="RUF5" s="55"/>
      <c r="RUG5" s="55"/>
      <c r="RUH5" s="55"/>
      <c r="RUI5" s="55"/>
      <c r="RUJ5" s="55"/>
      <c r="RUK5" s="55"/>
      <c r="RUL5" s="55"/>
      <c r="RUM5" s="55"/>
      <c r="RUN5" s="55"/>
      <c r="RUO5" s="55"/>
      <c r="RUP5" s="55"/>
      <c r="RUQ5" s="55"/>
      <c r="RUR5" s="55"/>
      <c r="RUS5" s="55"/>
      <c r="RUT5" s="55"/>
      <c r="RUU5" s="55"/>
      <c r="RUV5" s="55"/>
      <c r="RUW5" s="55"/>
      <c r="RUX5" s="55"/>
      <c r="RUY5" s="55"/>
      <c r="RUZ5" s="55"/>
      <c r="RVA5" s="55"/>
      <c r="RVB5" s="55"/>
      <c r="RVC5" s="55"/>
      <c r="RVD5" s="55"/>
      <c r="RVE5" s="55"/>
      <c r="RVF5" s="55"/>
      <c r="RVG5" s="55"/>
      <c r="RVH5" s="55"/>
      <c r="RVI5" s="55"/>
      <c r="RVJ5" s="55"/>
      <c r="RVK5" s="55"/>
      <c r="RVL5" s="55"/>
      <c r="RVM5" s="55"/>
      <c r="RVN5" s="55"/>
      <c r="RVO5" s="55"/>
      <c r="RVP5" s="55"/>
      <c r="RVQ5" s="55"/>
      <c r="RVR5" s="55"/>
      <c r="RVS5" s="55"/>
      <c r="RVT5" s="55"/>
      <c r="RVU5" s="55"/>
      <c r="RVV5" s="55"/>
      <c r="RVW5" s="55"/>
      <c r="RVX5" s="55"/>
      <c r="RVY5" s="55"/>
      <c r="RVZ5" s="55"/>
      <c r="RWA5" s="55"/>
      <c r="RWB5" s="55"/>
      <c r="RWC5" s="55"/>
      <c r="RWD5" s="55"/>
      <c r="RWE5" s="55"/>
      <c r="RWF5" s="55"/>
      <c r="RWG5" s="55"/>
      <c r="RWH5" s="55"/>
      <c r="RWI5" s="55"/>
      <c r="RWJ5" s="55"/>
      <c r="RWK5" s="55"/>
      <c r="RWL5" s="55"/>
      <c r="RWM5" s="55"/>
      <c r="RWN5" s="55"/>
      <c r="RWO5" s="55"/>
      <c r="RWP5" s="55"/>
      <c r="RWQ5" s="55"/>
      <c r="RWR5" s="55"/>
      <c r="RWS5" s="55"/>
      <c r="RWT5" s="55"/>
      <c r="RWU5" s="55"/>
      <c r="RWV5" s="55"/>
      <c r="RWW5" s="55"/>
      <c r="RWX5" s="55"/>
      <c r="RWY5" s="55"/>
      <c r="RWZ5" s="55"/>
      <c r="RXA5" s="55"/>
      <c r="RXB5" s="55"/>
      <c r="RXC5" s="55"/>
      <c r="RXD5" s="55"/>
      <c r="RXE5" s="55"/>
      <c r="RXF5" s="55"/>
      <c r="RXG5" s="55"/>
      <c r="RXH5" s="55"/>
      <c r="RXI5" s="55"/>
      <c r="RXJ5" s="55"/>
      <c r="RXK5" s="55"/>
      <c r="RXL5" s="55"/>
      <c r="RXM5" s="55"/>
      <c r="RXN5" s="55"/>
      <c r="RXO5" s="55"/>
      <c r="RXP5" s="55"/>
      <c r="RXQ5" s="55"/>
      <c r="RXR5" s="55"/>
      <c r="RXS5" s="55"/>
      <c r="RXT5" s="55"/>
      <c r="RXU5" s="55"/>
      <c r="RXV5" s="55"/>
      <c r="RXW5" s="55"/>
      <c r="RXX5" s="55"/>
      <c r="RXY5" s="55"/>
      <c r="RXZ5" s="55"/>
      <c r="RYA5" s="55"/>
      <c r="RYB5" s="55"/>
      <c r="RYC5" s="55"/>
      <c r="RYD5" s="55"/>
      <c r="RYE5" s="55"/>
      <c r="RYF5" s="55"/>
      <c r="RYG5" s="55"/>
      <c r="RYH5" s="55"/>
      <c r="RYI5" s="55"/>
      <c r="RYJ5" s="55"/>
      <c r="RYK5" s="55"/>
      <c r="RYL5" s="55"/>
      <c r="RYM5" s="55"/>
      <c r="RYN5" s="55"/>
      <c r="RYO5" s="55"/>
      <c r="RYP5" s="55"/>
      <c r="RYQ5" s="55"/>
      <c r="RYR5" s="55"/>
      <c r="RYS5" s="55"/>
      <c r="RYT5" s="55"/>
      <c r="RYU5" s="55"/>
      <c r="RYV5" s="55"/>
      <c r="RYW5" s="55"/>
      <c r="RYX5" s="55"/>
      <c r="RYY5" s="55"/>
      <c r="RYZ5" s="55"/>
      <c r="RZA5" s="55"/>
      <c r="RZB5" s="55"/>
      <c r="RZC5" s="55"/>
      <c r="RZD5" s="55"/>
      <c r="RZE5" s="55"/>
      <c r="RZF5" s="55"/>
      <c r="RZG5" s="55"/>
      <c r="RZH5" s="55"/>
      <c r="RZI5" s="55"/>
      <c r="RZJ5" s="55"/>
      <c r="RZK5" s="55"/>
      <c r="RZL5" s="55"/>
      <c r="RZM5" s="55"/>
      <c r="RZN5" s="55"/>
      <c r="RZO5" s="55"/>
      <c r="RZP5" s="55"/>
      <c r="RZQ5" s="55"/>
      <c r="RZR5" s="55"/>
      <c r="RZS5" s="55"/>
      <c r="RZT5" s="55"/>
      <c r="RZU5" s="55"/>
      <c r="RZV5" s="55"/>
      <c r="RZW5" s="55"/>
      <c r="RZX5" s="55"/>
      <c r="RZY5" s="55"/>
      <c r="RZZ5" s="55"/>
      <c r="SAA5" s="55"/>
      <c r="SAB5" s="55"/>
      <c r="SAC5" s="55"/>
      <c r="SAD5" s="55"/>
      <c r="SAE5" s="55"/>
      <c r="SAF5" s="55"/>
      <c r="SAG5" s="55"/>
      <c r="SAH5" s="55"/>
      <c r="SAI5" s="55"/>
      <c r="SAJ5" s="55"/>
      <c r="SAK5" s="55"/>
      <c r="SAL5" s="55"/>
      <c r="SAM5" s="55"/>
      <c r="SAN5" s="55"/>
      <c r="SAO5" s="55"/>
      <c r="SAP5" s="55"/>
      <c r="SAQ5" s="55"/>
      <c r="SAR5" s="55"/>
      <c r="SAS5" s="55"/>
      <c r="SAT5" s="55"/>
      <c r="SAU5" s="55"/>
      <c r="SAV5" s="55"/>
      <c r="SAW5" s="55"/>
      <c r="SAX5" s="55"/>
      <c r="SAY5" s="55"/>
      <c r="SAZ5" s="55"/>
      <c r="SBA5" s="55"/>
      <c r="SBB5" s="55"/>
      <c r="SBC5" s="55"/>
      <c r="SBD5" s="55"/>
      <c r="SBE5" s="55"/>
      <c r="SBF5" s="55"/>
      <c r="SBG5" s="55"/>
      <c r="SBH5" s="55"/>
      <c r="SBI5" s="55"/>
      <c r="SBJ5" s="55"/>
      <c r="SBK5" s="55"/>
      <c r="SBL5" s="55"/>
      <c r="SBM5" s="55"/>
      <c r="SBN5" s="55"/>
      <c r="SBO5" s="55"/>
      <c r="SBP5" s="55"/>
      <c r="SBQ5" s="55"/>
      <c r="SBR5" s="55"/>
      <c r="SBS5" s="55"/>
      <c r="SBT5" s="55"/>
      <c r="SBU5" s="55"/>
      <c r="SBV5" s="55"/>
      <c r="SBW5" s="55"/>
      <c r="SBX5" s="55"/>
      <c r="SBY5" s="55"/>
      <c r="SBZ5" s="55"/>
      <c r="SCA5" s="55"/>
      <c r="SCB5" s="55"/>
      <c r="SCC5" s="55"/>
      <c r="SCD5" s="55"/>
      <c r="SCE5" s="55"/>
      <c r="SCF5" s="55"/>
      <c r="SCG5" s="55"/>
      <c r="SCH5" s="55"/>
      <c r="SCI5" s="55"/>
      <c r="SCJ5" s="55"/>
      <c r="SCK5" s="55"/>
      <c r="SCL5" s="55"/>
      <c r="SCM5" s="55"/>
      <c r="SCN5" s="55"/>
      <c r="SCO5" s="55"/>
      <c r="SCP5" s="55"/>
      <c r="SCQ5" s="55"/>
      <c r="SCR5" s="55"/>
      <c r="SCS5" s="55"/>
      <c r="SCT5" s="55"/>
      <c r="SCU5" s="55"/>
      <c r="SCV5" s="55"/>
      <c r="SCW5" s="55"/>
      <c r="SCX5" s="55"/>
      <c r="SCY5" s="55"/>
      <c r="SCZ5" s="55"/>
      <c r="SDA5" s="55"/>
      <c r="SDB5" s="55"/>
      <c r="SDC5" s="55"/>
      <c r="SDD5" s="55"/>
      <c r="SDE5" s="55"/>
      <c r="SDF5" s="55"/>
      <c r="SDG5" s="55"/>
      <c r="SDH5" s="55"/>
      <c r="SDI5" s="55"/>
      <c r="SDJ5" s="55"/>
      <c r="SDK5" s="55"/>
      <c r="SDL5" s="55"/>
      <c r="SDM5" s="55"/>
      <c r="SDN5" s="55"/>
      <c r="SDO5" s="55"/>
      <c r="SDP5" s="55"/>
      <c r="SDQ5" s="55"/>
      <c r="SDR5" s="55"/>
      <c r="SDS5" s="55"/>
      <c r="SDT5" s="55"/>
      <c r="SDU5" s="55"/>
      <c r="SDV5" s="55"/>
      <c r="SDW5" s="55"/>
      <c r="SDX5" s="55"/>
      <c r="SDY5" s="55"/>
      <c r="SDZ5" s="55"/>
      <c r="SEA5" s="55"/>
      <c r="SEB5" s="55"/>
      <c r="SEC5" s="55"/>
      <c r="SED5" s="55"/>
      <c r="SEE5" s="55"/>
      <c r="SEF5" s="55"/>
      <c r="SEG5" s="55"/>
      <c r="SEH5" s="55"/>
      <c r="SEI5" s="55"/>
      <c r="SEJ5" s="55"/>
      <c r="SEK5" s="55"/>
      <c r="SEL5" s="55"/>
      <c r="SEM5" s="55"/>
      <c r="SEN5" s="55"/>
      <c r="SEO5" s="55"/>
      <c r="SEP5" s="55"/>
      <c r="SEQ5" s="55"/>
      <c r="SER5" s="55"/>
      <c r="SES5" s="55"/>
      <c r="SET5" s="55"/>
      <c r="SEU5" s="55"/>
      <c r="SEV5" s="55"/>
      <c r="SEW5" s="55"/>
      <c r="SEX5" s="55"/>
      <c r="SEY5" s="55"/>
      <c r="SEZ5" s="55"/>
      <c r="SFA5" s="55"/>
      <c r="SFB5" s="55"/>
      <c r="SFC5" s="55"/>
      <c r="SFD5" s="55"/>
      <c r="SFE5" s="55"/>
      <c r="SFF5" s="55"/>
      <c r="SFG5" s="55"/>
      <c r="SFH5" s="55"/>
      <c r="SFI5" s="55"/>
      <c r="SFJ5" s="55"/>
      <c r="SFK5" s="55"/>
      <c r="SFL5" s="55"/>
      <c r="SFM5" s="55"/>
      <c r="SFN5" s="55"/>
      <c r="SFO5" s="55"/>
      <c r="SFP5" s="55"/>
      <c r="SFQ5" s="55"/>
      <c r="SFR5" s="55"/>
      <c r="SFS5" s="55"/>
      <c r="SFT5" s="55"/>
      <c r="SFU5" s="55"/>
      <c r="SFV5" s="55"/>
      <c r="SFW5" s="55"/>
      <c r="SFX5" s="55"/>
      <c r="SFY5" s="55"/>
      <c r="SFZ5" s="55"/>
      <c r="SGA5" s="55"/>
      <c r="SGB5" s="55"/>
      <c r="SGC5" s="55"/>
      <c r="SGD5" s="55"/>
      <c r="SGE5" s="55"/>
      <c r="SGF5" s="55"/>
      <c r="SGG5" s="55"/>
      <c r="SGH5" s="55"/>
      <c r="SGI5" s="55"/>
      <c r="SGJ5" s="55"/>
      <c r="SGK5" s="55"/>
      <c r="SGL5" s="55"/>
      <c r="SGM5" s="55"/>
      <c r="SGN5" s="55"/>
      <c r="SGO5" s="55"/>
      <c r="SGP5" s="55"/>
      <c r="SGQ5" s="55"/>
      <c r="SGR5" s="55"/>
      <c r="SGS5" s="55"/>
      <c r="SGT5" s="55"/>
      <c r="SGU5" s="55"/>
      <c r="SGV5" s="55"/>
      <c r="SGW5" s="55"/>
      <c r="SGX5" s="55"/>
      <c r="SGY5" s="55"/>
      <c r="SGZ5" s="55"/>
      <c r="SHA5" s="55"/>
      <c r="SHB5" s="55"/>
      <c r="SHC5" s="55"/>
      <c r="SHD5" s="55"/>
      <c r="SHE5" s="55"/>
      <c r="SHF5" s="55"/>
      <c r="SHG5" s="55"/>
      <c r="SHH5" s="55"/>
      <c r="SHI5" s="55"/>
      <c r="SHJ5" s="55"/>
      <c r="SHK5" s="55"/>
      <c r="SHL5" s="55"/>
      <c r="SHM5" s="55"/>
      <c r="SHN5" s="55"/>
      <c r="SHO5" s="55"/>
      <c r="SHP5" s="55"/>
      <c r="SHQ5" s="55"/>
      <c r="SHR5" s="55"/>
      <c r="SHS5" s="55"/>
      <c r="SHT5" s="55"/>
      <c r="SHU5" s="55"/>
      <c r="SHV5" s="55"/>
      <c r="SHW5" s="55"/>
      <c r="SHX5" s="55"/>
      <c r="SHY5" s="55"/>
      <c r="SHZ5" s="55"/>
      <c r="SIA5" s="55"/>
      <c r="SIB5" s="55"/>
      <c r="SIC5" s="55"/>
      <c r="SID5" s="55"/>
      <c r="SIE5" s="55"/>
      <c r="SIF5" s="55"/>
      <c r="SIG5" s="55"/>
      <c r="SIH5" s="55"/>
      <c r="SII5" s="55"/>
      <c r="SIJ5" s="55"/>
      <c r="SIK5" s="55"/>
      <c r="SIL5" s="55"/>
      <c r="SIM5" s="55"/>
      <c r="SIN5" s="55"/>
      <c r="SIO5" s="55"/>
      <c r="SIP5" s="55"/>
      <c r="SIQ5" s="55"/>
      <c r="SIR5" s="55"/>
      <c r="SIS5" s="55"/>
      <c r="SIT5" s="55"/>
      <c r="SIU5" s="55"/>
      <c r="SIV5" s="55"/>
      <c r="SIW5" s="55"/>
      <c r="SIX5" s="55"/>
      <c r="SIY5" s="55"/>
      <c r="SIZ5" s="55"/>
      <c r="SJA5" s="55"/>
      <c r="SJB5" s="55"/>
      <c r="SJC5" s="55"/>
      <c r="SJD5" s="55"/>
      <c r="SJE5" s="55"/>
      <c r="SJF5" s="55"/>
      <c r="SJG5" s="55"/>
      <c r="SJH5" s="55"/>
      <c r="SJI5" s="55"/>
      <c r="SJJ5" s="55"/>
      <c r="SJK5" s="55"/>
      <c r="SJL5" s="55"/>
      <c r="SJM5" s="55"/>
      <c r="SJN5" s="55"/>
      <c r="SJO5" s="55"/>
      <c r="SJP5" s="55"/>
      <c r="SJQ5" s="55"/>
      <c r="SJR5" s="55"/>
      <c r="SJS5" s="55"/>
      <c r="SJT5" s="55"/>
      <c r="SJU5" s="55"/>
      <c r="SJV5" s="55"/>
      <c r="SJW5" s="55"/>
      <c r="SJX5" s="55"/>
      <c r="SJY5" s="55"/>
      <c r="SJZ5" s="55"/>
      <c r="SKA5" s="55"/>
      <c r="SKB5" s="55"/>
      <c r="SKC5" s="55"/>
      <c r="SKD5" s="55"/>
      <c r="SKE5" s="55"/>
      <c r="SKF5" s="55"/>
      <c r="SKG5" s="55"/>
      <c r="SKH5" s="55"/>
      <c r="SKI5" s="55"/>
      <c r="SKJ5" s="55"/>
      <c r="SKK5" s="55"/>
      <c r="SKL5" s="55"/>
      <c r="SKM5" s="55"/>
      <c r="SKN5" s="55"/>
      <c r="SKO5" s="55"/>
      <c r="SKP5" s="55"/>
      <c r="SKQ5" s="55"/>
      <c r="SKR5" s="55"/>
      <c r="SKS5" s="55"/>
      <c r="SKT5" s="55"/>
      <c r="SKU5" s="55"/>
      <c r="SKV5" s="55"/>
      <c r="SKW5" s="55"/>
      <c r="SKX5" s="55"/>
      <c r="SKY5" s="55"/>
      <c r="SKZ5" s="55"/>
      <c r="SLA5" s="55"/>
      <c r="SLB5" s="55"/>
      <c r="SLC5" s="55"/>
      <c r="SLD5" s="55"/>
      <c r="SLE5" s="55"/>
      <c r="SLF5" s="55"/>
      <c r="SLG5" s="55"/>
      <c r="SLH5" s="55"/>
      <c r="SLI5" s="55"/>
      <c r="SLJ5" s="55"/>
      <c r="SLK5" s="55"/>
      <c r="SLL5" s="55"/>
      <c r="SLM5" s="55"/>
      <c r="SLN5" s="55"/>
      <c r="SLO5" s="55"/>
      <c r="SLP5" s="55"/>
      <c r="SLQ5" s="55"/>
      <c r="SLR5" s="55"/>
      <c r="SLS5" s="55"/>
      <c r="SLT5" s="55"/>
      <c r="SLU5" s="55"/>
      <c r="SLV5" s="55"/>
      <c r="SLW5" s="55"/>
      <c r="SLX5" s="55"/>
      <c r="SLY5" s="55"/>
      <c r="SLZ5" s="55"/>
      <c r="SMA5" s="55"/>
      <c r="SMB5" s="55"/>
      <c r="SMC5" s="55"/>
      <c r="SMD5" s="55"/>
      <c r="SME5" s="55"/>
      <c r="SMF5" s="55"/>
      <c r="SMG5" s="55"/>
      <c r="SMH5" s="55"/>
      <c r="SMI5" s="55"/>
      <c r="SMJ5" s="55"/>
      <c r="SMK5" s="55"/>
      <c r="SML5" s="55"/>
      <c r="SMM5" s="55"/>
      <c r="SMN5" s="55"/>
      <c r="SMO5" s="55"/>
      <c r="SMP5" s="55"/>
      <c r="SMQ5" s="55"/>
      <c r="SMR5" s="55"/>
      <c r="SMS5" s="55"/>
      <c r="SMT5" s="55"/>
      <c r="SMU5" s="55"/>
      <c r="SMV5" s="55"/>
      <c r="SMW5" s="55"/>
      <c r="SMX5" s="55"/>
      <c r="SMY5" s="55"/>
      <c r="SMZ5" s="55"/>
      <c r="SNA5" s="55"/>
      <c r="SNB5" s="55"/>
      <c r="SNC5" s="55"/>
      <c r="SND5" s="55"/>
      <c r="SNE5" s="55"/>
      <c r="SNF5" s="55"/>
      <c r="SNG5" s="55"/>
      <c r="SNH5" s="55"/>
      <c r="SNI5" s="55"/>
      <c r="SNJ5" s="55"/>
      <c r="SNK5" s="55"/>
      <c r="SNL5" s="55"/>
      <c r="SNM5" s="55"/>
      <c r="SNN5" s="55"/>
      <c r="SNO5" s="55"/>
      <c r="SNP5" s="55"/>
      <c r="SNQ5" s="55"/>
      <c r="SNR5" s="55"/>
      <c r="SNS5" s="55"/>
      <c r="SNT5" s="55"/>
      <c r="SNU5" s="55"/>
      <c r="SNV5" s="55"/>
      <c r="SNW5" s="55"/>
      <c r="SNX5" s="55"/>
      <c r="SNY5" s="55"/>
      <c r="SNZ5" s="55"/>
      <c r="SOA5" s="55"/>
      <c r="SOB5" s="55"/>
      <c r="SOC5" s="55"/>
      <c r="SOD5" s="55"/>
      <c r="SOE5" s="55"/>
      <c r="SOF5" s="55"/>
      <c r="SOG5" s="55"/>
      <c r="SOH5" s="55"/>
      <c r="SOI5" s="55"/>
      <c r="SOJ5" s="55"/>
      <c r="SOK5" s="55"/>
      <c r="SOL5" s="55"/>
      <c r="SOM5" s="55"/>
      <c r="SON5" s="55"/>
      <c r="SOO5" s="55"/>
      <c r="SOP5" s="55"/>
      <c r="SOQ5" s="55"/>
      <c r="SOR5" s="55"/>
      <c r="SOS5" s="55"/>
      <c r="SOT5" s="55"/>
      <c r="SOU5" s="55"/>
      <c r="SOV5" s="55"/>
      <c r="SOW5" s="55"/>
      <c r="SOX5" s="55"/>
      <c r="SOY5" s="55"/>
      <c r="SOZ5" s="55"/>
      <c r="SPA5" s="55"/>
      <c r="SPB5" s="55"/>
      <c r="SPC5" s="55"/>
      <c r="SPD5" s="55"/>
      <c r="SPE5" s="55"/>
      <c r="SPF5" s="55"/>
      <c r="SPG5" s="55"/>
      <c r="SPH5" s="55"/>
      <c r="SPI5" s="55"/>
      <c r="SPJ5" s="55"/>
      <c r="SPK5" s="55"/>
      <c r="SPL5" s="55"/>
      <c r="SPM5" s="55"/>
      <c r="SPN5" s="55"/>
      <c r="SPO5" s="55"/>
      <c r="SPP5" s="55"/>
      <c r="SPQ5" s="55"/>
      <c r="SPR5" s="55"/>
      <c r="SPS5" s="55"/>
      <c r="SPT5" s="55"/>
      <c r="SPU5" s="55"/>
      <c r="SPV5" s="55"/>
      <c r="SPW5" s="55"/>
      <c r="SPX5" s="55"/>
      <c r="SPY5" s="55"/>
      <c r="SPZ5" s="55"/>
      <c r="SQA5" s="55"/>
      <c r="SQB5" s="55"/>
      <c r="SQC5" s="55"/>
      <c r="SQD5" s="55"/>
      <c r="SQE5" s="55"/>
      <c r="SQF5" s="55"/>
      <c r="SQG5" s="55"/>
      <c r="SQH5" s="55"/>
      <c r="SQI5" s="55"/>
      <c r="SQJ5" s="55"/>
      <c r="SQK5" s="55"/>
      <c r="SQL5" s="55"/>
      <c r="SQM5" s="55"/>
      <c r="SQN5" s="55"/>
      <c r="SQO5" s="55"/>
      <c r="SQP5" s="55"/>
      <c r="SQQ5" s="55"/>
      <c r="SQR5" s="55"/>
      <c r="SQS5" s="55"/>
      <c r="SQT5" s="55"/>
      <c r="SQU5" s="55"/>
      <c r="SQV5" s="55"/>
      <c r="SQW5" s="55"/>
      <c r="SQX5" s="55"/>
      <c r="SQY5" s="55"/>
      <c r="SQZ5" s="55"/>
      <c r="SRA5" s="55"/>
      <c r="SRB5" s="55"/>
      <c r="SRC5" s="55"/>
      <c r="SRD5" s="55"/>
      <c r="SRE5" s="55"/>
      <c r="SRF5" s="55"/>
      <c r="SRG5" s="55"/>
      <c r="SRH5" s="55"/>
      <c r="SRI5" s="55"/>
      <c r="SRJ5" s="55"/>
      <c r="SRK5" s="55"/>
      <c r="SRL5" s="55"/>
      <c r="SRM5" s="55"/>
      <c r="SRN5" s="55"/>
      <c r="SRO5" s="55"/>
      <c r="SRP5" s="55"/>
      <c r="SRQ5" s="55"/>
      <c r="SRR5" s="55"/>
      <c r="SRS5" s="55"/>
      <c r="SRT5" s="55"/>
      <c r="SRU5" s="55"/>
      <c r="SRV5" s="55"/>
      <c r="SRW5" s="55"/>
      <c r="SRX5" s="55"/>
      <c r="SRY5" s="55"/>
      <c r="SRZ5" s="55"/>
      <c r="SSA5" s="55"/>
      <c r="SSB5" s="55"/>
      <c r="SSC5" s="55"/>
      <c r="SSD5" s="55"/>
      <c r="SSE5" s="55"/>
      <c r="SSF5" s="55"/>
      <c r="SSG5" s="55"/>
      <c r="SSH5" s="55"/>
      <c r="SSI5" s="55"/>
      <c r="SSJ5" s="55"/>
      <c r="SSK5" s="55"/>
      <c r="SSL5" s="55"/>
      <c r="SSM5" s="55"/>
      <c r="SSN5" s="55"/>
      <c r="SSO5" s="55"/>
      <c r="SSP5" s="55"/>
      <c r="SSQ5" s="55"/>
      <c r="SSR5" s="55"/>
      <c r="SSS5" s="55"/>
      <c r="SST5" s="55"/>
      <c r="SSU5" s="55"/>
      <c r="SSV5" s="55"/>
      <c r="SSW5" s="55"/>
      <c r="SSX5" s="55"/>
      <c r="SSY5" s="55"/>
      <c r="SSZ5" s="55"/>
      <c r="STA5" s="55"/>
      <c r="STB5" s="55"/>
      <c r="STC5" s="55"/>
      <c r="STD5" s="55"/>
      <c r="STE5" s="55"/>
      <c r="STF5" s="55"/>
      <c r="STG5" s="55"/>
      <c r="STH5" s="55"/>
      <c r="STI5" s="55"/>
      <c r="STJ5" s="55"/>
      <c r="STK5" s="55"/>
      <c r="STL5" s="55"/>
      <c r="STM5" s="55"/>
      <c r="STN5" s="55"/>
      <c r="STO5" s="55"/>
      <c r="STP5" s="55"/>
      <c r="STQ5" s="55"/>
      <c r="STR5" s="55"/>
      <c r="STS5" s="55"/>
      <c r="STT5" s="55"/>
      <c r="STU5" s="55"/>
      <c r="STV5" s="55"/>
      <c r="STW5" s="55"/>
      <c r="STX5" s="55"/>
      <c r="STY5" s="55"/>
      <c r="STZ5" s="55"/>
      <c r="SUA5" s="55"/>
      <c r="SUB5" s="55"/>
      <c r="SUC5" s="55"/>
      <c r="SUD5" s="55"/>
      <c r="SUE5" s="55"/>
      <c r="SUF5" s="55"/>
      <c r="SUG5" s="55"/>
      <c r="SUH5" s="55"/>
      <c r="SUI5" s="55"/>
      <c r="SUJ5" s="55"/>
      <c r="SUK5" s="55"/>
      <c r="SUL5" s="55"/>
      <c r="SUM5" s="55"/>
      <c r="SUN5" s="55"/>
      <c r="SUO5" s="55"/>
      <c r="SUP5" s="55"/>
      <c r="SUQ5" s="55"/>
      <c r="SUR5" s="55"/>
      <c r="SUS5" s="55"/>
      <c r="SUT5" s="55"/>
      <c r="SUU5" s="55"/>
      <c r="SUV5" s="55"/>
      <c r="SUW5" s="55"/>
      <c r="SUX5" s="55"/>
      <c r="SUY5" s="55"/>
      <c r="SUZ5" s="55"/>
      <c r="SVA5" s="55"/>
      <c r="SVB5" s="55"/>
      <c r="SVC5" s="55"/>
      <c r="SVD5" s="55"/>
      <c r="SVE5" s="55"/>
      <c r="SVF5" s="55"/>
      <c r="SVG5" s="55"/>
      <c r="SVH5" s="55"/>
      <c r="SVI5" s="55"/>
      <c r="SVJ5" s="55"/>
      <c r="SVK5" s="55"/>
      <c r="SVL5" s="55"/>
      <c r="SVM5" s="55"/>
      <c r="SVN5" s="55"/>
      <c r="SVO5" s="55"/>
      <c r="SVP5" s="55"/>
      <c r="SVQ5" s="55"/>
      <c r="SVR5" s="55"/>
      <c r="SVS5" s="55"/>
      <c r="SVT5" s="55"/>
      <c r="SVU5" s="55"/>
      <c r="SVV5" s="55"/>
      <c r="SVW5" s="55"/>
      <c r="SVX5" s="55"/>
      <c r="SVY5" s="55"/>
      <c r="SVZ5" s="55"/>
      <c r="SWA5" s="55"/>
      <c r="SWB5" s="55"/>
      <c r="SWC5" s="55"/>
      <c r="SWD5" s="55"/>
      <c r="SWE5" s="55"/>
      <c r="SWF5" s="55"/>
      <c r="SWG5" s="55"/>
      <c r="SWH5" s="55"/>
      <c r="SWI5" s="55"/>
      <c r="SWJ5" s="55"/>
      <c r="SWK5" s="55"/>
      <c r="SWL5" s="55"/>
      <c r="SWM5" s="55"/>
      <c r="SWN5" s="55"/>
      <c r="SWO5" s="55"/>
      <c r="SWP5" s="55"/>
      <c r="SWQ5" s="55"/>
      <c r="SWR5" s="55"/>
      <c r="SWS5" s="55"/>
      <c r="SWT5" s="55"/>
      <c r="SWU5" s="55"/>
      <c r="SWV5" s="55"/>
      <c r="SWW5" s="55"/>
      <c r="SWX5" s="55"/>
      <c r="SWY5" s="55"/>
      <c r="SWZ5" s="55"/>
      <c r="SXA5" s="55"/>
      <c r="SXB5" s="55"/>
      <c r="SXC5" s="55"/>
      <c r="SXD5" s="55"/>
      <c r="SXE5" s="55"/>
      <c r="SXF5" s="55"/>
      <c r="SXG5" s="55"/>
      <c r="SXH5" s="55"/>
      <c r="SXI5" s="55"/>
      <c r="SXJ5" s="55"/>
      <c r="SXK5" s="55"/>
      <c r="SXL5" s="55"/>
      <c r="SXM5" s="55"/>
      <c r="SXN5" s="55"/>
      <c r="SXO5" s="55"/>
      <c r="SXP5" s="55"/>
      <c r="SXQ5" s="55"/>
      <c r="SXR5" s="55"/>
      <c r="SXS5" s="55"/>
      <c r="SXT5" s="55"/>
      <c r="SXU5" s="55"/>
      <c r="SXV5" s="55"/>
      <c r="SXW5" s="55"/>
      <c r="SXX5" s="55"/>
      <c r="SXY5" s="55"/>
      <c r="SXZ5" s="55"/>
      <c r="SYA5" s="55"/>
      <c r="SYB5" s="55"/>
      <c r="SYC5" s="55"/>
      <c r="SYD5" s="55"/>
      <c r="SYE5" s="55"/>
      <c r="SYF5" s="55"/>
      <c r="SYG5" s="55"/>
      <c r="SYH5" s="55"/>
      <c r="SYI5" s="55"/>
      <c r="SYJ5" s="55"/>
      <c r="SYK5" s="55"/>
      <c r="SYL5" s="55"/>
      <c r="SYM5" s="55"/>
      <c r="SYN5" s="55"/>
      <c r="SYO5" s="55"/>
      <c r="SYP5" s="55"/>
      <c r="SYQ5" s="55"/>
      <c r="SYR5" s="55"/>
      <c r="SYS5" s="55"/>
      <c r="SYT5" s="55"/>
      <c r="SYU5" s="55"/>
      <c r="SYV5" s="55"/>
      <c r="SYW5" s="55"/>
      <c r="SYX5" s="55"/>
      <c r="SYY5" s="55"/>
      <c r="SYZ5" s="55"/>
      <c r="SZA5" s="55"/>
      <c r="SZB5" s="55"/>
      <c r="SZC5" s="55"/>
      <c r="SZD5" s="55"/>
      <c r="SZE5" s="55"/>
      <c r="SZF5" s="55"/>
      <c r="SZG5" s="55"/>
      <c r="SZH5" s="55"/>
      <c r="SZI5" s="55"/>
      <c r="SZJ5" s="55"/>
      <c r="SZK5" s="55"/>
      <c r="SZL5" s="55"/>
      <c r="SZM5" s="55"/>
      <c r="SZN5" s="55"/>
      <c r="SZO5" s="55"/>
      <c r="SZP5" s="55"/>
      <c r="SZQ5" s="55"/>
      <c r="SZR5" s="55"/>
      <c r="SZS5" s="55"/>
      <c r="SZT5" s="55"/>
      <c r="SZU5" s="55"/>
      <c r="SZV5" s="55"/>
      <c r="SZW5" s="55"/>
      <c r="SZX5" s="55"/>
      <c r="SZY5" s="55"/>
      <c r="SZZ5" s="55"/>
      <c r="TAA5" s="55"/>
      <c r="TAB5" s="55"/>
      <c r="TAC5" s="55"/>
      <c r="TAD5" s="55"/>
      <c r="TAE5" s="55"/>
      <c r="TAF5" s="55"/>
      <c r="TAG5" s="55"/>
      <c r="TAH5" s="55"/>
      <c r="TAI5" s="55"/>
      <c r="TAJ5" s="55"/>
      <c r="TAK5" s="55"/>
      <c r="TAL5" s="55"/>
      <c r="TAM5" s="55"/>
      <c r="TAN5" s="55"/>
      <c r="TAO5" s="55"/>
      <c r="TAP5" s="55"/>
      <c r="TAQ5" s="55"/>
      <c r="TAR5" s="55"/>
      <c r="TAS5" s="55"/>
      <c r="TAT5" s="55"/>
      <c r="TAU5" s="55"/>
      <c r="TAV5" s="55"/>
      <c r="TAW5" s="55"/>
      <c r="TAX5" s="55"/>
      <c r="TAY5" s="55"/>
      <c r="TAZ5" s="55"/>
      <c r="TBA5" s="55"/>
      <c r="TBB5" s="55"/>
      <c r="TBC5" s="55"/>
      <c r="TBD5" s="55"/>
      <c r="TBE5" s="55"/>
      <c r="TBF5" s="55"/>
      <c r="TBG5" s="55"/>
      <c r="TBH5" s="55"/>
      <c r="TBI5" s="55"/>
      <c r="TBJ5" s="55"/>
      <c r="TBK5" s="55"/>
      <c r="TBL5" s="55"/>
      <c r="TBM5" s="55"/>
      <c r="TBN5" s="55"/>
      <c r="TBO5" s="55"/>
      <c r="TBP5" s="55"/>
      <c r="TBQ5" s="55"/>
      <c r="TBR5" s="55"/>
      <c r="TBS5" s="55"/>
      <c r="TBT5" s="55"/>
      <c r="TBU5" s="55"/>
      <c r="TBV5" s="55"/>
      <c r="TBW5" s="55"/>
      <c r="TBX5" s="55"/>
      <c r="TBY5" s="55"/>
      <c r="TBZ5" s="55"/>
      <c r="TCA5" s="55"/>
      <c r="TCB5" s="55"/>
      <c r="TCC5" s="55"/>
      <c r="TCD5" s="55"/>
      <c r="TCE5" s="55"/>
      <c r="TCF5" s="55"/>
      <c r="TCG5" s="55"/>
      <c r="TCH5" s="55"/>
      <c r="TCI5" s="55"/>
      <c r="TCJ5" s="55"/>
      <c r="TCK5" s="55"/>
      <c r="TCL5" s="55"/>
      <c r="TCM5" s="55"/>
      <c r="TCN5" s="55"/>
      <c r="TCO5" s="55"/>
      <c r="TCP5" s="55"/>
      <c r="TCQ5" s="55"/>
      <c r="TCR5" s="55"/>
      <c r="TCS5" s="55"/>
      <c r="TCT5" s="55"/>
      <c r="TCU5" s="55"/>
      <c r="TCV5" s="55"/>
      <c r="TCW5" s="55"/>
      <c r="TCX5" s="55"/>
      <c r="TCY5" s="55"/>
      <c r="TCZ5" s="55"/>
      <c r="TDA5" s="55"/>
      <c r="TDB5" s="55"/>
      <c r="TDC5" s="55"/>
      <c r="TDD5" s="55"/>
      <c r="TDE5" s="55"/>
      <c r="TDF5" s="55"/>
      <c r="TDG5" s="55"/>
      <c r="TDH5" s="55"/>
      <c r="TDI5" s="55"/>
      <c r="TDJ5" s="55"/>
      <c r="TDK5" s="55"/>
      <c r="TDL5" s="55"/>
      <c r="TDM5" s="55"/>
      <c r="TDN5" s="55"/>
      <c r="TDO5" s="55"/>
      <c r="TDP5" s="55"/>
      <c r="TDQ5" s="55"/>
      <c r="TDR5" s="55"/>
      <c r="TDS5" s="55"/>
      <c r="TDT5" s="55"/>
      <c r="TDU5" s="55"/>
      <c r="TDV5" s="55"/>
      <c r="TDW5" s="55"/>
      <c r="TDX5" s="55"/>
      <c r="TDY5" s="55"/>
      <c r="TDZ5" s="55"/>
      <c r="TEA5" s="55"/>
      <c r="TEB5" s="55"/>
      <c r="TEC5" s="55"/>
      <c r="TED5" s="55"/>
      <c r="TEE5" s="55"/>
      <c r="TEF5" s="55"/>
      <c r="TEG5" s="55"/>
      <c r="TEH5" s="55"/>
      <c r="TEI5" s="55"/>
      <c r="TEJ5" s="55"/>
      <c r="TEK5" s="55"/>
      <c r="TEL5" s="55"/>
      <c r="TEM5" s="55"/>
      <c r="TEN5" s="55"/>
      <c r="TEO5" s="55"/>
      <c r="TEP5" s="55"/>
      <c r="TEQ5" s="55"/>
      <c r="TER5" s="55"/>
      <c r="TES5" s="55"/>
      <c r="TET5" s="55"/>
      <c r="TEU5" s="55"/>
      <c r="TEV5" s="55"/>
      <c r="TEW5" s="55"/>
      <c r="TEX5" s="55"/>
      <c r="TEY5" s="55"/>
      <c r="TEZ5" s="55"/>
      <c r="TFA5" s="55"/>
      <c r="TFB5" s="55"/>
      <c r="TFC5" s="55"/>
      <c r="TFD5" s="55"/>
      <c r="TFE5" s="55"/>
      <c r="TFF5" s="55"/>
      <c r="TFG5" s="55"/>
      <c r="TFH5" s="55"/>
      <c r="TFI5" s="55"/>
      <c r="TFJ5" s="55"/>
      <c r="TFK5" s="55"/>
      <c r="TFL5" s="55"/>
      <c r="TFM5" s="55"/>
      <c r="TFN5" s="55"/>
      <c r="TFO5" s="55"/>
      <c r="TFP5" s="55"/>
      <c r="TFQ5" s="55"/>
      <c r="TFR5" s="55"/>
      <c r="TFS5" s="55"/>
      <c r="TFT5" s="55"/>
      <c r="TFU5" s="55"/>
      <c r="TFV5" s="55"/>
      <c r="TFW5" s="55"/>
      <c r="TFX5" s="55"/>
      <c r="TFY5" s="55"/>
      <c r="TFZ5" s="55"/>
      <c r="TGA5" s="55"/>
      <c r="TGB5" s="55"/>
      <c r="TGC5" s="55"/>
      <c r="TGD5" s="55"/>
      <c r="TGE5" s="55"/>
      <c r="TGF5" s="55"/>
      <c r="TGG5" s="55"/>
      <c r="TGH5" s="55"/>
      <c r="TGI5" s="55"/>
      <c r="TGJ5" s="55"/>
      <c r="TGK5" s="55"/>
      <c r="TGL5" s="55"/>
      <c r="TGM5" s="55"/>
      <c r="TGN5" s="55"/>
      <c r="TGO5" s="55"/>
      <c r="TGP5" s="55"/>
      <c r="TGQ5" s="55"/>
      <c r="TGR5" s="55"/>
      <c r="TGS5" s="55"/>
      <c r="TGT5" s="55"/>
      <c r="TGU5" s="55"/>
      <c r="TGV5" s="55"/>
      <c r="TGW5" s="55"/>
      <c r="TGX5" s="55"/>
      <c r="TGY5" s="55"/>
      <c r="TGZ5" s="55"/>
      <c r="THA5" s="55"/>
      <c r="THB5" s="55"/>
      <c r="THC5" s="55"/>
      <c r="THD5" s="55"/>
      <c r="THE5" s="55"/>
      <c r="THF5" s="55"/>
      <c r="THG5" s="55"/>
      <c r="THH5" s="55"/>
      <c r="THI5" s="55"/>
      <c r="THJ5" s="55"/>
      <c r="THK5" s="55"/>
      <c r="THL5" s="55"/>
      <c r="THM5" s="55"/>
      <c r="THN5" s="55"/>
      <c r="THO5" s="55"/>
      <c r="THP5" s="55"/>
      <c r="THQ5" s="55"/>
      <c r="THR5" s="55"/>
      <c r="THS5" s="55"/>
      <c r="THT5" s="55"/>
      <c r="THU5" s="55"/>
      <c r="THV5" s="55"/>
      <c r="THW5" s="55"/>
      <c r="THX5" s="55"/>
      <c r="THY5" s="55"/>
      <c r="THZ5" s="55"/>
      <c r="TIA5" s="55"/>
      <c r="TIB5" s="55"/>
      <c r="TIC5" s="55"/>
      <c r="TID5" s="55"/>
      <c r="TIE5" s="55"/>
      <c r="TIF5" s="55"/>
      <c r="TIG5" s="55"/>
      <c r="TIH5" s="55"/>
      <c r="TII5" s="55"/>
      <c r="TIJ5" s="55"/>
      <c r="TIK5" s="55"/>
      <c r="TIL5" s="55"/>
      <c r="TIM5" s="55"/>
      <c r="TIN5" s="55"/>
      <c r="TIO5" s="55"/>
      <c r="TIP5" s="55"/>
      <c r="TIQ5" s="55"/>
      <c r="TIR5" s="55"/>
      <c r="TIS5" s="55"/>
      <c r="TIT5" s="55"/>
      <c r="TIU5" s="55"/>
      <c r="TIV5" s="55"/>
      <c r="TIW5" s="55"/>
      <c r="TIX5" s="55"/>
      <c r="TIY5" s="55"/>
      <c r="TIZ5" s="55"/>
      <c r="TJA5" s="55"/>
      <c r="TJB5" s="55"/>
      <c r="TJC5" s="55"/>
      <c r="TJD5" s="55"/>
      <c r="TJE5" s="55"/>
      <c r="TJF5" s="55"/>
      <c r="TJG5" s="55"/>
      <c r="TJH5" s="55"/>
      <c r="TJI5" s="55"/>
      <c r="TJJ5" s="55"/>
      <c r="TJK5" s="55"/>
      <c r="TJL5" s="55"/>
      <c r="TJM5" s="55"/>
      <c r="TJN5" s="55"/>
      <c r="TJO5" s="55"/>
      <c r="TJP5" s="55"/>
      <c r="TJQ5" s="55"/>
      <c r="TJR5" s="55"/>
      <c r="TJS5" s="55"/>
      <c r="TJT5" s="55"/>
      <c r="TJU5" s="55"/>
      <c r="TJV5" s="55"/>
      <c r="TJW5" s="55"/>
      <c r="TJX5" s="55"/>
      <c r="TJY5" s="55"/>
      <c r="TJZ5" s="55"/>
      <c r="TKA5" s="55"/>
      <c r="TKB5" s="55"/>
      <c r="TKC5" s="55"/>
      <c r="TKD5" s="55"/>
      <c r="TKE5" s="55"/>
      <c r="TKF5" s="55"/>
      <c r="TKG5" s="55"/>
      <c r="TKH5" s="55"/>
      <c r="TKI5" s="55"/>
      <c r="TKJ5" s="55"/>
      <c r="TKK5" s="55"/>
      <c r="TKL5" s="55"/>
      <c r="TKM5" s="55"/>
      <c r="TKN5" s="55"/>
      <c r="TKO5" s="55"/>
      <c r="TKP5" s="55"/>
      <c r="TKQ5" s="55"/>
      <c r="TKR5" s="55"/>
      <c r="TKS5" s="55"/>
      <c r="TKT5" s="55"/>
      <c r="TKU5" s="55"/>
      <c r="TKV5" s="55"/>
      <c r="TKW5" s="55"/>
      <c r="TKX5" s="55"/>
      <c r="TKY5" s="55"/>
      <c r="TKZ5" s="55"/>
      <c r="TLA5" s="55"/>
      <c r="TLB5" s="55"/>
      <c r="TLC5" s="55"/>
      <c r="TLD5" s="55"/>
      <c r="TLE5" s="55"/>
      <c r="TLF5" s="55"/>
      <c r="TLG5" s="55"/>
      <c r="TLH5" s="55"/>
      <c r="TLI5" s="55"/>
      <c r="TLJ5" s="55"/>
      <c r="TLK5" s="55"/>
      <c r="TLL5" s="55"/>
      <c r="TLM5" s="55"/>
      <c r="TLN5" s="55"/>
      <c r="TLO5" s="55"/>
      <c r="TLP5" s="55"/>
      <c r="TLQ5" s="55"/>
      <c r="TLR5" s="55"/>
      <c r="TLS5" s="55"/>
      <c r="TLT5" s="55"/>
      <c r="TLU5" s="55"/>
      <c r="TLV5" s="55"/>
      <c r="TLW5" s="55"/>
      <c r="TLX5" s="55"/>
      <c r="TLY5" s="55"/>
      <c r="TLZ5" s="55"/>
      <c r="TMA5" s="55"/>
      <c r="TMB5" s="55"/>
      <c r="TMC5" s="55"/>
      <c r="TMD5" s="55"/>
      <c r="TME5" s="55"/>
      <c r="TMF5" s="55"/>
      <c r="TMG5" s="55"/>
      <c r="TMH5" s="55"/>
      <c r="TMI5" s="55"/>
      <c r="TMJ5" s="55"/>
      <c r="TMK5" s="55"/>
      <c r="TML5" s="55"/>
      <c r="TMM5" s="55"/>
      <c r="TMN5" s="55"/>
      <c r="TMO5" s="55"/>
      <c r="TMP5" s="55"/>
      <c r="TMQ5" s="55"/>
      <c r="TMR5" s="55"/>
      <c r="TMS5" s="55"/>
      <c r="TMT5" s="55"/>
      <c r="TMU5" s="55"/>
      <c r="TMV5" s="55"/>
      <c r="TMW5" s="55"/>
      <c r="TMX5" s="55"/>
      <c r="TMY5" s="55"/>
      <c r="TMZ5" s="55"/>
      <c r="TNA5" s="55"/>
      <c r="TNB5" s="55"/>
      <c r="TNC5" s="55"/>
      <c r="TND5" s="55"/>
      <c r="TNE5" s="55"/>
      <c r="TNF5" s="55"/>
      <c r="TNG5" s="55"/>
      <c r="TNH5" s="55"/>
      <c r="TNI5" s="55"/>
      <c r="TNJ5" s="55"/>
      <c r="TNK5" s="55"/>
      <c r="TNL5" s="55"/>
      <c r="TNM5" s="55"/>
      <c r="TNN5" s="55"/>
      <c r="TNO5" s="55"/>
      <c r="TNP5" s="55"/>
      <c r="TNQ5" s="55"/>
      <c r="TNR5" s="55"/>
      <c r="TNS5" s="55"/>
      <c r="TNT5" s="55"/>
      <c r="TNU5" s="55"/>
      <c r="TNV5" s="55"/>
      <c r="TNW5" s="55"/>
      <c r="TNX5" s="55"/>
      <c r="TNY5" s="55"/>
      <c r="TNZ5" s="55"/>
      <c r="TOA5" s="55"/>
      <c r="TOB5" s="55"/>
      <c r="TOC5" s="55"/>
      <c r="TOD5" s="55"/>
      <c r="TOE5" s="55"/>
      <c r="TOF5" s="55"/>
      <c r="TOG5" s="55"/>
      <c r="TOH5" s="55"/>
      <c r="TOI5" s="55"/>
      <c r="TOJ5" s="55"/>
      <c r="TOK5" s="55"/>
      <c r="TOL5" s="55"/>
      <c r="TOM5" s="55"/>
      <c r="TON5" s="55"/>
      <c r="TOO5" s="55"/>
      <c r="TOP5" s="55"/>
      <c r="TOQ5" s="55"/>
      <c r="TOR5" s="55"/>
      <c r="TOS5" s="55"/>
      <c r="TOT5" s="55"/>
      <c r="TOU5" s="55"/>
      <c r="TOV5" s="55"/>
      <c r="TOW5" s="55"/>
      <c r="TOX5" s="55"/>
      <c r="TOY5" s="55"/>
      <c r="TOZ5" s="55"/>
      <c r="TPA5" s="55"/>
      <c r="TPB5" s="55"/>
      <c r="TPC5" s="55"/>
      <c r="TPD5" s="55"/>
      <c r="TPE5" s="55"/>
      <c r="TPF5" s="55"/>
      <c r="TPG5" s="55"/>
      <c r="TPH5" s="55"/>
      <c r="TPI5" s="55"/>
      <c r="TPJ5" s="55"/>
      <c r="TPK5" s="55"/>
      <c r="TPL5" s="55"/>
      <c r="TPM5" s="55"/>
      <c r="TPN5" s="55"/>
      <c r="TPO5" s="55"/>
      <c r="TPP5" s="55"/>
      <c r="TPQ5" s="55"/>
      <c r="TPR5" s="55"/>
      <c r="TPS5" s="55"/>
      <c r="TPT5" s="55"/>
      <c r="TPU5" s="55"/>
      <c r="TPV5" s="55"/>
      <c r="TPW5" s="55"/>
      <c r="TPX5" s="55"/>
      <c r="TPY5" s="55"/>
      <c r="TPZ5" s="55"/>
      <c r="TQA5" s="55"/>
      <c r="TQB5" s="55"/>
      <c r="TQC5" s="55"/>
      <c r="TQD5" s="55"/>
      <c r="TQE5" s="55"/>
      <c r="TQF5" s="55"/>
      <c r="TQG5" s="55"/>
      <c r="TQH5" s="55"/>
      <c r="TQI5" s="55"/>
      <c r="TQJ5" s="55"/>
      <c r="TQK5" s="55"/>
      <c r="TQL5" s="55"/>
      <c r="TQM5" s="55"/>
      <c r="TQN5" s="55"/>
      <c r="TQO5" s="55"/>
      <c r="TQP5" s="55"/>
      <c r="TQQ5" s="55"/>
      <c r="TQR5" s="55"/>
      <c r="TQS5" s="55"/>
      <c r="TQT5" s="55"/>
      <c r="TQU5" s="55"/>
      <c r="TQV5" s="55"/>
      <c r="TQW5" s="55"/>
      <c r="TQX5" s="55"/>
      <c r="TQY5" s="55"/>
      <c r="TQZ5" s="55"/>
      <c r="TRA5" s="55"/>
      <c r="TRB5" s="55"/>
      <c r="TRC5" s="55"/>
      <c r="TRD5" s="55"/>
      <c r="TRE5" s="55"/>
      <c r="TRF5" s="55"/>
      <c r="TRG5" s="55"/>
      <c r="TRH5" s="55"/>
      <c r="TRI5" s="55"/>
      <c r="TRJ5" s="55"/>
      <c r="TRK5" s="55"/>
      <c r="TRL5" s="55"/>
      <c r="TRM5" s="55"/>
      <c r="TRN5" s="55"/>
      <c r="TRO5" s="55"/>
      <c r="TRP5" s="55"/>
      <c r="TRQ5" s="55"/>
      <c r="TRR5" s="55"/>
      <c r="TRS5" s="55"/>
      <c r="TRT5" s="55"/>
      <c r="TRU5" s="55"/>
      <c r="TRV5" s="55"/>
      <c r="TRW5" s="55"/>
      <c r="TRX5" s="55"/>
      <c r="TRY5" s="55"/>
      <c r="TRZ5" s="55"/>
      <c r="TSA5" s="55"/>
      <c r="TSB5" s="55"/>
      <c r="TSC5" s="55"/>
      <c r="TSD5" s="55"/>
      <c r="TSE5" s="55"/>
      <c r="TSF5" s="55"/>
      <c r="TSG5" s="55"/>
      <c r="TSH5" s="55"/>
      <c r="TSI5" s="55"/>
      <c r="TSJ5" s="55"/>
      <c r="TSK5" s="55"/>
      <c r="TSL5" s="55"/>
      <c r="TSM5" s="55"/>
      <c r="TSN5" s="55"/>
      <c r="TSO5" s="55"/>
      <c r="TSP5" s="55"/>
      <c r="TSQ5" s="55"/>
      <c r="TSR5" s="55"/>
      <c r="TSS5" s="55"/>
      <c r="TST5" s="55"/>
      <c r="TSU5" s="55"/>
      <c r="TSV5" s="55"/>
      <c r="TSW5" s="55"/>
      <c r="TSX5" s="55"/>
      <c r="TSY5" s="55"/>
      <c r="TSZ5" s="55"/>
      <c r="TTA5" s="55"/>
      <c r="TTB5" s="55"/>
      <c r="TTC5" s="55"/>
      <c r="TTD5" s="55"/>
      <c r="TTE5" s="55"/>
      <c r="TTF5" s="55"/>
      <c r="TTG5" s="55"/>
      <c r="TTH5" s="55"/>
      <c r="TTI5" s="55"/>
      <c r="TTJ5" s="55"/>
      <c r="TTK5" s="55"/>
      <c r="TTL5" s="55"/>
      <c r="TTM5" s="55"/>
      <c r="TTN5" s="55"/>
      <c r="TTO5" s="55"/>
      <c r="TTP5" s="55"/>
      <c r="TTQ5" s="55"/>
      <c r="TTR5" s="55"/>
      <c r="TTS5" s="55"/>
      <c r="TTT5" s="55"/>
      <c r="TTU5" s="55"/>
      <c r="TTV5" s="55"/>
      <c r="TTW5" s="55"/>
      <c r="TTX5" s="55"/>
      <c r="TTY5" s="55"/>
      <c r="TTZ5" s="55"/>
      <c r="TUA5" s="55"/>
      <c r="TUB5" s="55"/>
      <c r="TUC5" s="55"/>
      <c r="TUD5" s="55"/>
      <c r="TUE5" s="55"/>
      <c r="TUF5" s="55"/>
      <c r="TUG5" s="55"/>
      <c r="TUH5" s="55"/>
      <c r="TUI5" s="55"/>
      <c r="TUJ5" s="55"/>
      <c r="TUK5" s="55"/>
      <c r="TUL5" s="55"/>
      <c r="TUM5" s="55"/>
      <c r="TUN5" s="55"/>
      <c r="TUO5" s="55"/>
      <c r="TUP5" s="55"/>
      <c r="TUQ5" s="55"/>
      <c r="TUR5" s="55"/>
      <c r="TUS5" s="55"/>
      <c r="TUT5" s="55"/>
      <c r="TUU5" s="55"/>
      <c r="TUV5" s="55"/>
      <c r="TUW5" s="55"/>
      <c r="TUX5" s="55"/>
      <c r="TUY5" s="55"/>
      <c r="TUZ5" s="55"/>
      <c r="TVA5" s="55"/>
      <c r="TVB5" s="55"/>
      <c r="TVC5" s="55"/>
      <c r="TVD5" s="55"/>
      <c r="TVE5" s="55"/>
      <c r="TVF5" s="55"/>
      <c r="TVG5" s="55"/>
      <c r="TVH5" s="55"/>
      <c r="TVI5" s="55"/>
      <c r="TVJ5" s="55"/>
      <c r="TVK5" s="55"/>
      <c r="TVL5" s="55"/>
      <c r="TVM5" s="55"/>
      <c r="TVN5" s="55"/>
      <c r="TVO5" s="55"/>
      <c r="TVP5" s="55"/>
      <c r="TVQ5" s="55"/>
      <c r="TVR5" s="55"/>
      <c r="TVS5" s="55"/>
      <c r="TVT5" s="55"/>
      <c r="TVU5" s="55"/>
      <c r="TVV5" s="55"/>
      <c r="TVW5" s="55"/>
      <c r="TVX5" s="55"/>
      <c r="TVY5" s="55"/>
      <c r="TVZ5" s="55"/>
      <c r="TWA5" s="55"/>
      <c r="TWB5" s="55"/>
      <c r="TWC5" s="55"/>
      <c r="TWD5" s="55"/>
      <c r="TWE5" s="55"/>
      <c r="TWF5" s="55"/>
      <c r="TWG5" s="55"/>
      <c r="TWH5" s="55"/>
      <c r="TWI5" s="55"/>
      <c r="TWJ5" s="55"/>
      <c r="TWK5" s="55"/>
      <c r="TWL5" s="55"/>
      <c r="TWM5" s="55"/>
      <c r="TWN5" s="55"/>
      <c r="TWO5" s="55"/>
      <c r="TWP5" s="55"/>
      <c r="TWQ5" s="55"/>
      <c r="TWR5" s="55"/>
      <c r="TWS5" s="55"/>
      <c r="TWT5" s="55"/>
      <c r="TWU5" s="55"/>
      <c r="TWV5" s="55"/>
      <c r="TWW5" s="55"/>
      <c r="TWX5" s="55"/>
      <c r="TWY5" s="55"/>
      <c r="TWZ5" s="55"/>
      <c r="TXA5" s="55"/>
      <c r="TXB5" s="55"/>
      <c r="TXC5" s="55"/>
      <c r="TXD5" s="55"/>
      <c r="TXE5" s="55"/>
      <c r="TXF5" s="55"/>
      <c r="TXG5" s="55"/>
      <c r="TXH5" s="55"/>
      <c r="TXI5" s="55"/>
      <c r="TXJ5" s="55"/>
      <c r="TXK5" s="55"/>
      <c r="TXL5" s="55"/>
      <c r="TXM5" s="55"/>
      <c r="TXN5" s="55"/>
      <c r="TXO5" s="55"/>
      <c r="TXP5" s="55"/>
      <c r="TXQ5" s="55"/>
      <c r="TXR5" s="55"/>
      <c r="TXS5" s="55"/>
      <c r="TXT5" s="55"/>
      <c r="TXU5" s="55"/>
      <c r="TXV5" s="55"/>
      <c r="TXW5" s="55"/>
      <c r="TXX5" s="55"/>
      <c r="TXY5" s="55"/>
      <c r="TXZ5" s="55"/>
      <c r="TYA5" s="55"/>
      <c r="TYB5" s="55"/>
      <c r="TYC5" s="55"/>
      <c r="TYD5" s="55"/>
      <c r="TYE5" s="55"/>
      <c r="TYF5" s="55"/>
      <c r="TYG5" s="55"/>
      <c r="TYH5" s="55"/>
      <c r="TYI5" s="55"/>
      <c r="TYJ5" s="55"/>
      <c r="TYK5" s="55"/>
      <c r="TYL5" s="55"/>
      <c r="TYM5" s="55"/>
      <c r="TYN5" s="55"/>
      <c r="TYO5" s="55"/>
      <c r="TYP5" s="55"/>
      <c r="TYQ5" s="55"/>
      <c r="TYR5" s="55"/>
      <c r="TYS5" s="55"/>
      <c r="TYT5" s="55"/>
      <c r="TYU5" s="55"/>
      <c r="TYV5" s="55"/>
      <c r="TYW5" s="55"/>
      <c r="TYX5" s="55"/>
      <c r="TYY5" s="55"/>
      <c r="TYZ5" s="55"/>
      <c r="TZA5" s="55"/>
      <c r="TZB5" s="55"/>
      <c r="TZC5" s="55"/>
      <c r="TZD5" s="55"/>
      <c r="TZE5" s="55"/>
      <c r="TZF5" s="55"/>
      <c r="TZG5" s="55"/>
      <c r="TZH5" s="55"/>
      <c r="TZI5" s="55"/>
      <c r="TZJ5" s="55"/>
      <c r="TZK5" s="55"/>
      <c r="TZL5" s="55"/>
      <c r="TZM5" s="55"/>
      <c r="TZN5" s="55"/>
      <c r="TZO5" s="55"/>
      <c r="TZP5" s="55"/>
      <c r="TZQ5" s="55"/>
      <c r="TZR5" s="55"/>
      <c r="TZS5" s="55"/>
      <c r="TZT5" s="55"/>
      <c r="TZU5" s="55"/>
      <c r="TZV5" s="55"/>
      <c r="TZW5" s="55"/>
      <c r="TZX5" s="55"/>
      <c r="TZY5" s="55"/>
      <c r="TZZ5" s="55"/>
      <c r="UAA5" s="55"/>
      <c r="UAB5" s="55"/>
      <c r="UAC5" s="55"/>
      <c r="UAD5" s="55"/>
      <c r="UAE5" s="55"/>
      <c r="UAF5" s="55"/>
      <c r="UAG5" s="55"/>
      <c r="UAH5" s="55"/>
      <c r="UAI5" s="55"/>
      <c r="UAJ5" s="55"/>
      <c r="UAK5" s="55"/>
      <c r="UAL5" s="55"/>
      <c r="UAM5" s="55"/>
      <c r="UAN5" s="55"/>
      <c r="UAO5" s="55"/>
      <c r="UAP5" s="55"/>
      <c r="UAQ5" s="55"/>
      <c r="UAR5" s="55"/>
      <c r="UAS5" s="55"/>
      <c r="UAT5" s="55"/>
      <c r="UAU5" s="55"/>
      <c r="UAV5" s="55"/>
      <c r="UAW5" s="55"/>
      <c r="UAX5" s="55"/>
      <c r="UAY5" s="55"/>
      <c r="UAZ5" s="55"/>
      <c r="UBA5" s="55"/>
      <c r="UBB5" s="55"/>
      <c r="UBC5" s="55"/>
      <c r="UBD5" s="55"/>
      <c r="UBE5" s="55"/>
      <c r="UBF5" s="55"/>
      <c r="UBG5" s="55"/>
      <c r="UBH5" s="55"/>
      <c r="UBI5" s="55"/>
      <c r="UBJ5" s="55"/>
      <c r="UBK5" s="55"/>
      <c r="UBL5" s="55"/>
      <c r="UBM5" s="55"/>
      <c r="UBN5" s="55"/>
      <c r="UBO5" s="55"/>
      <c r="UBP5" s="55"/>
      <c r="UBQ5" s="55"/>
      <c r="UBR5" s="55"/>
      <c r="UBS5" s="55"/>
      <c r="UBT5" s="55"/>
      <c r="UBU5" s="55"/>
      <c r="UBV5" s="55"/>
      <c r="UBW5" s="55"/>
      <c r="UBX5" s="55"/>
      <c r="UBY5" s="55"/>
      <c r="UBZ5" s="55"/>
      <c r="UCA5" s="55"/>
      <c r="UCB5" s="55"/>
      <c r="UCC5" s="55"/>
      <c r="UCD5" s="55"/>
      <c r="UCE5" s="55"/>
      <c r="UCF5" s="55"/>
      <c r="UCG5" s="55"/>
      <c r="UCH5" s="55"/>
      <c r="UCI5" s="55"/>
      <c r="UCJ5" s="55"/>
      <c r="UCK5" s="55"/>
      <c r="UCL5" s="55"/>
      <c r="UCM5" s="55"/>
      <c r="UCN5" s="55"/>
      <c r="UCO5" s="55"/>
      <c r="UCP5" s="55"/>
      <c r="UCQ5" s="55"/>
      <c r="UCR5" s="55"/>
      <c r="UCS5" s="55"/>
      <c r="UCT5" s="55"/>
      <c r="UCU5" s="55"/>
      <c r="UCV5" s="55"/>
      <c r="UCW5" s="55"/>
      <c r="UCX5" s="55"/>
      <c r="UCY5" s="55"/>
      <c r="UCZ5" s="55"/>
      <c r="UDA5" s="55"/>
      <c r="UDB5" s="55"/>
      <c r="UDC5" s="55"/>
      <c r="UDD5" s="55"/>
      <c r="UDE5" s="55"/>
      <c r="UDF5" s="55"/>
      <c r="UDG5" s="55"/>
      <c r="UDH5" s="55"/>
      <c r="UDI5" s="55"/>
      <c r="UDJ5" s="55"/>
      <c r="UDK5" s="55"/>
      <c r="UDL5" s="55"/>
      <c r="UDM5" s="55"/>
      <c r="UDN5" s="55"/>
      <c r="UDO5" s="55"/>
      <c r="UDP5" s="55"/>
      <c r="UDQ5" s="55"/>
      <c r="UDR5" s="55"/>
      <c r="UDS5" s="55"/>
      <c r="UDT5" s="55"/>
      <c r="UDU5" s="55"/>
      <c r="UDV5" s="55"/>
      <c r="UDW5" s="55"/>
      <c r="UDX5" s="55"/>
      <c r="UDY5" s="55"/>
      <c r="UDZ5" s="55"/>
      <c r="UEA5" s="55"/>
      <c r="UEB5" s="55"/>
      <c r="UEC5" s="55"/>
      <c r="UED5" s="55"/>
      <c r="UEE5" s="55"/>
      <c r="UEF5" s="55"/>
      <c r="UEG5" s="55"/>
      <c r="UEH5" s="55"/>
      <c r="UEI5" s="55"/>
      <c r="UEJ5" s="55"/>
      <c r="UEK5" s="55"/>
      <c r="UEL5" s="55"/>
      <c r="UEM5" s="55"/>
      <c r="UEN5" s="55"/>
      <c r="UEO5" s="55"/>
      <c r="UEP5" s="55"/>
      <c r="UEQ5" s="55"/>
      <c r="UER5" s="55"/>
      <c r="UES5" s="55"/>
      <c r="UET5" s="55"/>
      <c r="UEU5" s="55"/>
      <c r="UEV5" s="55"/>
      <c r="UEW5" s="55"/>
      <c r="UEX5" s="55"/>
      <c r="UEY5" s="55"/>
      <c r="UEZ5" s="55"/>
      <c r="UFA5" s="55"/>
      <c r="UFB5" s="55"/>
      <c r="UFC5" s="55"/>
      <c r="UFD5" s="55"/>
      <c r="UFE5" s="55"/>
      <c r="UFF5" s="55"/>
      <c r="UFG5" s="55"/>
      <c r="UFH5" s="55"/>
      <c r="UFI5" s="55"/>
      <c r="UFJ5" s="55"/>
      <c r="UFK5" s="55"/>
      <c r="UFL5" s="55"/>
      <c r="UFM5" s="55"/>
      <c r="UFN5" s="55"/>
      <c r="UFO5" s="55"/>
      <c r="UFP5" s="55"/>
      <c r="UFQ5" s="55"/>
      <c r="UFR5" s="55"/>
      <c r="UFS5" s="55"/>
      <c r="UFT5" s="55"/>
      <c r="UFU5" s="55"/>
      <c r="UFV5" s="55"/>
      <c r="UFW5" s="55"/>
      <c r="UFX5" s="55"/>
      <c r="UFY5" s="55"/>
      <c r="UFZ5" s="55"/>
      <c r="UGA5" s="55"/>
      <c r="UGB5" s="55"/>
      <c r="UGC5" s="55"/>
      <c r="UGD5" s="55"/>
      <c r="UGE5" s="55"/>
      <c r="UGF5" s="55"/>
      <c r="UGG5" s="55"/>
      <c r="UGH5" s="55"/>
      <c r="UGI5" s="55"/>
      <c r="UGJ5" s="55"/>
      <c r="UGK5" s="55"/>
      <c r="UGL5" s="55"/>
      <c r="UGM5" s="55"/>
      <c r="UGN5" s="55"/>
      <c r="UGO5" s="55"/>
      <c r="UGP5" s="55"/>
      <c r="UGQ5" s="55"/>
      <c r="UGR5" s="55"/>
      <c r="UGS5" s="55"/>
      <c r="UGT5" s="55"/>
      <c r="UGU5" s="55"/>
      <c r="UGV5" s="55"/>
      <c r="UGW5" s="55"/>
      <c r="UGX5" s="55"/>
      <c r="UGY5" s="55"/>
      <c r="UGZ5" s="55"/>
      <c r="UHA5" s="55"/>
      <c r="UHB5" s="55"/>
      <c r="UHC5" s="55"/>
      <c r="UHD5" s="55"/>
      <c r="UHE5" s="55"/>
      <c r="UHF5" s="55"/>
      <c r="UHG5" s="55"/>
      <c r="UHH5" s="55"/>
      <c r="UHI5" s="55"/>
      <c r="UHJ5" s="55"/>
      <c r="UHK5" s="55"/>
      <c r="UHL5" s="55"/>
      <c r="UHM5" s="55"/>
      <c r="UHN5" s="55"/>
      <c r="UHO5" s="55"/>
      <c r="UHP5" s="55"/>
      <c r="UHQ5" s="55"/>
      <c r="UHR5" s="55"/>
      <c r="UHS5" s="55"/>
      <c r="UHT5" s="55"/>
      <c r="UHU5" s="55"/>
      <c r="UHV5" s="55"/>
      <c r="UHW5" s="55"/>
      <c r="UHX5" s="55"/>
      <c r="UHY5" s="55"/>
      <c r="UHZ5" s="55"/>
      <c r="UIA5" s="55"/>
      <c r="UIB5" s="55"/>
      <c r="UIC5" s="55"/>
      <c r="UID5" s="55"/>
      <c r="UIE5" s="55"/>
      <c r="UIF5" s="55"/>
      <c r="UIG5" s="55"/>
      <c r="UIH5" s="55"/>
      <c r="UII5" s="55"/>
      <c r="UIJ5" s="55"/>
      <c r="UIK5" s="55"/>
      <c r="UIL5" s="55"/>
      <c r="UIM5" s="55"/>
      <c r="UIN5" s="55"/>
      <c r="UIO5" s="55"/>
      <c r="UIP5" s="55"/>
      <c r="UIQ5" s="55"/>
      <c r="UIR5" s="55"/>
      <c r="UIS5" s="55"/>
      <c r="UIT5" s="55"/>
      <c r="UIU5" s="55"/>
      <c r="UIV5" s="55"/>
      <c r="UIW5" s="55"/>
      <c r="UIX5" s="55"/>
      <c r="UIY5" s="55"/>
      <c r="UIZ5" s="55"/>
      <c r="UJA5" s="55"/>
      <c r="UJB5" s="55"/>
      <c r="UJC5" s="55"/>
      <c r="UJD5" s="55"/>
      <c r="UJE5" s="55"/>
      <c r="UJF5" s="55"/>
      <c r="UJG5" s="55"/>
      <c r="UJH5" s="55"/>
      <c r="UJI5" s="55"/>
      <c r="UJJ5" s="55"/>
      <c r="UJK5" s="55"/>
      <c r="UJL5" s="55"/>
      <c r="UJM5" s="55"/>
      <c r="UJN5" s="55"/>
      <c r="UJO5" s="55"/>
      <c r="UJP5" s="55"/>
      <c r="UJQ5" s="55"/>
      <c r="UJR5" s="55"/>
      <c r="UJS5" s="55"/>
      <c r="UJT5" s="55"/>
      <c r="UJU5" s="55"/>
      <c r="UJV5" s="55"/>
      <c r="UJW5" s="55"/>
      <c r="UJX5" s="55"/>
      <c r="UJY5" s="55"/>
      <c r="UJZ5" s="55"/>
      <c r="UKA5" s="55"/>
      <c r="UKB5" s="55"/>
      <c r="UKC5" s="55"/>
      <c r="UKD5" s="55"/>
      <c r="UKE5" s="55"/>
      <c r="UKF5" s="55"/>
      <c r="UKG5" s="55"/>
      <c r="UKH5" s="55"/>
      <c r="UKI5" s="55"/>
      <c r="UKJ5" s="55"/>
      <c r="UKK5" s="55"/>
      <c r="UKL5" s="55"/>
      <c r="UKM5" s="55"/>
      <c r="UKN5" s="55"/>
      <c r="UKO5" s="55"/>
      <c r="UKP5" s="55"/>
      <c r="UKQ5" s="55"/>
      <c r="UKR5" s="55"/>
      <c r="UKS5" s="55"/>
      <c r="UKT5" s="55"/>
      <c r="UKU5" s="55"/>
      <c r="UKV5" s="55"/>
      <c r="UKW5" s="55"/>
      <c r="UKX5" s="55"/>
      <c r="UKY5" s="55"/>
      <c r="UKZ5" s="55"/>
      <c r="ULA5" s="55"/>
      <c r="ULB5" s="55"/>
      <c r="ULC5" s="55"/>
      <c r="ULD5" s="55"/>
      <c r="ULE5" s="55"/>
      <c r="ULF5" s="55"/>
      <c r="ULG5" s="55"/>
      <c r="ULH5" s="55"/>
      <c r="ULI5" s="55"/>
      <c r="ULJ5" s="55"/>
      <c r="ULK5" s="55"/>
      <c r="ULL5" s="55"/>
      <c r="ULM5" s="55"/>
      <c r="ULN5" s="55"/>
      <c r="ULO5" s="55"/>
      <c r="ULP5" s="55"/>
      <c r="ULQ5" s="55"/>
      <c r="ULR5" s="55"/>
      <c r="ULS5" s="55"/>
      <c r="ULT5" s="55"/>
      <c r="ULU5" s="55"/>
      <c r="ULV5" s="55"/>
      <c r="ULW5" s="55"/>
      <c r="ULX5" s="55"/>
      <c r="ULY5" s="55"/>
      <c r="ULZ5" s="55"/>
      <c r="UMA5" s="55"/>
      <c r="UMB5" s="55"/>
      <c r="UMC5" s="55"/>
      <c r="UMD5" s="55"/>
      <c r="UME5" s="55"/>
      <c r="UMF5" s="55"/>
      <c r="UMG5" s="55"/>
      <c r="UMH5" s="55"/>
      <c r="UMI5" s="55"/>
      <c r="UMJ5" s="55"/>
      <c r="UMK5" s="55"/>
      <c r="UML5" s="55"/>
      <c r="UMM5" s="55"/>
      <c r="UMN5" s="55"/>
      <c r="UMO5" s="55"/>
      <c r="UMP5" s="55"/>
      <c r="UMQ5" s="55"/>
      <c r="UMR5" s="55"/>
      <c r="UMS5" s="55"/>
      <c r="UMT5" s="55"/>
      <c r="UMU5" s="55"/>
      <c r="UMV5" s="55"/>
      <c r="UMW5" s="55"/>
      <c r="UMX5" s="55"/>
      <c r="UMY5" s="55"/>
      <c r="UMZ5" s="55"/>
      <c r="UNA5" s="55"/>
      <c r="UNB5" s="55"/>
      <c r="UNC5" s="55"/>
      <c r="UND5" s="55"/>
      <c r="UNE5" s="55"/>
      <c r="UNF5" s="55"/>
      <c r="UNG5" s="55"/>
      <c r="UNH5" s="55"/>
      <c r="UNI5" s="55"/>
      <c r="UNJ5" s="55"/>
      <c r="UNK5" s="55"/>
      <c r="UNL5" s="55"/>
      <c r="UNM5" s="55"/>
      <c r="UNN5" s="55"/>
      <c r="UNO5" s="55"/>
      <c r="UNP5" s="55"/>
      <c r="UNQ5" s="55"/>
      <c r="UNR5" s="55"/>
      <c r="UNS5" s="55"/>
      <c r="UNT5" s="55"/>
      <c r="UNU5" s="55"/>
      <c r="UNV5" s="55"/>
      <c r="UNW5" s="55"/>
      <c r="UNX5" s="55"/>
      <c r="UNY5" s="55"/>
      <c r="UNZ5" s="55"/>
      <c r="UOA5" s="55"/>
      <c r="UOB5" s="55"/>
      <c r="UOC5" s="55"/>
      <c r="UOD5" s="55"/>
      <c r="UOE5" s="55"/>
      <c r="UOF5" s="55"/>
      <c r="UOG5" s="55"/>
      <c r="UOH5" s="55"/>
      <c r="UOI5" s="55"/>
      <c r="UOJ5" s="55"/>
      <c r="UOK5" s="55"/>
      <c r="UOL5" s="55"/>
      <c r="UOM5" s="55"/>
      <c r="UON5" s="55"/>
      <c r="UOO5" s="55"/>
      <c r="UOP5" s="55"/>
      <c r="UOQ5" s="55"/>
      <c r="UOR5" s="55"/>
      <c r="UOS5" s="55"/>
      <c r="UOT5" s="55"/>
      <c r="UOU5" s="55"/>
      <c r="UOV5" s="55"/>
      <c r="UOW5" s="55"/>
      <c r="UOX5" s="55"/>
      <c r="UOY5" s="55"/>
      <c r="UOZ5" s="55"/>
      <c r="UPA5" s="55"/>
      <c r="UPB5" s="55"/>
      <c r="UPC5" s="55"/>
      <c r="UPD5" s="55"/>
      <c r="UPE5" s="55"/>
      <c r="UPF5" s="55"/>
      <c r="UPG5" s="55"/>
      <c r="UPH5" s="55"/>
      <c r="UPI5" s="55"/>
      <c r="UPJ5" s="55"/>
      <c r="UPK5" s="55"/>
      <c r="UPL5" s="55"/>
      <c r="UPM5" s="55"/>
      <c r="UPN5" s="55"/>
      <c r="UPO5" s="55"/>
      <c r="UPP5" s="55"/>
      <c r="UPQ5" s="55"/>
      <c r="UPR5" s="55"/>
      <c r="UPS5" s="55"/>
      <c r="UPT5" s="55"/>
      <c r="UPU5" s="55"/>
      <c r="UPV5" s="55"/>
      <c r="UPW5" s="55"/>
      <c r="UPX5" s="55"/>
      <c r="UPY5" s="55"/>
      <c r="UPZ5" s="55"/>
      <c r="UQA5" s="55"/>
      <c r="UQB5" s="55"/>
      <c r="UQC5" s="55"/>
      <c r="UQD5" s="55"/>
      <c r="UQE5" s="55"/>
      <c r="UQF5" s="55"/>
      <c r="UQG5" s="55"/>
      <c r="UQH5" s="55"/>
      <c r="UQI5" s="55"/>
      <c r="UQJ5" s="55"/>
      <c r="UQK5" s="55"/>
      <c r="UQL5" s="55"/>
      <c r="UQM5" s="55"/>
      <c r="UQN5" s="55"/>
      <c r="UQO5" s="55"/>
      <c r="UQP5" s="55"/>
      <c r="UQQ5" s="55"/>
      <c r="UQR5" s="55"/>
      <c r="UQS5" s="55"/>
      <c r="UQT5" s="55"/>
      <c r="UQU5" s="55"/>
      <c r="UQV5" s="55"/>
      <c r="UQW5" s="55"/>
      <c r="UQX5" s="55"/>
      <c r="UQY5" s="55"/>
      <c r="UQZ5" s="55"/>
      <c r="URA5" s="55"/>
      <c r="URB5" s="55"/>
      <c r="URC5" s="55"/>
      <c r="URD5" s="55"/>
      <c r="URE5" s="55"/>
      <c r="URF5" s="55"/>
      <c r="URG5" s="55"/>
      <c r="URH5" s="55"/>
      <c r="URI5" s="55"/>
      <c r="URJ5" s="55"/>
      <c r="URK5" s="55"/>
      <c r="URL5" s="55"/>
      <c r="URM5" s="55"/>
      <c r="URN5" s="55"/>
      <c r="URO5" s="55"/>
      <c r="URP5" s="55"/>
      <c r="URQ5" s="55"/>
      <c r="URR5" s="55"/>
      <c r="URS5" s="55"/>
      <c r="URT5" s="55"/>
      <c r="URU5" s="55"/>
      <c r="URV5" s="55"/>
      <c r="URW5" s="55"/>
      <c r="URX5" s="55"/>
      <c r="URY5" s="55"/>
      <c r="URZ5" s="55"/>
      <c r="USA5" s="55"/>
      <c r="USB5" s="55"/>
      <c r="USC5" s="55"/>
      <c r="USD5" s="55"/>
      <c r="USE5" s="55"/>
      <c r="USF5" s="55"/>
      <c r="USG5" s="55"/>
      <c r="USH5" s="55"/>
      <c r="USI5" s="55"/>
      <c r="USJ5" s="55"/>
      <c r="USK5" s="55"/>
      <c r="USL5" s="55"/>
      <c r="USM5" s="55"/>
      <c r="USN5" s="55"/>
      <c r="USO5" s="55"/>
      <c r="USP5" s="55"/>
      <c r="USQ5" s="55"/>
      <c r="USR5" s="55"/>
      <c r="USS5" s="55"/>
      <c r="UST5" s="55"/>
      <c r="USU5" s="55"/>
      <c r="USV5" s="55"/>
      <c r="USW5" s="55"/>
      <c r="USX5" s="55"/>
      <c r="USY5" s="55"/>
      <c r="USZ5" s="55"/>
      <c r="UTA5" s="55"/>
      <c r="UTB5" s="55"/>
      <c r="UTC5" s="55"/>
      <c r="UTD5" s="55"/>
      <c r="UTE5" s="55"/>
      <c r="UTF5" s="55"/>
      <c r="UTG5" s="55"/>
      <c r="UTH5" s="55"/>
      <c r="UTI5" s="55"/>
      <c r="UTJ5" s="55"/>
      <c r="UTK5" s="55"/>
      <c r="UTL5" s="55"/>
      <c r="UTM5" s="55"/>
      <c r="UTN5" s="55"/>
      <c r="UTO5" s="55"/>
      <c r="UTP5" s="55"/>
      <c r="UTQ5" s="55"/>
      <c r="UTR5" s="55"/>
      <c r="UTS5" s="55"/>
      <c r="UTT5" s="55"/>
      <c r="UTU5" s="55"/>
      <c r="UTV5" s="55"/>
      <c r="UTW5" s="55"/>
      <c r="UTX5" s="55"/>
      <c r="UTY5" s="55"/>
      <c r="UTZ5" s="55"/>
      <c r="UUA5" s="55"/>
      <c r="UUB5" s="55"/>
      <c r="UUC5" s="55"/>
      <c r="UUD5" s="55"/>
      <c r="UUE5" s="55"/>
      <c r="UUF5" s="55"/>
      <c r="UUG5" s="55"/>
      <c r="UUH5" s="55"/>
      <c r="UUI5" s="55"/>
      <c r="UUJ5" s="55"/>
      <c r="UUK5" s="55"/>
      <c r="UUL5" s="55"/>
      <c r="UUM5" s="55"/>
      <c r="UUN5" s="55"/>
      <c r="UUO5" s="55"/>
      <c r="UUP5" s="55"/>
      <c r="UUQ5" s="55"/>
      <c r="UUR5" s="55"/>
      <c r="UUS5" s="55"/>
      <c r="UUT5" s="55"/>
      <c r="UUU5" s="55"/>
      <c r="UUV5" s="55"/>
      <c r="UUW5" s="55"/>
      <c r="UUX5" s="55"/>
      <c r="UUY5" s="55"/>
      <c r="UUZ5" s="55"/>
      <c r="UVA5" s="55"/>
      <c r="UVB5" s="55"/>
      <c r="UVC5" s="55"/>
      <c r="UVD5" s="55"/>
      <c r="UVE5" s="55"/>
      <c r="UVF5" s="55"/>
      <c r="UVG5" s="55"/>
      <c r="UVH5" s="55"/>
      <c r="UVI5" s="55"/>
      <c r="UVJ5" s="55"/>
      <c r="UVK5" s="55"/>
      <c r="UVL5" s="55"/>
      <c r="UVM5" s="55"/>
      <c r="UVN5" s="55"/>
      <c r="UVO5" s="55"/>
      <c r="UVP5" s="55"/>
      <c r="UVQ5" s="55"/>
      <c r="UVR5" s="55"/>
      <c r="UVS5" s="55"/>
      <c r="UVT5" s="55"/>
      <c r="UVU5" s="55"/>
      <c r="UVV5" s="55"/>
      <c r="UVW5" s="55"/>
      <c r="UVX5" s="55"/>
      <c r="UVY5" s="55"/>
      <c r="UVZ5" s="55"/>
      <c r="UWA5" s="55"/>
      <c r="UWB5" s="55"/>
      <c r="UWC5" s="55"/>
      <c r="UWD5" s="55"/>
      <c r="UWE5" s="55"/>
      <c r="UWF5" s="55"/>
      <c r="UWG5" s="55"/>
      <c r="UWH5" s="55"/>
      <c r="UWI5" s="55"/>
      <c r="UWJ5" s="55"/>
      <c r="UWK5" s="55"/>
      <c r="UWL5" s="55"/>
      <c r="UWM5" s="55"/>
      <c r="UWN5" s="55"/>
      <c r="UWO5" s="55"/>
      <c r="UWP5" s="55"/>
      <c r="UWQ5" s="55"/>
      <c r="UWR5" s="55"/>
      <c r="UWS5" s="55"/>
      <c r="UWT5" s="55"/>
      <c r="UWU5" s="55"/>
      <c r="UWV5" s="55"/>
      <c r="UWW5" s="55"/>
      <c r="UWX5" s="55"/>
      <c r="UWY5" s="55"/>
      <c r="UWZ5" s="55"/>
      <c r="UXA5" s="55"/>
      <c r="UXB5" s="55"/>
      <c r="UXC5" s="55"/>
      <c r="UXD5" s="55"/>
      <c r="UXE5" s="55"/>
      <c r="UXF5" s="55"/>
      <c r="UXG5" s="55"/>
      <c r="UXH5" s="55"/>
      <c r="UXI5" s="55"/>
      <c r="UXJ5" s="55"/>
      <c r="UXK5" s="55"/>
      <c r="UXL5" s="55"/>
      <c r="UXM5" s="55"/>
      <c r="UXN5" s="55"/>
      <c r="UXO5" s="55"/>
      <c r="UXP5" s="55"/>
      <c r="UXQ5" s="55"/>
      <c r="UXR5" s="55"/>
      <c r="UXS5" s="55"/>
      <c r="UXT5" s="55"/>
      <c r="UXU5" s="55"/>
      <c r="UXV5" s="55"/>
      <c r="UXW5" s="55"/>
      <c r="UXX5" s="55"/>
      <c r="UXY5" s="55"/>
      <c r="UXZ5" s="55"/>
      <c r="UYA5" s="55"/>
      <c r="UYB5" s="55"/>
      <c r="UYC5" s="55"/>
      <c r="UYD5" s="55"/>
      <c r="UYE5" s="55"/>
      <c r="UYF5" s="55"/>
      <c r="UYG5" s="55"/>
      <c r="UYH5" s="55"/>
      <c r="UYI5" s="55"/>
      <c r="UYJ5" s="55"/>
      <c r="UYK5" s="55"/>
      <c r="UYL5" s="55"/>
      <c r="UYM5" s="55"/>
      <c r="UYN5" s="55"/>
      <c r="UYO5" s="55"/>
      <c r="UYP5" s="55"/>
      <c r="UYQ5" s="55"/>
      <c r="UYR5" s="55"/>
      <c r="UYS5" s="55"/>
      <c r="UYT5" s="55"/>
      <c r="UYU5" s="55"/>
      <c r="UYV5" s="55"/>
      <c r="UYW5" s="55"/>
      <c r="UYX5" s="55"/>
      <c r="UYY5" s="55"/>
      <c r="UYZ5" s="55"/>
      <c r="UZA5" s="55"/>
      <c r="UZB5" s="55"/>
      <c r="UZC5" s="55"/>
      <c r="UZD5" s="55"/>
      <c r="UZE5" s="55"/>
      <c r="UZF5" s="55"/>
      <c r="UZG5" s="55"/>
      <c r="UZH5" s="55"/>
      <c r="UZI5" s="55"/>
      <c r="UZJ5" s="55"/>
      <c r="UZK5" s="55"/>
      <c r="UZL5" s="55"/>
      <c r="UZM5" s="55"/>
      <c r="UZN5" s="55"/>
      <c r="UZO5" s="55"/>
      <c r="UZP5" s="55"/>
      <c r="UZQ5" s="55"/>
      <c r="UZR5" s="55"/>
      <c r="UZS5" s="55"/>
      <c r="UZT5" s="55"/>
      <c r="UZU5" s="55"/>
      <c r="UZV5" s="55"/>
      <c r="UZW5" s="55"/>
      <c r="UZX5" s="55"/>
      <c r="UZY5" s="55"/>
      <c r="UZZ5" s="55"/>
      <c r="VAA5" s="55"/>
      <c r="VAB5" s="55"/>
      <c r="VAC5" s="55"/>
      <c r="VAD5" s="55"/>
      <c r="VAE5" s="55"/>
      <c r="VAF5" s="55"/>
      <c r="VAG5" s="55"/>
      <c r="VAH5" s="55"/>
      <c r="VAI5" s="55"/>
      <c r="VAJ5" s="55"/>
      <c r="VAK5" s="55"/>
      <c r="VAL5" s="55"/>
      <c r="VAM5" s="55"/>
      <c r="VAN5" s="55"/>
      <c r="VAO5" s="55"/>
      <c r="VAP5" s="55"/>
      <c r="VAQ5" s="55"/>
      <c r="VAR5" s="55"/>
      <c r="VAS5" s="55"/>
      <c r="VAT5" s="55"/>
      <c r="VAU5" s="55"/>
      <c r="VAV5" s="55"/>
      <c r="VAW5" s="55"/>
      <c r="VAX5" s="55"/>
      <c r="VAY5" s="55"/>
      <c r="VAZ5" s="55"/>
      <c r="VBA5" s="55"/>
      <c r="VBB5" s="55"/>
      <c r="VBC5" s="55"/>
      <c r="VBD5" s="55"/>
      <c r="VBE5" s="55"/>
      <c r="VBF5" s="55"/>
      <c r="VBG5" s="55"/>
      <c r="VBH5" s="55"/>
      <c r="VBI5" s="55"/>
      <c r="VBJ5" s="55"/>
      <c r="VBK5" s="55"/>
      <c r="VBL5" s="55"/>
      <c r="VBM5" s="55"/>
      <c r="VBN5" s="55"/>
      <c r="VBO5" s="55"/>
      <c r="VBP5" s="55"/>
      <c r="VBQ5" s="55"/>
      <c r="VBR5" s="55"/>
      <c r="VBS5" s="55"/>
      <c r="VBT5" s="55"/>
      <c r="VBU5" s="55"/>
      <c r="VBV5" s="55"/>
      <c r="VBW5" s="55"/>
      <c r="VBX5" s="55"/>
      <c r="VBY5" s="55"/>
      <c r="VBZ5" s="55"/>
      <c r="VCA5" s="55"/>
      <c r="VCB5" s="55"/>
      <c r="VCC5" s="55"/>
      <c r="VCD5" s="55"/>
      <c r="VCE5" s="55"/>
      <c r="VCF5" s="55"/>
      <c r="VCG5" s="55"/>
      <c r="VCH5" s="55"/>
      <c r="VCI5" s="55"/>
      <c r="VCJ5" s="55"/>
      <c r="VCK5" s="55"/>
      <c r="VCL5" s="55"/>
      <c r="VCM5" s="55"/>
      <c r="VCN5" s="55"/>
      <c r="VCO5" s="55"/>
      <c r="VCP5" s="55"/>
      <c r="VCQ5" s="55"/>
      <c r="VCR5" s="55"/>
      <c r="VCS5" s="55"/>
      <c r="VCT5" s="55"/>
      <c r="VCU5" s="55"/>
      <c r="VCV5" s="55"/>
      <c r="VCW5" s="55"/>
      <c r="VCX5" s="55"/>
      <c r="VCY5" s="55"/>
      <c r="VCZ5" s="55"/>
      <c r="VDA5" s="55"/>
      <c r="VDB5" s="55"/>
      <c r="VDC5" s="55"/>
      <c r="VDD5" s="55"/>
      <c r="VDE5" s="55"/>
      <c r="VDF5" s="55"/>
      <c r="VDG5" s="55"/>
      <c r="VDH5" s="55"/>
      <c r="VDI5" s="55"/>
      <c r="VDJ5" s="55"/>
      <c r="VDK5" s="55"/>
      <c r="VDL5" s="55"/>
      <c r="VDM5" s="55"/>
      <c r="VDN5" s="55"/>
      <c r="VDO5" s="55"/>
      <c r="VDP5" s="55"/>
      <c r="VDQ5" s="55"/>
      <c r="VDR5" s="55"/>
      <c r="VDS5" s="55"/>
      <c r="VDT5" s="55"/>
      <c r="VDU5" s="55"/>
      <c r="VDV5" s="55"/>
      <c r="VDW5" s="55"/>
      <c r="VDX5" s="55"/>
      <c r="VDY5" s="55"/>
      <c r="VDZ5" s="55"/>
      <c r="VEA5" s="55"/>
      <c r="VEB5" s="55"/>
      <c r="VEC5" s="55"/>
      <c r="VED5" s="55"/>
      <c r="VEE5" s="55"/>
      <c r="VEF5" s="55"/>
      <c r="VEG5" s="55"/>
      <c r="VEH5" s="55"/>
      <c r="VEI5" s="55"/>
      <c r="VEJ5" s="55"/>
      <c r="VEK5" s="55"/>
      <c r="VEL5" s="55"/>
      <c r="VEM5" s="55"/>
      <c r="VEN5" s="55"/>
      <c r="VEO5" s="55"/>
      <c r="VEP5" s="55"/>
      <c r="VEQ5" s="55"/>
      <c r="VER5" s="55"/>
      <c r="VES5" s="55"/>
      <c r="VET5" s="55"/>
      <c r="VEU5" s="55"/>
      <c r="VEV5" s="55"/>
      <c r="VEW5" s="55"/>
      <c r="VEX5" s="55"/>
      <c r="VEY5" s="55"/>
      <c r="VEZ5" s="55"/>
      <c r="VFA5" s="55"/>
      <c r="VFB5" s="55"/>
      <c r="VFC5" s="55"/>
      <c r="VFD5" s="55"/>
      <c r="VFE5" s="55"/>
      <c r="VFF5" s="55"/>
      <c r="VFG5" s="55"/>
      <c r="VFH5" s="55"/>
      <c r="VFI5" s="55"/>
      <c r="VFJ5" s="55"/>
      <c r="VFK5" s="55"/>
      <c r="VFL5" s="55"/>
      <c r="VFM5" s="55"/>
      <c r="VFN5" s="55"/>
      <c r="VFO5" s="55"/>
      <c r="VFP5" s="55"/>
      <c r="VFQ5" s="55"/>
      <c r="VFR5" s="55"/>
      <c r="VFS5" s="55"/>
      <c r="VFT5" s="55"/>
      <c r="VFU5" s="55"/>
      <c r="VFV5" s="55"/>
      <c r="VFW5" s="55"/>
      <c r="VFX5" s="55"/>
      <c r="VFY5" s="55"/>
      <c r="VFZ5" s="55"/>
      <c r="VGA5" s="55"/>
      <c r="VGB5" s="55"/>
      <c r="VGC5" s="55"/>
      <c r="VGD5" s="55"/>
      <c r="VGE5" s="55"/>
      <c r="VGF5" s="55"/>
      <c r="VGG5" s="55"/>
      <c r="VGH5" s="55"/>
      <c r="VGI5" s="55"/>
      <c r="VGJ5" s="55"/>
      <c r="VGK5" s="55"/>
      <c r="VGL5" s="55"/>
      <c r="VGM5" s="55"/>
      <c r="VGN5" s="55"/>
      <c r="VGO5" s="55"/>
      <c r="VGP5" s="55"/>
      <c r="VGQ5" s="55"/>
      <c r="VGR5" s="55"/>
      <c r="VGS5" s="55"/>
      <c r="VGT5" s="55"/>
      <c r="VGU5" s="55"/>
      <c r="VGV5" s="55"/>
      <c r="VGW5" s="55"/>
      <c r="VGX5" s="55"/>
      <c r="VGY5" s="55"/>
      <c r="VGZ5" s="55"/>
      <c r="VHA5" s="55"/>
      <c r="VHB5" s="55"/>
      <c r="VHC5" s="55"/>
      <c r="VHD5" s="55"/>
      <c r="VHE5" s="55"/>
      <c r="VHF5" s="55"/>
      <c r="VHG5" s="55"/>
      <c r="VHH5" s="55"/>
      <c r="VHI5" s="55"/>
      <c r="VHJ5" s="55"/>
      <c r="VHK5" s="55"/>
      <c r="VHL5" s="55"/>
      <c r="VHM5" s="55"/>
      <c r="VHN5" s="55"/>
      <c r="VHO5" s="55"/>
      <c r="VHP5" s="55"/>
      <c r="VHQ5" s="55"/>
      <c r="VHR5" s="55"/>
      <c r="VHS5" s="55"/>
      <c r="VHT5" s="55"/>
      <c r="VHU5" s="55"/>
      <c r="VHV5" s="55"/>
      <c r="VHW5" s="55"/>
      <c r="VHX5" s="55"/>
      <c r="VHY5" s="55"/>
      <c r="VHZ5" s="55"/>
      <c r="VIA5" s="55"/>
      <c r="VIB5" s="55"/>
      <c r="VIC5" s="55"/>
      <c r="VID5" s="55"/>
      <c r="VIE5" s="55"/>
      <c r="VIF5" s="55"/>
      <c r="VIG5" s="55"/>
      <c r="VIH5" s="55"/>
      <c r="VII5" s="55"/>
      <c r="VIJ5" s="55"/>
      <c r="VIK5" s="55"/>
      <c r="VIL5" s="55"/>
      <c r="VIM5" s="55"/>
      <c r="VIN5" s="55"/>
      <c r="VIO5" s="55"/>
      <c r="VIP5" s="55"/>
      <c r="VIQ5" s="55"/>
      <c r="VIR5" s="55"/>
      <c r="VIS5" s="55"/>
      <c r="VIT5" s="55"/>
      <c r="VIU5" s="55"/>
      <c r="VIV5" s="55"/>
      <c r="VIW5" s="55"/>
      <c r="VIX5" s="55"/>
      <c r="VIY5" s="55"/>
      <c r="VIZ5" s="55"/>
      <c r="VJA5" s="55"/>
      <c r="VJB5" s="55"/>
      <c r="VJC5" s="55"/>
      <c r="VJD5" s="55"/>
      <c r="VJE5" s="55"/>
      <c r="VJF5" s="55"/>
      <c r="VJG5" s="55"/>
      <c r="VJH5" s="55"/>
      <c r="VJI5" s="55"/>
      <c r="VJJ5" s="55"/>
      <c r="VJK5" s="55"/>
      <c r="VJL5" s="55"/>
      <c r="VJM5" s="55"/>
      <c r="VJN5" s="55"/>
      <c r="VJO5" s="55"/>
      <c r="VJP5" s="55"/>
      <c r="VJQ5" s="55"/>
      <c r="VJR5" s="55"/>
      <c r="VJS5" s="55"/>
      <c r="VJT5" s="55"/>
      <c r="VJU5" s="55"/>
      <c r="VJV5" s="55"/>
      <c r="VJW5" s="55"/>
      <c r="VJX5" s="55"/>
      <c r="VJY5" s="55"/>
      <c r="VJZ5" s="55"/>
      <c r="VKA5" s="55"/>
      <c r="VKB5" s="55"/>
      <c r="VKC5" s="55"/>
      <c r="VKD5" s="55"/>
      <c r="VKE5" s="55"/>
      <c r="VKF5" s="55"/>
      <c r="VKG5" s="55"/>
      <c r="VKH5" s="55"/>
      <c r="VKI5" s="55"/>
      <c r="VKJ5" s="55"/>
      <c r="VKK5" s="55"/>
      <c r="VKL5" s="55"/>
      <c r="VKM5" s="55"/>
      <c r="VKN5" s="55"/>
      <c r="VKO5" s="55"/>
      <c r="VKP5" s="55"/>
      <c r="VKQ5" s="55"/>
      <c r="VKR5" s="55"/>
      <c r="VKS5" s="55"/>
      <c r="VKT5" s="55"/>
      <c r="VKU5" s="55"/>
      <c r="VKV5" s="55"/>
      <c r="VKW5" s="55"/>
      <c r="VKX5" s="55"/>
      <c r="VKY5" s="55"/>
      <c r="VKZ5" s="55"/>
      <c r="VLA5" s="55"/>
      <c r="VLB5" s="55"/>
      <c r="VLC5" s="55"/>
      <c r="VLD5" s="55"/>
      <c r="VLE5" s="55"/>
      <c r="VLF5" s="55"/>
      <c r="VLG5" s="55"/>
      <c r="VLH5" s="55"/>
      <c r="VLI5" s="55"/>
      <c r="VLJ5" s="55"/>
      <c r="VLK5" s="55"/>
      <c r="VLL5" s="55"/>
      <c r="VLM5" s="55"/>
      <c r="VLN5" s="55"/>
      <c r="VLO5" s="55"/>
      <c r="VLP5" s="55"/>
      <c r="VLQ5" s="55"/>
      <c r="VLR5" s="55"/>
      <c r="VLS5" s="55"/>
      <c r="VLT5" s="55"/>
      <c r="VLU5" s="55"/>
      <c r="VLV5" s="55"/>
      <c r="VLW5" s="55"/>
      <c r="VLX5" s="55"/>
      <c r="VLY5" s="55"/>
      <c r="VLZ5" s="55"/>
      <c r="VMA5" s="55"/>
      <c r="VMB5" s="55"/>
      <c r="VMC5" s="55"/>
      <c r="VMD5" s="55"/>
      <c r="VME5" s="55"/>
      <c r="VMF5" s="55"/>
      <c r="VMG5" s="55"/>
      <c r="VMH5" s="55"/>
      <c r="VMI5" s="55"/>
      <c r="VMJ5" s="55"/>
      <c r="VMK5" s="55"/>
      <c r="VML5" s="55"/>
      <c r="VMM5" s="55"/>
      <c r="VMN5" s="55"/>
      <c r="VMO5" s="55"/>
      <c r="VMP5" s="55"/>
      <c r="VMQ5" s="55"/>
      <c r="VMR5" s="55"/>
      <c r="VMS5" s="55"/>
      <c r="VMT5" s="55"/>
      <c r="VMU5" s="55"/>
      <c r="VMV5" s="55"/>
      <c r="VMW5" s="55"/>
      <c r="VMX5" s="55"/>
      <c r="VMY5" s="55"/>
      <c r="VMZ5" s="55"/>
      <c r="VNA5" s="55"/>
      <c r="VNB5" s="55"/>
      <c r="VNC5" s="55"/>
      <c r="VND5" s="55"/>
      <c r="VNE5" s="55"/>
      <c r="VNF5" s="55"/>
      <c r="VNG5" s="55"/>
      <c r="VNH5" s="55"/>
      <c r="VNI5" s="55"/>
      <c r="VNJ5" s="55"/>
      <c r="VNK5" s="55"/>
      <c r="VNL5" s="55"/>
      <c r="VNM5" s="55"/>
      <c r="VNN5" s="55"/>
      <c r="VNO5" s="55"/>
      <c r="VNP5" s="55"/>
      <c r="VNQ5" s="55"/>
      <c r="VNR5" s="55"/>
      <c r="VNS5" s="55"/>
      <c r="VNT5" s="55"/>
      <c r="VNU5" s="55"/>
      <c r="VNV5" s="55"/>
      <c r="VNW5" s="55"/>
      <c r="VNX5" s="55"/>
      <c r="VNY5" s="55"/>
      <c r="VNZ5" s="55"/>
      <c r="VOA5" s="55"/>
      <c r="VOB5" s="55"/>
      <c r="VOC5" s="55"/>
      <c r="VOD5" s="55"/>
      <c r="VOE5" s="55"/>
      <c r="VOF5" s="55"/>
      <c r="VOG5" s="55"/>
      <c r="VOH5" s="55"/>
      <c r="VOI5" s="55"/>
      <c r="VOJ5" s="55"/>
      <c r="VOK5" s="55"/>
      <c r="VOL5" s="55"/>
      <c r="VOM5" s="55"/>
      <c r="VON5" s="55"/>
      <c r="VOO5" s="55"/>
      <c r="VOP5" s="55"/>
      <c r="VOQ5" s="55"/>
      <c r="VOR5" s="55"/>
      <c r="VOS5" s="55"/>
      <c r="VOT5" s="55"/>
      <c r="VOU5" s="55"/>
      <c r="VOV5" s="55"/>
      <c r="VOW5" s="55"/>
      <c r="VOX5" s="55"/>
      <c r="VOY5" s="55"/>
      <c r="VOZ5" s="55"/>
      <c r="VPA5" s="55"/>
      <c r="VPB5" s="55"/>
      <c r="VPC5" s="55"/>
      <c r="VPD5" s="55"/>
      <c r="VPE5" s="55"/>
      <c r="VPF5" s="55"/>
      <c r="VPG5" s="55"/>
      <c r="VPH5" s="55"/>
      <c r="VPI5" s="55"/>
      <c r="VPJ5" s="55"/>
      <c r="VPK5" s="55"/>
      <c r="VPL5" s="55"/>
      <c r="VPM5" s="55"/>
      <c r="VPN5" s="55"/>
      <c r="VPO5" s="55"/>
      <c r="VPP5" s="55"/>
      <c r="VPQ5" s="55"/>
      <c r="VPR5" s="55"/>
      <c r="VPS5" s="55"/>
      <c r="VPT5" s="55"/>
      <c r="VPU5" s="55"/>
      <c r="VPV5" s="55"/>
      <c r="VPW5" s="55"/>
      <c r="VPX5" s="55"/>
      <c r="VPY5" s="55"/>
      <c r="VPZ5" s="55"/>
      <c r="VQA5" s="55"/>
      <c r="VQB5" s="55"/>
      <c r="VQC5" s="55"/>
      <c r="VQD5" s="55"/>
      <c r="VQE5" s="55"/>
      <c r="VQF5" s="55"/>
      <c r="VQG5" s="55"/>
      <c r="VQH5" s="55"/>
      <c r="VQI5" s="55"/>
      <c r="VQJ5" s="55"/>
      <c r="VQK5" s="55"/>
      <c r="VQL5" s="55"/>
      <c r="VQM5" s="55"/>
      <c r="VQN5" s="55"/>
      <c r="VQO5" s="55"/>
      <c r="VQP5" s="55"/>
      <c r="VQQ5" s="55"/>
      <c r="VQR5" s="55"/>
      <c r="VQS5" s="55"/>
      <c r="VQT5" s="55"/>
      <c r="VQU5" s="55"/>
      <c r="VQV5" s="55"/>
      <c r="VQW5" s="55"/>
      <c r="VQX5" s="55"/>
      <c r="VQY5" s="55"/>
      <c r="VQZ5" s="55"/>
      <c r="VRA5" s="55"/>
      <c r="VRB5" s="55"/>
      <c r="VRC5" s="55"/>
      <c r="VRD5" s="55"/>
      <c r="VRE5" s="55"/>
      <c r="VRF5" s="55"/>
      <c r="VRG5" s="55"/>
      <c r="VRH5" s="55"/>
      <c r="VRI5" s="55"/>
      <c r="VRJ5" s="55"/>
      <c r="VRK5" s="55"/>
      <c r="VRL5" s="55"/>
      <c r="VRM5" s="55"/>
      <c r="VRN5" s="55"/>
      <c r="VRO5" s="55"/>
      <c r="VRP5" s="55"/>
      <c r="VRQ5" s="55"/>
      <c r="VRR5" s="55"/>
      <c r="VRS5" s="55"/>
      <c r="VRT5" s="55"/>
      <c r="VRU5" s="55"/>
      <c r="VRV5" s="55"/>
      <c r="VRW5" s="55"/>
      <c r="VRX5" s="55"/>
      <c r="VRY5" s="55"/>
      <c r="VRZ5" s="55"/>
      <c r="VSA5" s="55"/>
      <c r="VSB5" s="55"/>
      <c r="VSC5" s="55"/>
      <c r="VSD5" s="55"/>
      <c r="VSE5" s="55"/>
      <c r="VSF5" s="55"/>
      <c r="VSG5" s="55"/>
      <c r="VSH5" s="55"/>
      <c r="VSI5" s="55"/>
      <c r="VSJ5" s="55"/>
      <c r="VSK5" s="55"/>
      <c r="VSL5" s="55"/>
      <c r="VSM5" s="55"/>
      <c r="VSN5" s="55"/>
      <c r="VSO5" s="55"/>
      <c r="VSP5" s="55"/>
      <c r="VSQ5" s="55"/>
      <c r="VSR5" s="55"/>
      <c r="VSS5" s="55"/>
      <c r="VST5" s="55"/>
      <c r="VSU5" s="55"/>
      <c r="VSV5" s="55"/>
      <c r="VSW5" s="55"/>
      <c r="VSX5" s="55"/>
      <c r="VSY5" s="55"/>
      <c r="VSZ5" s="55"/>
      <c r="VTA5" s="55"/>
      <c r="VTB5" s="55"/>
      <c r="VTC5" s="55"/>
      <c r="VTD5" s="55"/>
      <c r="VTE5" s="55"/>
      <c r="VTF5" s="55"/>
      <c r="VTG5" s="55"/>
      <c r="VTH5" s="55"/>
      <c r="VTI5" s="55"/>
      <c r="VTJ5" s="55"/>
      <c r="VTK5" s="55"/>
      <c r="VTL5" s="55"/>
      <c r="VTM5" s="55"/>
      <c r="VTN5" s="55"/>
      <c r="VTO5" s="55"/>
      <c r="VTP5" s="55"/>
      <c r="VTQ5" s="55"/>
      <c r="VTR5" s="55"/>
      <c r="VTS5" s="55"/>
      <c r="VTT5" s="55"/>
      <c r="VTU5" s="55"/>
      <c r="VTV5" s="55"/>
      <c r="VTW5" s="55"/>
      <c r="VTX5" s="55"/>
      <c r="VTY5" s="55"/>
      <c r="VTZ5" s="55"/>
      <c r="VUA5" s="55"/>
      <c r="VUB5" s="55"/>
      <c r="VUC5" s="55"/>
      <c r="VUD5" s="55"/>
      <c r="VUE5" s="55"/>
      <c r="VUF5" s="55"/>
      <c r="VUG5" s="55"/>
      <c r="VUH5" s="55"/>
      <c r="VUI5" s="55"/>
      <c r="VUJ5" s="55"/>
      <c r="VUK5" s="55"/>
      <c r="VUL5" s="55"/>
      <c r="VUM5" s="55"/>
      <c r="VUN5" s="55"/>
      <c r="VUO5" s="55"/>
      <c r="VUP5" s="55"/>
      <c r="VUQ5" s="55"/>
      <c r="VUR5" s="55"/>
      <c r="VUS5" s="55"/>
      <c r="VUT5" s="55"/>
      <c r="VUU5" s="55"/>
      <c r="VUV5" s="55"/>
      <c r="VUW5" s="55"/>
      <c r="VUX5" s="55"/>
      <c r="VUY5" s="55"/>
      <c r="VUZ5" s="55"/>
      <c r="VVA5" s="55"/>
      <c r="VVB5" s="55"/>
      <c r="VVC5" s="55"/>
      <c r="VVD5" s="55"/>
      <c r="VVE5" s="55"/>
      <c r="VVF5" s="55"/>
      <c r="VVG5" s="55"/>
      <c r="VVH5" s="55"/>
      <c r="VVI5" s="55"/>
      <c r="VVJ5" s="55"/>
      <c r="VVK5" s="55"/>
      <c r="VVL5" s="55"/>
      <c r="VVM5" s="55"/>
      <c r="VVN5" s="55"/>
      <c r="VVO5" s="55"/>
      <c r="VVP5" s="55"/>
      <c r="VVQ5" s="55"/>
      <c r="VVR5" s="55"/>
      <c r="VVS5" s="55"/>
      <c r="VVT5" s="55"/>
      <c r="VVU5" s="55"/>
      <c r="VVV5" s="55"/>
      <c r="VVW5" s="55"/>
      <c r="VVX5" s="55"/>
      <c r="VVY5" s="55"/>
      <c r="VVZ5" s="55"/>
      <c r="VWA5" s="55"/>
      <c r="VWB5" s="55"/>
      <c r="VWC5" s="55"/>
      <c r="VWD5" s="55"/>
      <c r="VWE5" s="55"/>
      <c r="VWF5" s="55"/>
      <c r="VWG5" s="55"/>
      <c r="VWH5" s="55"/>
      <c r="VWI5" s="55"/>
      <c r="VWJ5" s="55"/>
      <c r="VWK5" s="55"/>
      <c r="VWL5" s="55"/>
      <c r="VWM5" s="55"/>
      <c r="VWN5" s="55"/>
      <c r="VWO5" s="55"/>
      <c r="VWP5" s="55"/>
      <c r="VWQ5" s="55"/>
      <c r="VWR5" s="55"/>
      <c r="VWS5" s="55"/>
      <c r="VWT5" s="55"/>
      <c r="VWU5" s="55"/>
      <c r="VWV5" s="55"/>
      <c r="VWW5" s="55"/>
      <c r="VWX5" s="55"/>
      <c r="VWY5" s="55"/>
      <c r="VWZ5" s="55"/>
      <c r="VXA5" s="55"/>
      <c r="VXB5" s="55"/>
      <c r="VXC5" s="55"/>
      <c r="VXD5" s="55"/>
      <c r="VXE5" s="55"/>
      <c r="VXF5" s="55"/>
      <c r="VXG5" s="55"/>
      <c r="VXH5" s="55"/>
      <c r="VXI5" s="55"/>
      <c r="VXJ5" s="55"/>
      <c r="VXK5" s="55"/>
      <c r="VXL5" s="55"/>
      <c r="VXM5" s="55"/>
      <c r="VXN5" s="55"/>
      <c r="VXO5" s="55"/>
      <c r="VXP5" s="55"/>
      <c r="VXQ5" s="55"/>
      <c r="VXR5" s="55"/>
      <c r="VXS5" s="55"/>
      <c r="VXT5" s="55"/>
      <c r="VXU5" s="55"/>
      <c r="VXV5" s="55"/>
      <c r="VXW5" s="55"/>
      <c r="VXX5" s="55"/>
      <c r="VXY5" s="55"/>
      <c r="VXZ5" s="55"/>
      <c r="VYA5" s="55"/>
      <c r="VYB5" s="55"/>
      <c r="VYC5" s="55"/>
      <c r="VYD5" s="55"/>
      <c r="VYE5" s="55"/>
      <c r="VYF5" s="55"/>
      <c r="VYG5" s="55"/>
      <c r="VYH5" s="55"/>
      <c r="VYI5" s="55"/>
      <c r="VYJ5" s="55"/>
      <c r="VYK5" s="55"/>
      <c r="VYL5" s="55"/>
      <c r="VYM5" s="55"/>
      <c r="VYN5" s="55"/>
      <c r="VYO5" s="55"/>
      <c r="VYP5" s="55"/>
      <c r="VYQ5" s="55"/>
      <c r="VYR5" s="55"/>
      <c r="VYS5" s="55"/>
      <c r="VYT5" s="55"/>
      <c r="VYU5" s="55"/>
      <c r="VYV5" s="55"/>
      <c r="VYW5" s="55"/>
      <c r="VYX5" s="55"/>
      <c r="VYY5" s="55"/>
      <c r="VYZ5" s="55"/>
      <c r="VZA5" s="55"/>
      <c r="VZB5" s="55"/>
      <c r="VZC5" s="55"/>
      <c r="VZD5" s="55"/>
      <c r="VZE5" s="55"/>
      <c r="VZF5" s="55"/>
      <c r="VZG5" s="55"/>
      <c r="VZH5" s="55"/>
      <c r="VZI5" s="55"/>
      <c r="VZJ5" s="55"/>
      <c r="VZK5" s="55"/>
      <c r="VZL5" s="55"/>
      <c r="VZM5" s="55"/>
      <c r="VZN5" s="55"/>
      <c r="VZO5" s="55"/>
      <c r="VZP5" s="55"/>
      <c r="VZQ5" s="55"/>
      <c r="VZR5" s="55"/>
      <c r="VZS5" s="55"/>
      <c r="VZT5" s="55"/>
      <c r="VZU5" s="55"/>
      <c r="VZV5" s="55"/>
      <c r="VZW5" s="55"/>
      <c r="VZX5" s="55"/>
      <c r="VZY5" s="55"/>
      <c r="VZZ5" s="55"/>
      <c r="WAA5" s="55"/>
      <c r="WAB5" s="55"/>
      <c r="WAC5" s="55"/>
      <c r="WAD5" s="55"/>
      <c r="WAE5" s="55"/>
      <c r="WAF5" s="55"/>
      <c r="WAG5" s="55"/>
      <c r="WAH5" s="55"/>
      <c r="WAI5" s="55"/>
      <c r="WAJ5" s="55"/>
      <c r="WAK5" s="55"/>
      <c r="WAL5" s="55"/>
      <c r="WAM5" s="55"/>
      <c r="WAN5" s="55"/>
      <c r="WAO5" s="55"/>
      <c r="WAP5" s="55"/>
      <c r="WAQ5" s="55"/>
      <c r="WAR5" s="55"/>
      <c r="WAS5" s="55"/>
      <c r="WAT5" s="55"/>
      <c r="WAU5" s="55"/>
      <c r="WAV5" s="55"/>
      <c r="WAW5" s="55"/>
      <c r="WAX5" s="55"/>
      <c r="WAY5" s="55"/>
      <c r="WAZ5" s="55"/>
      <c r="WBA5" s="55"/>
      <c r="WBB5" s="55"/>
      <c r="WBC5" s="55"/>
      <c r="WBD5" s="55"/>
      <c r="WBE5" s="55"/>
      <c r="WBF5" s="55"/>
      <c r="WBG5" s="55"/>
      <c r="WBH5" s="55"/>
      <c r="WBI5" s="55"/>
      <c r="WBJ5" s="55"/>
      <c r="WBK5" s="55"/>
      <c r="WBL5" s="55"/>
      <c r="WBM5" s="55"/>
      <c r="WBN5" s="55"/>
      <c r="WBO5" s="55"/>
      <c r="WBP5" s="55"/>
      <c r="WBQ5" s="55"/>
      <c r="WBR5" s="55"/>
      <c r="WBS5" s="55"/>
      <c r="WBT5" s="55"/>
      <c r="WBU5" s="55"/>
      <c r="WBV5" s="55"/>
      <c r="WBW5" s="55"/>
      <c r="WBX5" s="55"/>
      <c r="WBY5" s="55"/>
      <c r="WBZ5" s="55"/>
      <c r="WCA5" s="55"/>
      <c r="WCB5" s="55"/>
      <c r="WCC5" s="55"/>
      <c r="WCD5" s="55"/>
      <c r="WCE5" s="55"/>
      <c r="WCF5" s="55"/>
      <c r="WCG5" s="55"/>
      <c r="WCH5" s="55"/>
      <c r="WCI5" s="55"/>
      <c r="WCJ5" s="55"/>
      <c r="WCK5" s="55"/>
      <c r="WCL5" s="55"/>
      <c r="WCM5" s="55"/>
      <c r="WCN5" s="55"/>
      <c r="WCO5" s="55"/>
      <c r="WCP5" s="55"/>
      <c r="WCQ5" s="55"/>
      <c r="WCR5" s="55"/>
      <c r="WCS5" s="55"/>
      <c r="WCT5" s="55"/>
      <c r="WCU5" s="55"/>
      <c r="WCV5" s="55"/>
      <c r="WCW5" s="55"/>
      <c r="WCX5" s="55"/>
      <c r="WCY5" s="55"/>
      <c r="WCZ5" s="55"/>
      <c r="WDA5" s="55"/>
      <c r="WDB5" s="55"/>
      <c r="WDC5" s="55"/>
      <c r="WDD5" s="55"/>
      <c r="WDE5" s="55"/>
      <c r="WDF5" s="55"/>
      <c r="WDG5" s="55"/>
      <c r="WDH5" s="55"/>
      <c r="WDI5" s="55"/>
      <c r="WDJ5" s="55"/>
      <c r="WDK5" s="55"/>
      <c r="WDL5" s="55"/>
      <c r="WDM5" s="55"/>
      <c r="WDN5" s="55"/>
      <c r="WDO5" s="55"/>
      <c r="WDP5" s="55"/>
      <c r="WDQ5" s="55"/>
      <c r="WDR5" s="55"/>
      <c r="WDS5" s="55"/>
      <c r="WDT5" s="55"/>
      <c r="WDU5" s="55"/>
      <c r="WDV5" s="55"/>
      <c r="WDW5" s="55"/>
      <c r="WDX5" s="55"/>
      <c r="WDY5" s="55"/>
      <c r="WDZ5" s="55"/>
      <c r="WEA5" s="55"/>
      <c r="WEB5" s="55"/>
      <c r="WEC5" s="55"/>
      <c r="WED5" s="55"/>
      <c r="WEE5" s="55"/>
      <c r="WEF5" s="55"/>
      <c r="WEG5" s="55"/>
      <c r="WEH5" s="55"/>
      <c r="WEI5" s="55"/>
      <c r="WEJ5" s="55"/>
      <c r="WEK5" s="55"/>
      <c r="WEL5" s="55"/>
      <c r="WEM5" s="55"/>
      <c r="WEN5" s="55"/>
      <c r="WEO5" s="55"/>
      <c r="WEP5" s="55"/>
      <c r="WEQ5" s="55"/>
      <c r="WER5" s="55"/>
      <c r="WES5" s="55"/>
      <c r="WET5" s="55"/>
      <c r="WEU5" s="55"/>
      <c r="WEV5" s="55"/>
      <c r="WEW5" s="55"/>
      <c r="WEX5" s="55"/>
      <c r="WEY5" s="55"/>
      <c r="WEZ5" s="55"/>
      <c r="WFA5" s="55"/>
      <c r="WFB5" s="55"/>
      <c r="WFC5" s="55"/>
      <c r="WFD5" s="55"/>
      <c r="WFE5" s="55"/>
      <c r="WFF5" s="55"/>
      <c r="WFG5" s="55"/>
      <c r="WFH5" s="55"/>
      <c r="WFI5" s="55"/>
      <c r="WFJ5" s="55"/>
      <c r="WFK5" s="55"/>
      <c r="WFL5" s="55"/>
      <c r="WFM5" s="55"/>
      <c r="WFN5" s="55"/>
      <c r="WFO5" s="55"/>
      <c r="WFP5" s="55"/>
      <c r="WFQ5" s="55"/>
      <c r="WFR5" s="55"/>
      <c r="WFS5" s="55"/>
      <c r="WFT5" s="55"/>
      <c r="WFU5" s="55"/>
      <c r="WFV5" s="55"/>
      <c r="WFW5" s="55"/>
      <c r="WFX5" s="55"/>
      <c r="WFY5" s="55"/>
      <c r="WFZ5" s="55"/>
      <c r="WGA5" s="55"/>
      <c r="WGB5" s="55"/>
      <c r="WGC5" s="55"/>
      <c r="WGD5" s="55"/>
      <c r="WGE5" s="55"/>
      <c r="WGF5" s="55"/>
      <c r="WGG5" s="55"/>
      <c r="WGH5" s="55"/>
      <c r="WGI5" s="55"/>
      <c r="WGJ5" s="55"/>
      <c r="WGK5" s="55"/>
      <c r="WGL5" s="55"/>
      <c r="WGM5" s="55"/>
      <c r="WGN5" s="55"/>
      <c r="WGO5" s="55"/>
      <c r="WGP5" s="55"/>
      <c r="WGQ5" s="55"/>
      <c r="WGR5" s="55"/>
      <c r="WGS5" s="55"/>
      <c r="WGT5" s="55"/>
      <c r="WGU5" s="55"/>
      <c r="WGV5" s="55"/>
      <c r="WGW5" s="55"/>
      <c r="WGX5" s="55"/>
      <c r="WGY5" s="55"/>
      <c r="WGZ5" s="55"/>
      <c r="WHA5" s="55"/>
      <c r="WHB5" s="55"/>
      <c r="WHC5" s="55"/>
      <c r="WHD5" s="55"/>
      <c r="WHE5" s="55"/>
      <c r="WHF5" s="55"/>
      <c r="WHG5" s="55"/>
      <c r="WHH5" s="55"/>
      <c r="WHI5" s="55"/>
      <c r="WHJ5" s="55"/>
      <c r="WHK5" s="55"/>
      <c r="WHL5" s="55"/>
      <c r="WHM5" s="55"/>
      <c r="WHN5" s="55"/>
      <c r="WHO5" s="55"/>
      <c r="WHP5" s="55"/>
      <c r="WHQ5" s="55"/>
      <c r="WHR5" s="55"/>
      <c r="WHS5" s="55"/>
      <c r="WHT5" s="55"/>
      <c r="WHU5" s="55"/>
      <c r="WHV5" s="55"/>
      <c r="WHW5" s="55"/>
      <c r="WHX5" s="55"/>
      <c r="WHY5" s="55"/>
      <c r="WHZ5" s="55"/>
      <c r="WIA5" s="55"/>
      <c r="WIB5" s="55"/>
      <c r="WIC5" s="55"/>
      <c r="WID5" s="55"/>
      <c r="WIE5" s="55"/>
      <c r="WIF5" s="55"/>
      <c r="WIG5" s="55"/>
      <c r="WIH5" s="55"/>
      <c r="WII5" s="55"/>
      <c r="WIJ5" s="55"/>
      <c r="WIK5" s="55"/>
      <c r="WIL5" s="55"/>
      <c r="WIM5" s="55"/>
      <c r="WIN5" s="55"/>
      <c r="WIO5" s="55"/>
      <c r="WIP5" s="55"/>
      <c r="WIQ5" s="55"/>
      <c r="WIR5" s="55"/>
      <c r="WIS5" s="55"/>
      <c r="WIT5" s="55"/>
      <c r="WIU5" s="55"/>
      <c r="WIV5" s="55"/>
      <c r="WIW5" s="55"/>
      <c r="WIX5" s="55"/>
      <c r="WIY5" s="55"/>
      <c r="WIZ5" s="55"/>
      <c r="WJA5" s="55"/>
      <c r="WJB5" s="55"/>
      <c r="WJC5" s="55"/>
      <c r="WJD5" s="55"/>
      <c r="WJE5" s="55"/>
      <c r="WJF5" s="55"/>
      <c r="WJG5" s="55"/>
      <c r="WJH5" s="55"/>
      <c r="WJI5" s="55"/>
      <c r="WJJ5" s="55"/>
      <c r="WJK5" s="55"/>
      <c r="WJL5" s="55"/>
      <c r="WJM5" s="55"/>
      <c r="WJN5" s="55"/>
      <c r="WJO5" s="55"/>
      <c r="WJP5" s="55"/>
      <c r="WJQ5" s="55"/>
      <c r="WJR5" s="55"/>
      <c r="WJS5" s="55"/>
      <c r="WJT5" s="55"/>
      <c r="WJU5" s="55"/>
      <c r="WJV5" s="55"/>
      <c r="WJW5" s="55"/>
      <c r="WJX5" s="55"/>
      <c r="WJY5" s="55"/>
      <c r="WJZ5" s="55"/>
      <c r="WKA5" s="55"/>
      <c r="WKB5" s="55"/>
      <c r="WKC5" s="55"/>
      <c r="WKD5" s="55"/>
      <c r="WKE5" s="55"/>
      <c r="WKF5" s="55"/>
      <c r="WKG5" s="55"/>
      <c r="WKH5" s="55"/>
      <c r="WKI5" s="55"/>
      <c r="WKJ5" s="55"/>
      <c r="WKK5" s="55"/>
      <c r="WKL5" s="55"/>
      <c r="WKM5" s="55"/>
      <c r="WKN5" s="55"/>
      <c r="WKO5" s="55"/>
      <c r="WKP5" s="55"/>
      <c r="WKQ5" s="55"/>
      <c r="WKR5" s="55"/>
      <c r="WKS5" s="55"/>
      <c r="WKT5" s="55"/>
      <c r="WKU5" s="55"/>
      <c r="WKV5" s="55"/>
      <c r="WKW5" s="55"/>
      <c r="WKX5" s="55"/>
      <c r="WKY5" s="55"/>
      <c r="WKZ5" s="55"/>
      <c r="WLA5" s="55"/>
      <c r="WLB5" s="55"/>
      <c r="WLC5" s="55"/>
      <c r="WLD5" s="55"/>
      <c r="WLE5" s="55"/>
      <c r="WLF5" s="55"/>
      <c r="WLG5" s="55"/>
      <c r="WLH5" s="55"/>
      <c r="WLI5" s="55"/>
      <c r="WLJ5" s="55"/>
      <c r="WLK5" s="55"/>
      <c r="WLL5" s="55"/>
      <c r="WLM5" s="55"/>
      <c r="WLN5" s="55"/>
      <c r="WLO5" s="55"/>
      <c r="WLP5" s="55"/>
      <c r="WLQ5" s="55"/>
      <c r="WLR5" s="55"/>
      <c r="WLS5" s="55"/>
      <c r="WLT5" s="55"/>
      <c r="WLU5" s="55"/>
      <c r="WLV5" s="55"/>
      <c r="WLW5" s="55"/>
      <c r="WLX5" s="55"/>
      <c r="WLY5" s="55"/>
      <c r="WLZ5" s="55"/>
      <c r="WMA5" s="55"/>
      <c r="WMB5" s="55"/>
      <c r="WMC5" s="55"/>
      <c r="WMD5" s="55"/>
      <c r="WME5" s="55"/>
      <c r="WMF5" s="55"/>
      <c r="WMG5" s="55"/>
      <c r="WMH5" s="55"/>
      <c r="WMI5" s="55"/>
      <c r="WMJ5" s="55"/>
      <c r="WMK5" s="55"/>
      <c r="WML5" s="55"/>
      <c r="WMM5" s="55"/>
      <c r="WMN5" s="55"/>
      <c r="WMO5" s="55"/>
      <c r="WMP5" s="55"/>
      <c r="WMQ5" s="55"/>
      <c r="WMR5" s="55"/>
      <c r="WMS5" s="55"/>
      <c r="WMT5" s="55"/>
      <c r="WMU5" s="55"/>
      <c r="WMV5" s="55"/>
      <c r="WMW5" s="55"/>
      <c r="WMX5" s="55"/>
      <c r="WMY5" s="55"/>
      <c r="WMZ5" s="55"/>
      <c r="WNA5" s="55"/>
      <c r="WNB5" s="55"/>
      <c r="WNC5" s="55"/>
      <c r="WND5" s="55"/>
      <c r="WNE5" s="55"/>
      <c r="WNF5" s="55"/>
      <c r="WNG5" s="55"/>
      <c r="WNH5" s="55"/>
      <c r="WNI5" s="55"/>
      <c r="WNJ5" s="55"/>
      <c r="WNK5" s="55"/>
      <c r="WNL5" s="55"/>
      <c r="WNM5" s="55"/>
      <c r="WNN5" s="55"/>
      <c r="WNO5" s="55"/>
      <c r="WNP5" s="55"/>
      <c r="WNQ5" s="55"/>
      <c r="WNR5" s="55"/>
      <c r="WNS5" s="55"/>
      <c r="WNT5" s="55"/>
      <c r="WNU5" s="55"/>
      <c r="WNV5" s="55"/>
      <c r="WNW5" s="55"/>
      <c r="WNX5" s="55"/>
      <c r="WNY5" s="55"/>
      <c r="WNZ5" s="55"/>
      <c r="WOA5" s="55"/>
      <c r="WOB5" s="55"/>
      <c r="WOC5" s="55"/>
      <c r="WOD5" s="55"/>
      <c r="WOE5" s="55"/>
      <c r="WOF5" s="55"/>
      <c r="WOG5" s="55"/>
      <c r="WOH5" s="55"/>
      <c r="WOI5" s="55"/>
      <c r="WOJ5" s="55"/>
      <c r="WOK5" s="55"/>
      <c r="WOL5" s="55"/>
      <c r="WOM5" s="55"/>
      <c r="WON5" s="55"/>
      <c r="WOO5" s="55"/>
      <c r="WOP5" s="55"/>
      <c r="WOQ5" s="55"/>
      <c r="WOR5" s="55"/>
      <c r="WOS5" s="55"/>
      <c r="WOT5" s="55"/>
      <c r="WOU5" s="55"/>
      <c r="WOV5" s="55"/>
      <c r="WOW5" s="55"/>
      <c r="WOX5" s="55"/>
      <c r="WOY5" s="55"/>
      <c r="WOZ5" s="55"/>
      <c r="WPA5" s="55"/>
      <c r="WPB5" s="55"/>
      <c r="WPC5" s="55"/>
      <c r="WPD5" s="55"/>
      <c r="WPE5" s="55"/>
      <c r="WPF5" s="55"/>
      <c r="WPG5" s="55"/>
      <c r="WPH5" s="55"/>
      <c r="WPI5" s="55"/>
      <c r="WPJ5" s="55"/>
      <c r="WPK5" s="55"/>
      <c r="WPL5" s="55"/>
      <c r="WPM5" s="55"/>
      <c r="WPN5" s="55"/>
      <c r="WPO5" s="55"/>
      <c r="WPP5" s="55"/>
      <c r="WPQ5" s="55"/>
      <c r="WPR5" s="55"/>
      <c r="WPS5" s="55"/>
      <c r="WPT5" s="55"/>
      <c r="WPU5" s="55"/>
      <c r="WPV5" s="55"/>
      <c r="WPW5" s="55"/>
      <c r="WPX5" s="55"/>
      <c r="WPY5" s="55"/>
      <c r="WPZ5" s="55"/>
      <c r="WQA5" s="55"/>
      <c r="WQB5" s="55"/>
      <c r="WQC5" s="55"/>
      <c r="WQD5" s="55"/>
      <c r="WQE5" s="55"/>
      <c r="WQF5" s="55"/>
      <c r="WQG5" s="55"/>
      <c r="WQH5" s="55"/>
      <c r="WQI5" s="55"/>
      <c r="WQJ5" s="55"/>
      <c r="WQK5" s="55"/>
      <c r="WQL5" s="55"/>
      <c r="WQM5" s="55"/>
      <c r="WQN5" s="55"/>
      <c r="WQO5" s="55"/>
      <c r="WQP5" s="55"/>
      <c r="WQQ5" s="55"/>
      <c r="WQR5" s="55"/>
      <c r="WQS5" s="55"/>
      <c r="WQT5" s="55"/>
      <c r="WQU5" s="55"/>
      <c r="WQV5" s="55"/>
      <c r="WQW5" s="55"/>
      <c r="WQX5" s="55"/>
      <c r="WQY5" s="55"/>
      <c r="WQZ5" s="55"/>
      <c r="WRA5" s="55"/>
      <c r="WRB5" s="55"/>
      <c r="WRC5" s="55"/>
      <c r="WRD5" s="55"/>
      <c r="WRE5" s="55"/>
      <c r="WRF5" s="55"/>
      <c r="WRG5" s="55"/>
      <c r="WRH5" s="55"/>
      <c r="WRI5" s="55"/>
      <c r="WRJ5" s="55"/>
      <c r="WRK5" s="55"/>
      <c r="WRL5" s="55"/>
      <c r="WRM5" s="55"/>
      <c r="WRN5" s="55"/>
      <c r="WRO5" s="55"/>
      <c r="WRP5" s="55"/>
      <c r="WRQ5" s="55"/>
      <c r="WRR5" s="55"/>
      <c r="WRS5" s="55"/>
      <c r="WRT5" s="55"/>
      <c r="WRU5" s="55"/>
      <c r="WRV5" s="55"/>
      <c r="WRW5" s="55"/>
      <c r="WRX5" s="55"/>
      <c r="WRY5" s="55"/>
      <c r="WRZ5" s="55"/>
      <c r="WSA5" s="55"/>
      <c r="WSB5" s="55"/>
      <c r="WSC5" s="55"/>
      <c r="WSD5" s="55"/>
      <c r="WSE5" s="55"/>
      <c r="WSF5" s="55"/>
      <c r="WSG5" s="55"/>
      <c r="WSH5" s="55"/>
      <c r="WSI5" s="55"/>
      <c r="WSJ5" s="55"/>
      <c r="WSK5" s="55"/>
      <c r="WSL5" s="55"/>
      <c r="WSM5" s="55"/>
      <c r="WSN5" s="55"/>
      <c r="WSO5" s="55"/>
      <c r="WSP5" s="55"/>
      <c r="WSQ5" s="55"/>
      <c r="WSR5" s="55"/>
      <c r="WSS5" s="55"/>
      <c r="WST5" s="55"/>
      <c r="WSU5" s="55"/>
      <c r="WSV5" s="55"/>
      <c r="WSW5" s="55"/>
      <c r="WSX5" s="55"/>
      <c r="WSY5" s="55"/>
      <c r="WSZ5" s="55"/>
      <c r="WTA5" s="55"/>
      <c r="WTB5" s="55"/>
      <c r="WTC5" s="55"/>
      <c r="WTD5" s="55"/>
      <c r="WTE5" s="55"/>
      <c r="WTF5" s="55"/>
      <c r="WTG5" s="55"/>
      <c r="WTH5" s="55"/>
      <c r="WTI5" s="55"/>
      <c r="WTJ5" s="55"/>
      <c r="WTK5" s="55"/>
      <c r="WTL5" s="55"/>
      <c r="WTM5" s="55"/>
      <c r="WTN5" s="55"/>
      <c r="WTO5" s="55"/>
      <c r="WTP5" s="55"/>
      <c r="WTQ5" s="55"/>
      <c r="WTR5" s="55"/>
      <c r="WTS5" s="55"/>
      <c r="WTT5" s="55"/>
      <c r="WTU5" s="55"/>
      <c r="WTV5" s="55"/>
      <c r="WTW5" s="55"/>
      <c r="WTX5" s="55"/>
      <c r="WTY5" s="55"/>
      <c r="WTZ5" s="55"/>
      <c r="WUA5" s="55"/>
      <c r="WUB5" s="55"/>
      <c r="WUC5" s="55"/>
      <c r="WUD5" s="55"/>
      <c r="WUE5" s="55"/>
      <c r="WUF5" s="55"/>
      <c r="WUG5" s="55"/>
      <c r="WUH5" s="55"/>
      <c r="WUI5" s="55"/>
      <c r="WUJ5" s="55"/>
      <c r="WUK5" s="55"/>
      <c r="WUL5" s="55"/>
      <c r="WUM5" s="55"/>
      <c r="WUN5" s="55"/>
      <c r="WUO5" s="55"/>
      <c r="WUP5" s="55"/>
      <c r="WUQ5" s="55"/>
      <c r="WUR5" s="55"/>
      <c r="WUS5" s="55"/>
      <c r="WUT5" s="55"/>
      <c r="WUU5" s="55"/>
      <c r="WUV5" s="55"/>
      <c r="WUW5" s="55"/>
      <c r="WUX5" s="55"/>
      <c r="WUY5" s="55"/>
      <c r="WUZ5" s="55"/>
      <c r="WVA5" s="55"/>
      <c r="WVB5" s="55"/>
      <c r="WVC5" s="55"/>
      <c r="WVD5" s="55"/>
      <c r="WVE5" s="55"/>
      <c r="WVF5" s="55"/>
      <c r="WVG5" s="55"/>
      <c r="WVH5" s="55"/>
      <c r="WVI5" s="55"/>
      <c r="WVJ5" s="55"/>
      <c r="WVK5" s="55"/>
      <c r="WVL5" s="55"/>
      <c r="WVM5" s="55"/>
      <c r="WVN5" s="55"/>
      <c r="WVO5" s="55"/>
      <c r="WVP5" s="55"/>
      <c r="WVQ5" s="55"/>
      <c r="WVR5" s="55"/>
      <c r="WVS5" s="55"/>
      <c r="WVT5" s="55"/>
      <c r="WVU5" s="55"/>
      <c r="WVV5" s="55"/>
      <c r="WVW5" s="55"/>
      <c r="WVX5" s="55"/>
      <c r="WVY5" s="55"/>
      <c r="WVZ5" s="55"/>
      <c r="WWA5" s="55"/>
      <c r="WWB5" s="55"/>
      <c r="WWC5" s="55"/>
      <c r="WWD5" s="55"/>
      <c r="WWE5" s="55"/>
      <c r="WWF5" s="55"/>
      <c r="WWG5" s="55"/>
      <c r="WWH5" s="55"/>
      <c r="WWI5" s="55"/>
      <c r="WWJ5" s="55"/>
      <c r="WWK5" s="55"/>
      <c r="WWL5" s="55"/>
      <c r="WWM5" s="55"/>
      <c r="WWN5" s="55"/>
      <c r="WWO5" s="55"/>
      <c r="WWP5" s="55"/>
      <c r="WWQ5" s="55"/>
      <c r="WWR5" s="55"/>
      <c r="WWS5" s="55"/>
      <c r="WWT5" s="55"/>
      <c r="WWU5" s="55"/>
      <c r="WWV5" s="55"/>
      <c r="WWW5" s="55"/>
      <c r="WWX5" s="55"/>
      <c r="WWY5" s="55"/>
      <c r="WWZ5" s="55"/>
      <c r="WXA5" s="55"/>
      <c r="WXB5" s="55"/>
      <c r="WXC5" s="55"/>
      <c r="WXD5" s="55"/>
      <c r="WXE5" s="55"/>
      <c r="WXF5" s="55"/>
      <c r="WXG5" s="55"/>
      <c r="WXH5" s="55"/>
      <c r="WXI5" s="55"/>
      <c r="WXJ5" s="55"/>
      <c r="WXK5" s="55"/>
      <c r="WXL5" s="55"/>
      <c r="WXM5" s="55"/>
      <c r="WXN5" s="55"/>
      <c r="WXO5" s="55"/>
      <c r="WXP5" s="55"/>
      <c r="WXQ5" s="55"/>
      <c r="WXR5" s="55"/>
      <c r="WXS5" s="55"/>
      <c r="WXT5" s="55"/>
      <c r="WXU5" s="55"/>
      <c r="WXV5" s="55"/>
      <c r="WXW5" s="55"/>
      <c r="WXX5" s="55"/>
      <c r="WXY5" s="55"/>
      <c r="WXZ5" s="55"/>
      <c r="WYA5" s="55"/>
      <c r="WYB5" s="55"/>
      <c r="WYC5" s="55"/>
      <c r="WYD5" s="55"/>
      <c r="WYE5" s="55"/>
      <c r="WYF5" s="55"/>
      <c r="WYG5" s="55"/>
      <c r="WYH5" s="55"/>
      <c r="WYI5" s="55"/>
      <c r="WYJ5" s="55"/>
      <c r="WYK5" s="55"/>
      <c r="WYL5" s="55"/>
      <c r="WYM5" s="55"/>
      <c r="WYN5" s="55"/>
      <c r="WYO5" s="55"/>
      <c r="WYP5" s="55"/>
      <c r="WYQ5" s="55"/>
      <c r="WYR5" s="55"/>
      <c r="WYS5" s="55"/>
      <c r="WYT5" s="55"/>
      <c r="WYU5" s="55"/>
      <c r="WYV5" s="55"/>
      <c r="WYW5" s="55"/>
      <c r="WYX5" s="55"/>
      <c r="WYY5" s="55"/>
      <c r="WYZ5" s="55"/>
      <c r="WZA5" s="55"/>
      <c r="WZB5" s="55"/>
      <c r="WZC5" s="55"/>
      <c r="WZD5" s="55"/>
      <c r="WZE5" s="55"/>
      <c r="WZF5" s="55"/>
      <c r="WZG5" s="55"/>
      <c r="WZH5" s="55"/>
      <c r="WZI5" s="55"/>
      <c r="WZJ5" s="55"/>
      <c r="WZK5" s="55"/>
      <c r="WZL5" s="55"/>
      <c r="WZM5" s="55"/>
      <c r="WZN5" s="55"/>
      <c r="WZO5" s="55"/>
      <c r="WZP5" s="55"/>
      <c r="WZQ5" s="55"/>
      <c r="WZR5" s="55"/>
      <c r="WZS5" s="55"/>
      <c r="WZT5" s="55"/>
      <c r="WZU5" s="55"/>
      <c r="WZV5" s="55"/>
      <c r="WZW5" s="55"/>
      <c r="WZX5" s="55"/>
      <c r="WZY5" s="55"/>
      <c r="WZZ5" s="55"/>
      <c r="XAA5" s="55"/>
      <c r="XAB5" s="55"/>
      <c r="XAC5" s="55"/>
      <c r="XAD5" s="55"/>
      <c r="XAE5" s="55"/>
      <c r="XAF5" s="55"/>
      <c r="XAG5" s="55"/>
      <c r="XAH5" s="55"/>
      <c r="XAI5" s="55"/>
      <c r="XAJ5" s="55"/>
      <c r="XAK5" s="55"/>
      <c r="XAL5" s="55"/>
      <c r="XAM5" s="55"/>
      <c r="XAN5" s="55"/>
      <c r="XAO5" s="55"/>
      <c r="XAP5" s="55"/>
      <c r="XAQ5" s="55"/>
      <c r="XAR5" s="55"/>
      <c r="XAS5" s="55"/>
      <c r="XAT5" s="55"/>
      <c r="XAU5" s="55"/>
      <c r="XAV5" s="55"/>
      <c r="XAW5" s="55"/>
      <c r="XAX5" s="55"/>
      <c r="XAY5" s="55"/>
      <c r="XAZ5" s="55"/>
      <c r="XBA5" s="55"/>
      <c r="XBB5" s="55"/>
      <c r="XBC5" s="55"/>
      <c r="XBD5" s="55"/>
      <c r="XBE5" s="55"/>
      <c r="XBF5" s="55"/>
      <c r="XBG5" s="55"/>
      <c r="XBH5" s="55"/>
      <c r="XBI5" s="55"/>
      <c r="XBJ5" s="55"/>
      <c r="XBK5" s="55"/>
      <c r="XBL5" s="55"/>
      <c r="XBM5" s="55"/>
      <c r="XBN5" s="55"/>
      <c r="XBO5" s="55"/>
      <c r="XBP5" s="55"/>
      <c r="XBQ5" s="55"/>
      <c r="XBR5" s="55"/>
      <c r="XBS5" s="55"/>
      <c r="XBT5" s="55"/>
      <c r="XBU5" s="55"/>
      <c r="XBV5" s="55"/>
      <c r="XBW5" s="55"/>
      <c r="XBX5" s="55"/>
      <c r="XBY5" s="55"/>
      <c r="XBZ5" s="55"/>
      <c r="XCA5" s="55"/>
      <c r="XCB5" s="55"/>
      <c r="XCC5" s="55"/>
      <c r="XCD5" s="55"/>
      <c r="XCE5" s="55"/>
      <c r="XCF5" s="55"/>
      <c r="XCG5" s="55"/>
      <c r="XCH5" s="55"/>
      <c r="XCI5" s="55"/>
      <c r="XCJ5" s="55"/>
      <c r="XCK5" s="55"/>
      <c r="XCL5" s="55"/>
      <c r="XCM5" s="55"/>
      <c r="XCN5" s="55"/>
      <c r="XCO5" s="55"/>
      <c r="XCP5" s="55"/>
      <c r="XCQ5" s="55"/>
      <c r="XCR5" s="55"/>
      <c r="XCS5" s="55"/>
      <c r="XCT5" s="55"/>
      <c r="XCU5" s="55"/>
      <c r="XCV5" s="55"/>
      <c r="XCW5" s="55"/>
      <c r="XCX5" s="55"/>
      <c r="XCY5" s="55"/>
      <c r="XCZ5" s="55"/>
      <c r="XDA5" s="55"/>
      <c r="XDB5" s="55"/>
      <c r="XDC5" s="55"/>
      <c r="XDD5" s="55"/>
      <c r="XDE5" s="55"/>
      <c r="XDF5" s="55"/>
      <c r="XDG5" s="55"/>
      <c r="XDH5" s="55"/>
      <c r="XDI5" s="55"/>
      <c r="XDJ5" s="55"/>
      <c r="XDK5" s="55"/>
      <c r="XDL5" s="55"/>
      <c r="XDM5" s="55"/>
      <c r="XDN5" s="55"/>
      <c r="XDO5" s="55"/>
      <c r="XDP5" s="55"/>
      <c r="XDQ5" s="55"/>
      <c r="XDR5" s="55"/>
      <c r="XDS5" s="55"/>
      <c r="XDT5" s="55"/>
      <c r="XDU5" s="55"/>
      <c r="XDV5" s="55"/>
      <c r="XDW5" s="55"/>
      <c r="XDX5" s="55"/>
      <c r="XDY5" s="55"/>
      <c r="XDZ5" s="55"/>
      <c r="XEA5" s="55"/>
      <c r="XEB5" s="55"/>
      <c r="XEC5" s="55"/>
      <c r="XED5" s="55"/>
      <c r="XEE5" s="55"/>
      <c r="XEF5" s="55"/>
      <c r="XEG5" s="55"/>
      <c r="XEH5" s="55"/>
      <c r="XEI5" s="55"/>
      <c r="XEJ5" s="55"/>
      <c r="XEK5" s="55"/>
      <c r="XEL5" s="55"/>
      <c r="XEM5" s="55"/>
      <c r="XEN5" s="55"/>
      <c r="XEO5" s="55"/>
      <c r="XEP5" s="55"/>
      <c r="XEQ5" s="55"/>
      <c r="XER5" s="55"/>
      <c r="XES5" s="55"/>
      <c r="XET5" s="55"/>
      <c r="XEU5" s="55"/>
      <c r="XEV5" s="55"/>
      <c r="XEW5" s="55"/>
      <c r="XEX5" s="55"/>
      <c r="XEY5" s="55"/>
      <c r="XEZ5" s="55"/>
      <c r="XFA5" s="55"/>
      <c r="XFB5" s="55"/>
      <c r="XFC5" s="55"/>
    </row>
    <row r="6" spans="1:16383" x14ac:dyDescent="0.35">
      <c r="A6" s="11" t="s">
        <v>175</v>
      </c>
      <c r="B6" s="12" t="s">
        <v>216</v>
      </c>
    </row>
    <row r="7" spans="1:16383" x14ac:dyDescent="0.35">
      <c r="A7" s="11" t="s">
        <v>247</v>
      </c>
      <c r="B7" s="13">
        <v>45981</v>
      </c>
    </row>
    <row r="8" spans="1:16383" x14ac:dyDescent="0.35">
      <c r="A8" s="11" t="s">
        <v>248</v>
      </c>
      <c r="B8" s="13">
        <v>46022</v>
      </c>
    </row>
    <row r="9" spans="1:16383" x14ac:dyDescent="0.35">
      <c r="A9" s="11" t="s">
        <v>176</v>
      </c>
      <c r="B9" s="51">
        <v>79.42</v>
      </c>
    </row>
    <row r="10" spans="1:16383" x14ac:dyDescent="0.35">
      <c r="A10" s="11" t="s">
        <v>177</v>
      </c>
      <c r="B10" s="52">
        <f>I71</f>
        <v>89.299482342067918</v>
      </c>
    </row>
    <row r="11" spans="1:16383" x14ac:dyDescent="0.35">
      <c r="A11" s="11" t="s">
        <v>249</v>
      </c>
      <c r="B11" s="56">
        <f>B10/B9-1</f>
        <v>0.12439539589609572</v>
      </c>
    </row>
    <row r="12" spans="1:16383" x14ac:dyDescent="0.35">
      <c r="A12" s="11" t="s">
        <v>178</v>
      </c>
      <c r="B12" s="14" t="s">
        <v>246</v>
      </c>
    </row>
    <row r="14" spans="1:16383" x14ac:dyDescent="0.35">
      <c r="A14" s="55" t="s">
        <v>179</v>
      </c>
      <c r="B14" s="55"/>
      <c r="C14" s="55"/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  <c r="AA14" s="55"/>
      <c r="AB14" s="55"/>
      <c r="AC14" s="55"/>
      <c r="AD14" s="55"/>
      <c r="AE14" s="55"/>
      <c r="AF14" s="55"/>
      <c r="AG14" s="55"/>
      <c r="AH14" s="55"/>
      <c r="AI14" s="55"/>
      <c r="AJ14" s="55"/>
      <c r="AK14" s="55"/>
      <c r="AL14" s="55"/>
      <c r="AM14" s="55"/>
      <c r="AN14" s="55"/>
      <c r="AO14" s="55"/>
      <c r="AP14" s="55"/>
      <c r="AQ14" s="55"/>
      <c r="AR14" s="55"/>
      <c r="AS14" s="55"/>
      <c r="AT14" s="55"/>
      <c r="AU14" s="55"/>
      <c r="AV14" s="55"/>
      <c r="AW14" s="55"/>
      <c r="AX14" s="55"/>
      <c r="AY14" s="55"/>
      <c r="AZ14" s="55"/>
      <c r="BA14" s="55"/>
      <c r="BB14" s="55"/>
      <c r="BC14" s="55"/>
      <c r="BD14" s="55"/>
      <c r="BE14" s="55"/>
      <c r="BF14" s="55"/>
      <c r="BG14" s="55"/>
      <c r="BH14" s="55"/>
      <c r="BI14" s="55"/>
      <c r="BJ14" s="55"/>
      <c r="BK14" s="55"/>
      <c r="BL14" s="55"/>
      <c r="BM14" s="55"/>
      <c r="BN14" s="55"/>
      <c r="BO14" s="55"/>
      <c r="BP14" s="55"/>
      <c r="BQ14" s="55"/>
      <c r="BR14" s="55"/>
      <c r="BS14" s="55"/>
      <c r="BT14" s="55"/>
      <c r="BU14" s="55"/>
      <c r="BV14" s="55"/>
      <c r="BW14" s="55"/>
      <c r="BX14" s="55"/>
      <c r="BY14" s="55"/>
      <c r="BZ14" s="55"/>
      <c r="CA14" s="55"/>
      <c r="CB14" s="55"/>
      <c r="CC14" s="55"/>
      <c r="CD14" s="55"/>
      <c r="CE14" s="55"/>
      <c r="CF14" s="55"/>
      <c r="CG14" s="55"/>
      <c r="CH14" s="55"/>
      <c r="CI14" s="55"/>
      <c r="CJ14" s="55"/>
      <c r="CK14" s="55"/>
      <c r="CL14" s="55"/>
      <c r="CM14" s="55"/>
      <c r="CN14" s="55"/>
      <c r="CO14" s="55"/>
      <c r="CP14" s="55"/>
      <c r="CQ14" s="55"/>
      <c r="CR14" s="55"/>
      <c r="CS14" s="55"/>
      <c r="CT14" s="55"/>
      <c r="CU14" s="55"/>
      <c r="CV14" s="55"/>
      <c r="CW14" s="55"/>
      <c r="CX14" s="55"/>
      <c r="CY14" s="55"/>
      <c r="CZ14" s="55"/>
      <c r="DA14" s="55"/>
      <c r="DB14" s="55"/>
      <c r="DC14" s="55"/>
      <c r="DD14" s="55"/>
      <c r="DE14" s="55"/>
      <c r="DF14" s="55"/>
      <c r="DG14" s="55"/>
      <c r="DH14" s="55"/>
      <c r="DI14" s="55"/>
      <c r="DJ14" s="55"/>
      <c r="DK14" s="55"/>
      <c r="DL14" s="55"/>
      <c r="DM14" s="55"/>
      <c r="DN14" s="55"/>
      <c r="DO14" s="55"/>
      <c r="DP14" s="55"/>
      <c r="DQ14" s="55"/>
      <c r="DR14" s="55"/>
      <c r="DS14" s="55"/>
      <c r="DT14" s="55"/>
      <c r="DU14" s="55"/>
      <c r="DV14" s="55"/>
      <c r="DW14" s="55"/>
      <c r="DX14" s="55"/>
      <c r="DY14" s="55"/>
      <c r="DZ14" s="55"/>
      <c r="EA14" s="55"/>
      <c r="EB14" s="55"/>
      <c r="EC14" s="55"/>
      <c r="ED14" s="55"/>
      <c r="EE14" s="55"/>
      <c r="EF14" s="55"/>
      <c r="EG14" s="55"/>
      <c r="EH14" s="55"/>
      <c r="EI14" s="55"/>
      <c r="EJ14" s="55"/>
      <c r="EK14" s="55"/>
      <c r="EL14" s="55"/>
      <c r="EM14" s="55"/>
      <c r="EN14" s="55"/>
      <c r="EO14" s="55"/>
      <c r="EP14" s="55"/>
      <c r="EQ14" s="55"/>
      <c r="ER14" s="55"/>
      <c r="ES14" s="55"/>
      <c r="ET14" s="55"/>
      <c r="EU14" s="55"/>
      <c r="EV14" s="55"/>
      <c r="EW14" s="55"/>
      <c r="EX14" s="55"/>
      <c r="EY14" s="55"/>
      <c r="EZ14" s="55"/>
      <c r="FA14" s="55"/>
      <c r="FB14" s="55"/>
      <c r="FC14" s="55"/>
      <c r="FD14" s="55"/>
      <c r="FE14" s="55"/>
      <c r="FF14" s="55"/>
      <c r="FG14" s="55"/>
      <c r="FH14" s="55"/>
      <c r="FI14" s="55"/>
      <c r="FJ14" s="55"/>
      <c r="FK14" s="55"/>
      <c r="FL14" s="55"/>
      <c r="FM14" s="55"/>
      <c r="FN14" s="55"/>
      <c r="FO14" s="55"/>
      <c r="FP14" s="55"/>
      <c r="FQ14" s="55"/>
      <c r="FR14" s="55"/>
      <c r="FS14" s="55"/>
      <c r="FT14" s="55"/>
      <c r="FU14" s="55"/>
      <c r="FV14" s="55"/>
      <c r="FW14" s="55"/>
      <c r="FX14" s="55"/>
      <c r="FY14" s="55"/>
      <c r="FZ14" s="55"/>
      <c r="GA14" s="55"/>
      <c r="GB14" s="55"/>
      <c r="GC14" s="55"/>
      <c r="GD14" s="55"/>
      <c r="GE14" s="55"/>
      <c r="GF14" s="55"/>
      <c r="GG14" s="55"/>
      <c r="GH14" s="55"/>
      <c r="GI14" s="55"/>
      <c r="GJ14" s="55"/>
      <c r="GK14" s="55"/>
      <c r="GL14" s="55"/>
      <c r="GM14" s="55"/>
      <c r="GN14" s="55"/>
      <c r="GO14" s="55"/>
      <c r="GP14" s="55"/>
      <c r="GQ14" s="55"/>
      <c r="GR14" s="55"/>
      <c r="GS14" s="55"/>
      <c r="GT14" s="55"/>
      <c r="GU14" s="55"/>
      <c r="GV14" s="55"/>
      <c r="GW14" s="55"/>
      <c r="GX14" s="55"/>
      <c r="GY14" s="55"/>
      <c r="GZ14" s="55"/>
      <c r="HA14" s="55"/>
      <c r="HB14" s="55"/>
      <c r="HC14" s="55"/>
      <c r="HD14" s="55"/>
      <c r="HE14" s="55"/>
      <c r="HF14" s="55"/>
      <c r="HG14" s="55"/>
      <c r="HH14" s="55"/>
      <c r="HI14" s="55"/>
      <c r="HJ14" s="55"/>
      <c r="HK14" s="55"/>
      <c r="HL14" s="55"/>
      <c r="HM14" s="55"/>
      <c r="HN14" s="55"/>
      <c r="HO14" s="55"/>
      <c r="HP14" s="55"/>
      <c r="HQ14" s="55"/>
      <c r="HR14" s="55"/>
      <c r="HS14" s="55"/>
      <c r="HT14" s="55"/>
      <c r="HU14" s="55"/>
      <c r="HV14" s="55"/>
      <c r="HW14" s="55"/>
      <c r="HX14" s="55"/>
      <c r="HY14" s="55"/>
      <c r="HZ14" s="55"/>
      <c r="IA14" s="55"/>
      <c r="IB14" s="55"/>
      <c r="IC14" s="55"/>
      <c r="ID14" s="55"/>
      <c r="IE14" s="55"/>
      <c r="IF14" s="55"/>
      <c r="IG14" s="55"/>
      <c r="IH14" s="55"/>
      <c r="II14" s="55"/>
      <c r="IJ14" s="55"/>
      <c r="IK14" s="55"/>
      <c r="IL14" s="55"/>
      <c r="IM14" s="55"/>
      <c r="IN14" s="55"/>
      <c r="IO14" s="55"/>
      <c r="IP14" s="55"/>
      <c r="IQ14" s="55"/>
      <c r="IR14" s="55"/>
      <c r="IS14" s="55"/>
      <c r="IT14" s="55"/>
      <c r="IU14" s="55"/>
      <c r="IV14" s="55"/>
      <c r="IW14" s="55"/>
      <c r="IX14" s="55"/>
      <c r="IY14" s="55"/>
      <c r="IZ14" s="55"/>
      <c r="JA14" s="55"/>
      <c r="JB14" s="55"/>
      <c r="JC14" s="55"/>
      <c r="JD14" s="55"/>
      <c r="JE14" s="55"/>
      <c r="JF14" s="55"/>
      <c r="JG14" s="55"/>
      <c r="JH14" s="55"/>
      <c r="JI14" s="55"/>
      <c r="JJ14" s="55"/>
      <c r="JK14" s="55"/>
      <c r="JL14" s="55"/>
      <c r="JM14" s="55"/>
      <c r="JN14" s="55"/>
      <c r="JO14" s="55"/>
      <c r="JP14" s="55"/>
      <c r="JQ14" s="55"/>
      <c r="JR14" s="55"/>
      <c r="JS14" s="55"/>
      <c r="JT14" s="55"/>
      <c r="JU14" s="55"/>
      <c r="JV14" s="55"/>
      <c r="JW14" s="55"/>
      <c r="JX14" s="55"/>
      <c r="JY14" s="55"/>
      <c r="JZ14" s="55"/>
      <c r="KA14" s="55"/>
      <c r="KB14" s="55"/>
      <c r="KC14" s="55"/>
      <c r="KD14" s="55"/>
      <c r="KE14" s="55"/>
      <c r="KF14" s="55"/>
      <c r="KG14" s="55"/>
      <c r="KH14" s="55"/>
      <c r="KI14" s="55"/>
      <c r="KJ14" s="55"/>
      <c r="KK14" s="55"/>
      <c r="KL14" s="55"/>
      <c r="KM14" s="55"/>
      <c r="KN14" s="55"/>
      <c r="KO14" s="55"/>
      <c r="KP14" s="55"/>
      <c r="KQ14" s="55"/>
      <c r="KR14" s="55"/>
      <c r="KS14" s="55"/>
      <c r="KT14" s="55"/>
      <c r="KU14" s="55"/>
      <c r="KV14" s="55"/>
      <c r="KW14" s="55"/>
      <c r="KX14" s="55"/>
      <c r="KY14" s="55"/>
      <c r="KZ14" s="55"/>
      <c r="LA14" s="55"/>
      <c r="LB14" s="55"/>
      <c r="LC14" s="55"/>
      <c r="LD14" s="55"/>
      <c r="LE14" s="55"/>
      <c r="LF14" s="55"/>
      <c r="LG14" s="55"/>
      <c r="LH14" s="55"/>
      <c r="LI14" s="55"/>
      <c r="LJ14" s="55"/>
      <c r="LK14" s="55"/>
      <c r="LL14" s="55"/>
      <c r="LM14" s="55"/>
      <c r="LN14" s="55"/>
      <c r="LO14" s="55"/>
      <c r="LP14" s="55"/>
      <c r="LQ14" s="55"/>
      <c r="LR14" s="55"/>
      <c r="LS14" s="55"/>
      <c r="LT14" s="55"/>
      <c r="LU14" s="55"/>
      <c r="LV14" s="55"/>
      <c r="LW14" s="55"/>
      <c r="LX14" s="55"/>
      <c r="LY14" s="55"/>
      <c r="LZ14" s="55"/>
      <c r="MA14" s="55"/>
      <c r="MB14" s="55"/>
      <c r="MC14" s="55"/>
      <c r="MD14" s="55"/>
      <c r="ME14" s="55"/>
      <c r="MF14" s="55"/>
      <c r="MG14" s="55"/>
      <c r="MH14" s="55"/>
      <c r="MI14" s="55"/>
      <c r="MJ14" s="55"/>
      <c r="MK14" s="55"/>
      <c r="ML14" s="55"/>
      <c r="MM14" s="55"/>
      <c r="MN14" s="55"/>
      <c r="MO14" s="55"/>
      <c r="MP14" s="55"/>
      <c r="MQ14" s="55"/>
      <c r="MR14" s="55"/>
      <c r="MS14" s="55"/>
      <c r="MT14" s="55"/>
      <c r="MU14" s="55"/>
      <c r="MV14" s="55"/>
      <c r="MW14" s="55"/>
      <c r="MX14" s="55"/>
      <c r="MY14" s="55"/>
      <c r="MZ14" s="55"/>
      <c r="NA14" s="55"/>
      <c r="NB14" s="55"/>
      <c r="NC14" s="55"/>
      <c r="ND14" s="55"/>
      <c r="NE14" s="55"/>
      <c r="NF14" s="55"/>
      <c r="NG14" s="55"/>
      <c r="NH14" s="55"/>
      <c r="NI14" s="55"/>
      <c r="NJ14" s="55"/>
      <c r="NK14" s="55"/>
      <c r="NL14" s="55"/>
      <c r="NM14" s="55"/>
      <c r="NN14" s="55"/>
      <c r="NO14" s="55"/>
      <c r="NP14" s="55"/>
      <c r="NQ14" s="55"/>
      <c r="NR14" s="55"/>
      <c r="NS14" s="55"/>
      <c r="NT14" s="55"/>
      <c r="NU14" s="55"/>
      <c r="NV14" s="55"/>
      <c r="NW14" s="55"/>
      <c r="NX14" s="55"/>
      <c r="NY14" s="55"/>
      <c r="NZ14" s="55"/>
      <c r="OA14" s="55"/>
      <c r="OB14" s="55"/>
      <c r="OC14" s="55"/>
      <c r="OD14" s="55"/>
      <c r="OE14" s="55"/>
      <c r="OF14" s="55"/>
      <c r="OG14" s="55"/>
      <c r="OH14" s="55"/>
      <c r="OI14" s="55"/>
      <c r="OJ14" s="55"/>
      <c r="OK14" s="55"/>
      <c r="OL14" s="55"/>
      <c r="OM14" s="55"/>
      <c r="ON14" s="55"/>
      <c r="OO14" s="55"/>
      <c r="OP14" s="55"/>
      <c r="OQ14" s="55"/>
      <c r="OR14" s="55"/>
      <c r="OS14" s="55"/>
      <c r="OT14" s="55"/>
      <c r="OU14" s="55"/>
      <c r="OV14" s="55"/>
      <c r="OW14" s="55"/>
      <c r="OX14" s="55"/>
      <c r="OY14" s="55"/>
      <c r="OZ14" s="55"/>
      <c r="PA14" s="55"/>
      <c r="PB14" s="55"/>
      <c r="PC14" s="55"/>
      <c r="PD14" s="55"/>
      <c r="PE14" s="55"/>
      <c r="PF14" s="55"/>
      <c r="PG14" s="55"/>
      <c r="PH14" s="55"/>
      <c r="PI14" s="55"/>
      <c r="PJ14" s="55"/>
      <c r="PK14" s="55"/>
      <c r="PL14" s="55"/>
      <c r="PM14" s="55"/>
      <c r="PN14" s="55"/>
      <c r="PO14" s="55"/>
      <c r="PP14" s="55"/>
      <c r="PQ14" s="55"/>
      <c r="PR14" s="55"/>
      <c r="PS14" s="55"/>
      <c r="PT14" s="55"/>
      <c r="PU14" s="55"/>
      <c r="PV14" s="55"/>
      <c r="PW14" s="55"/>
      <c r="PX14" s="55"/>
      <c r="PY14" s="55"/>
      <c r="PZ14" s="55"/>
      <c r="QA14" s="55"/>
      <c r="QB14" s="55"/>
      <c r="QC14" s="55"/>
      <c r="QD14" s="55"/>
      <c r="QE14" s="55"/>
      <c r="QF14" s="55"/>
      <c r="QG14" s="55"/>
      <c r="QH14" s="55"/>
      <c r="QI14" s="55"/>
      <c r="QJ14" s="55"/>
      <c r="QK14" s="55"/>
      <c r="QL14" s="55"/>
      <c r="QM14" s="55"/>
      <c r="QN14" s="55"/>
      <c r="QO14" s="55"/>
      <c r="QP14" s="55"/>
      <c r="QQ14" s="55"/>
      <c r="QR14" s="55"/>
      <c r="QS14" s="55"/>
      <c r="QT14" s="55"/>
      <c r="QU14" s="55"/>
      <c r="QV14" s="55"/>
      <c r="QW14" s="55"/>
      <c r="QX14" s="55"/>
      <c r="QY14" s="55"/>
      <c r="QZ14" s="55"/>
      <c r="RA14" s="55"/>
      <c r="RB14" s="55"/>
      <c r="RC14" s="55"/>
      <c r="RD14" s="55"/>
      <c r="RE14" s="55"/>
      <c r="RF14" s="55"/>
      <c r="RG14" s="55"/>
      <c r="RH14" s="55"/>
      <c r="RI14" s="55"/>
      <c r="RJ14" s="55"/>
      <c r="RK14" s="55"/>
      <c r="RL14" s="55"/>
      <c r="RM14" s="55"/>
      <c r="RN14" s="55"/>
      <c r="RO14" s="55"/>
      <c r="RP14" s="55"/>
      <c r="RQ14" s="55"/>
      <c r="RR14" s="55"/>
      <c r="RS14" s="55"/>
      <c r="RT14" s="55"/>
      <c r="RU14" s="55"/>
      <c r="RV14" s="55"/>
      <c r="RW14" s="55"/>
      <c r="RX14" s="55"/>
      <c r="RY14" s="55"/>
      <c r="RZ14" s="55"/>
      <c r="SA14" s="55"/>
      <c r="SB14" s="55"/>
      <c r="SC14" s="55"/>
      <c r="SD14" s="55"/>
      <c r="SE14" s="55"/>
      <c r="SF14" s="55"/>
      <c r="SG14" s="55"/>
      <c r="SH14" s="55"/>
      <c r="SI14" s="55"/>
      <c r="SJ14" s="55"/>
      <c r="SK14" s="55"/>
      <c r="SL14" s="55"/>
      <c r="SM14" s="55"/>
      <c r="SN14" s="55"/>
      <c r="SO14" s="55"/>
      <c r="SP14" s="55"/>
      <c r="SQ14" s="55"/>
      <c r="SR14" s="55"/>
      <c r="SS14" s="55"/>
      <c r="ST14" s="55"/>
      <c r="SU14" s="55"/>
      <c r="SV14" s="55"/>
      <c r="SW14" s="55"/>
      <c r="SX14" s="55"/>
      <c r="SY14" s="55"/>
      <c r="SZ14" s="55"/>
      <c r="TA14" s="55"/>
      <c r="TB14" s="55"/>
      <c r="TC14" s="55"/>
      <c r="TD14" s="55"/>
      <c r="TE14" s="55"/>
      <c r="TF14" s="55"/>
      <c r="TG14" s="55"/>
      <c r="TH14" s="55"/>
      <c r="TI14" s="55"/>
      <c r="TJ14" s="55"/>
      <c r="TK14" s="55"/>
      <c r="TL14" s="55"/>
      <c r="TM14" s="55"/>
      <c r="TN14" s="55"/>
      <c r="TO14" s="55"/>
      <c r="TP14" s="55"/>
      <c r="TQ14" s="55"/>
      <c r="TR14" s="55"/>
      <c r="TS14" s="55"/>
      <c r="TT14" s="55"/>
      <c r="TU14" s="55"/>
      <c r="TV14" s="55"/>
      <c r="TW14" s="55"/>
      <c r="TX14" s="55"/>
      <c r="TY14" s="55"/>
      <c r="TZ14" s="55"/>
      <c r="UA14" s="55"/>
      <c r="UB14" s="55"/>
      <c r="UC14" s="55"/>
      <c r="UD14" s="55"/>
      <c r="UE14" s="55"/>
      <c r="UF14" s="55"/>
      <c r="UG14" s="55"/>
      <c r="UH14" s="55"/>
      <c r="UI14" s="55"/>
      <c r="UJ14" s="55"/>
      <c r="UK14" s="55"/>
      <c r="UL14" s="55"/>
      <c r="UM14" s="55"/>
      <c r="UN14" s="55"/>
      <c r="UO14" s="55"/>
      <c r="UP14" s="55"/>
      <c r="UQ14" s="55"/>
      <c r="UR14" s="55"/>
      <c r="US14" s="55"/>
      <c r="UT14" s="55"/>
      <c r="UU14" s="55"/>
      <c r="UV14" s="55"/>
      <c r="UW14" s="55"/>
      <c r="UX14" s="55"/>
      <c r="UY14" s="55"/>
      <c r="UZ14" s="55"/>
      <c r="VA14" s="55"/>
      <c r="VB14" s="55"/>
      <c r="VC14" s="55"/>
      <c r="VD14" s="55"/>
      <c r="VE14" s="55"/>
      <c r="VF14" s="55"/>
      <c r="VG14" s="55"/>
      <c r="VH14" s="55"/>
      <c r="VI14" s="55"/>
      <c r="VJ14" s="55"/>
      <c r="VK14" s="55"/>
      <c r="VL14" s="55"/>
      <c r="VM14" s="55"/>
      <c r="VN14" s="55"/>
      <c r="VO14" s="55"/>
      <c r="VP14" s="55"/>
      <c r="VQ14" s="55"/>
      <c r="VR14" s="55"/>
      <c r="VS14" s="55"/>
      <c r="VT14" s="55"/>
      <c r="VU14" s="55"/>
      <c r="VV14" s="55"/>
      <c r="VW14" s="55"/>
      <c r="VX14" s="55"/>
      <c r="VY14" s="55"/>
      <c r="VZ14" s="55"/>
      <c r="WA14" s="55"/>
      <c r="WB14" s="55"/>
      <c r="WC14" s="55"/>
      <c r="WD14" s="55"/>
      <c r="WE14" s="55"/>
      <c r="WF14" s="55"/>
      <c r="WG14" s="55"/>
      <c r="WH14" s="55"/>
      <c r="WI14" s="55"/>
      <c r="WJ14" s="55"/>
      <c r="WK14" s="55"/>
      <c r="WL14" s="55"/>
      <c r="WM14" s="55"/>
      <c r="WN14" s="55"/>
      <c r="WO14" s="55"/>
      <c r="WP14" s="55"/>
      <c r="WQ14" s="55"/>
      <c r="WR14" s="55"/>
      <c r="WS14" s="55"/>
      <c r="WT14" s="55"/>
      <c r="WU14" s="55"/>
      <c r="WV14" s="55"/>
      <c r="WW14" s="55"/>
      <c r="WX14" s="55"/>
      <c r="WY14" s="55"/>
      <c r="WZ14" s="55"/>
      <c r="XA14" s="55"/>
      <c r="XB14" s="55"/>
      <c r="XC14" s="55"/>
      <c r="XD14" s="55"/>
      <c r="XE14" s="55"/>
      <c r="XF14" s="55"/>
      <c r="XG14" s="55"/>
      <c r="XH14" s="55"/>
      <c r="XI14" s="55"/>
      <c r="XJ14" s="55"/>
      <c r="XK14" s="55"/>
      <c r="XL14" s="55"/>
      <c r="XM14" s="55"/>
      <c r="XN14" s="55"/>
      <c r="XO14" s="55"/>
      <c r="XP14" s="55"/>
      <c r="XQ14" s="55"/>
      <c r="XR14" s="55"/>
      <c r="XS14" s="55"/>
      <c r="XT14" s="55"/>
      <c r="XU14" s="55"/>
      <c r="XV14" s="55"/>
      <c r="XW14" s="55"/>
      <c r="XX14" s="55"/>
      <c r="XY14" s="55"/>
      <c r="XZ14" s="55"/>
      <c r="YA14" s="55"/>
      <c r="YB14" s="55"/>
      <c r="YC14" s="55"/>
      <c r="YD14" s="55"/>
      <c r="YE14" s="55"/>
      <c r="YF14" s="55"/>
      <c r="YG14" s="55"/>
      <c r="YH14" s="55"/>
      <c r="YI14" s="55"/>
      <c r="YJ14" s="55"/>
      <c r="YK14" s="55"/>
      <c r="YL14" s="55"/>
      <c r="YM14" s="55"/>
      <c r="YN14" s="55"/>
      <c r="YO14" s="55"/>
      <c r="YP14" s="55"/>
      <c r="YQ14" s="55"/>
      <c r="YR14" s="55"/>
      <c r="YS14" s="55"/>
      <c r="YT14" s="55"/>
      <c r="YU14" s="55"/>
      <c r="YV14" s="55"/>
      <c r="YW14" s="55"/>
      <c r="YX14" s="55"/>
      <c r="YY14" s="55"/>
      <c r="YZ14" s="55"/>
      <c r="ZA14" s="55"/>
      <c r="ZB14" s="55"/>
      <c r="ZC14" s="55"/>
      <c r="ZD14" s="55"/>
      <c r="ZE14" s="55"/>
      <c r="ZF14" s="55"/>
      <c r="ZG14" s="55"/>
      <c r="ZH14" s="55"/>
      <c r="ZI14" s="55"/>
      <c r="ZJ14" s="55"/>
      <c r="ZK14" s="55"/>
      <c r="ZL14" s="55"/>
      <c r="ZM14" s="55"/>
      <c r="ZN14" s="55"/>
      <c r="ZO14" s="55"/>
      <c r="ZP14" s="55"/>
      <c r="ZQ14" s="55"/>
      <c r="ZR14" s="55"/>
      <c r="ZS14" s="55"/>
      <c r="ZT14" s="55"/>
      <c r="ZU14" s="55"/>
      <c r="ZV14" s="55"/>
      <c r="ZW14" s="55"/>
      <c r="ZX14" s="55"/>
      <c r="ZY14" s="55"/>
      <c r="ZZ14" s="55"/>
      <c r="AAA14" s="55"/>
      <c r="AAB14" s="55"/>
      <c r="AAC14" s="55"/>
      <c r="AAD14" s="55"/>
      <c r="AAE14" s="55"/>
      <c r="AAF14" s="55"/>
      <c r="AAG14" s="55"/>
      <c r="AAH14" s="55"/>
      <c r="AAI14" s="55"/>
      <c r="AAJ14" s="55"/>
      <c r="AAK14" s="55"/>
      <c r="AAL14" s="55"/>
      <c r="AAM14" s="55"/>
      <c r="AAN14" s="55"/>
      <c r="AAO14" s="55"/>
      <c r="AAP14" s="55"/>
      <c r="AAQ14" s="55"/>
      <c r="AAR14" s="55"/>
      <c r="AAS14" s="55"/>
      <c r="AAT14" s="55"/>
      <c r="AAU14" s="55"/>
      <c r="AAV14" s="55"/>
      <c r="AAW14" s="55"/>
      <c r="AAX14" s="55"/>
      <c r="AAY14" s="55"/>
      <c r="AAZ14" s="55"/>
      <c r="ABA14" s="55"/>
      <c r="ABB14" s="55"/>
      <c r="ABC14" s="55"/>
      <c r="ABD14" s="55"/>
      <c r="ABE14" s="55"/>
      <c r="ABF14" s="55"/>
      <c r="ABG14" s="55"/>
      <c r="ABH14" s="55"/>
      <c r="ABI14" s="55"/>
      <c r="ABJ14" s="55"/>
      <c r="ABK14" s="55"/>
      <c r="ABL14" s="55"/>
      <c r="ABM14" s="55"/>
      <c r="ABN14" s="55"/>
      <c r="ABO14" s="55"/>
      <c r="ABP14" s="55"/>
      <c r="ABQ14" s="55"/>
      <c r="ABR14" s="55"/>
      <c r="ABS14" s="55"/>
      <c r="ABT14" s="55"/>
      <c r="ABU14" s="55"/>
      <c r="ABV14" s="55"/>
      <c r="ABW14" s="55"/>
      <c r="ABX14" s="55"/>
      <c r="ABY14" s="55"/>
      <c r="ABZ14" s="55"/>
      <c r="ACA14" s="55"/>
      <c r="ACB14" s="55"/>
      <c r="ACC14" s="55"/>
      <c r="ACD14" s="55"/>
      <c r="ACE14" s="55"/>
      <c r="ACF14" s="55"/>
      <c r="ACG14" s="55"/>
      <c r="ACH14" s="55"/>
      <c r="ACI14" s="55"/>
      <c r="ACJ14" s="55"/>
      <c r="ACK14" s="55"/>
      <c r="ACL14" s="55"/>
      <c r="ACM14" s="55"/>
      <c r="ACN14" s="55"/>
      <c r="ACO14" s="55"/>
      <c r="ACP14" s="55"/>
      <c r="ACQ14" s="55"/>
      <c r="ACR14" s="55"/>
      <c r="ACS14" s="55"/>
      <c r="ACT14" s="55"/>
      <c r="ACU14" s="55"/>
      <c r="ACV14" s="55"/>
      <c r="ACW14" s="55"/>
      <c r="ACX14" s="55"/>
      <c r="ACY14" s="55"/>
      <c r="ACZ14" s="55"/>
      <c r="ADA14" s="55"/>
      <c r="ADB14" s="55"/>
      <c r="ADC14" s="55"/>
      <c r="ADD14" s="55"/>
      <c r="ADE14" s="55"/>
      <c r="ADF14" s="55"/>
      <c r="ADG14" s="55"/>
      <c r="ADH14" s="55"/>
      <c r="ADI14" s="55"/>
      <c r="ADJ14" s="55"/>
      <c r="ADK14" s="55"/>
      <c r="ADL14" s="55"/>
      <c r="ADM14" s="55"/>
      <c r="ADN14" s="55"/>
      <c r="ADO14" s="55"/>
      <c r="ADP14" s="55"/>
      <c r="ADQ14" s="55"/>
      <c r="ADR14" s="55"/>
      <c r="ADS14" s="55"/>
      <c r="ADT14" s="55"/>
      <c r="ADU14" s="55"/>
      <c r="ADV14" s="55"/>
      <c r="ADW14" s="55"/>
      <c r="ADX14" s="55"/>
      <c r="ADY14" s="55"/>
      <c r="ADZ14" s="55"/>
      <c r="AEA14" s="55"/>
      <c r="AEB14" s="55"/>
      <c r="AEC14" s="55"/>
      <c r="AED14" s="55"/>
      <c r="AEE14" s="55"/>
      <c r="AEF14" s="55"/>
      <c r="AEG14" s="55"/>
      <c r="AEH14" s="55"/>
      <c r="AEI14" s="55"/>
      <c r="AEJ14" s="55"/>
      <c r="AEK14" s="55"/>
      <c r="AEL14" s="55"/>
      <c r="AEM14" s="55"/>
      <c r="AEN14" s="55"/>
      <c r="AEO14" s="55"/>
      <c r="AEP14" s="55"/>
      <c r="AEQ14" s="55"/>
      <c r="AER14" s="55"/>
      <c r="AES14" s="55"/>
      <c r="AET14" s="55"/>
      <c r="AEU14" s="55"/>
      <c r="AEV14" s="55"/>
      <c r="AEW14" s="55"/>
      <c r="AEX14" s="55"/>
      <c r="AEY14" s="55"/>
      <c r="AEZ14" s="55"/>
      <c r="AFA14" s="55"/>
      <c r="AFB14" s="55"/>
      <c r="AFC14" s="55"/>
      <c r="AFD14" s="55"/>
      <c r="AFE14" s="55"/>
      <c r="AFF14" s="55"/>
      <c r="AFG14" s="55"/>
      <c r="AFH14" s="55"/>
      <c r="AFI14" s="55"/>
      <c r="AFJ14" s="55"/>
      <c r="AFK14" s="55"/>
      <c r="AFL14" s="55"/>
      <c r="AFM14" s="55"/>
      <c r="AFN14" s="55"/>
      <c r="AFO14" s="55"/>
      <c r="AFP14" s="55"/>
      <c r="AFQ14" s="55"/>
      <c r="AFR14" s="55"/>
      <c r="AFS14" s="55"/>
      <c r="AFT14" s="55"/>
      <c r="AFU14" s="55"/>
      <c r="AFV14" s="55"/>
      <c r="AFW14" s="55"/>
      <c r="AFX14" s="55"/>
      <c r="AFY14" s="55"/>
      <c r="AFZ14" s="55"/>
      <c r="AGA14" s="55"/>
      <c r="AGB14" s="55"/>
      <c r="AGC14" s="55"/>
      <c r="AGD14" s="55"/>
      <c r="AGE14" s="55"/>
      <c r="AGF14" s="55"/>
      <c r="AGG14" s="55"/>
      <c r="AGH14" s="55"/>
      <c r="AGI14" s="55"/>
      <c r="AGJ14" s="55"/>
      <c r="AGK14" s="55"/>
      <c r="AGL14" s="55"/>
      <c r="AGM14" s="55"/>
      <c r="AGN14" s="55"/>
      <c r="AGO14" s="55"/>
      <c r="AGP14" s="55"/>
      <c r="AGQ14" s="55"/>
      <c r="AGR14" s="55"/>
      <c r="AGS14" s="55"/>
      <c r="AGT14" s="55"/>
      <c r="AGU14" s="55"/>
      <c r="AGV14" s="55"/>
      <c r="AGW14" s="55"/>
      <c r="AGX14" s="55"/>
      <c r="AGY14" s="55"/>
      <c r="AGZ14" s="55"/>
      <c r="AHA14" s="55"/>
      <c r="AHB14" s="55"/>
      <c r="AHC14" s="55"/>
      <c r="AHD14" s="55"/>
      <c r="AHE14" s="55"/>
      <c r="AHF14" s="55"/>
      <c r="AHG14" s="55"/>
      <c r="AHH14" s="55"/>
      <c r="AHI14" s="55"/>
      <c r="AHJ14" s="55"/>
      <c r="AHK14" s="55"/>
      <c r="AHL14" s="55"/>
      <c r="AHM14" s="55"/>
      <c r="AHN14" s="55"/>
      <c r="AHO14" s="55"/>
      <c r="AHP14" s="55"/>
      <c r="AHQ14" s="55"/>
      <c r="AHR14" s="55"/>
      <c r="AHS14" s="55"/>
      <c r="AHT14" s="55"/>
      <c r="AHU14" s="55"/>
      <c r="AHV14" s="55"/>
      <c r="AHW14" s="55"/>
      <c r="AHX14" s="55"/>
      <c r="AHY14" s="55"/>
      <c r="AHZ14" s="55"/>
      <c r="AIA14" s="55"/>
      <c r="AIB14" s="55"/>
      <c r="AIC14" s="55"/>
      <c r="AID14" s="55"/>
      <c r="AIE14" s="55"/>
      <c r="AIF14" s="55"/>
      <c r="AIG14" s="55"/>
      <c r="AIH14" s="55"/>
      <c r="AII14" s="55"/>
      <c r="AIJ14" s="55"/>
      <c r="AIK14" s="55"/>
      <c r="AIL14" s="55"/>
      <c r="AIM14" s="55"/>
      <c r="AIN14" s="55"/>
      <c r="AIO14" s="55"/>
      <c r="AIP14" s="55"/>
      <c r="AIQ14" s="55"/>
      <c r="AIR14" s="55"/>
      <c r="AIS14" s="55"/>
      <c r="AIT14" s="55"/>
      <c r="AIU14" s="55"/>
      <c r="AIV14" s="55"/>
      <c r="AIW14" s="55"/>
      <c r="AIX14" s="55"/>
      <c r="AIY14" s="55"/>
      <c r="AIZ14" s="55"/>
      <c r="AJA14" s="55"/>
      <c r="AJB14" s="55"/>
      <c r="AJC14" s="55"/>
      <c r="AJD14" s="55"/>
      <c r="AJE14" s="55"/>
      <c r="AJF14" s="55"/>
      <c r="AJG14" s="55"/>
      <c r="AJH14" s="55"/>
      <c r="AJI14" s="55"/>
      <c r="AJJ14" s="55"/>
      <c r="AJK14" s="55"/>
      <c r="AJL14" s="55"/>
      <c r="AJM14" s="55"/>
      <c r="AJN14" s="55"/>
      <c r="AJO14" s="55"/>
      <c r="AJP14" s="55"/>
      <c r="AJQ14" s="55"/>
      <c r="AJR14" s="55"/>
      <c r="AJS14" s="55"/>
      <c r="AJT14" s="55"/>
      <c r="AJU14" s="55"/>
      <c r="AJV14" s="55"/>
      <c r="AJW14" s="55"/>
      <c r="AJX14" s="55"/>
      <c r="AJY14" s="55"/>
      <c r="AJZ14" s="55"/>
      <c r="AKA14" s="55"/>
      <c r="AKB14" s="55"/>
      <c r="AKC14" s="55"/>
      <c r="AKD14" s="55"/>
      <c r="AKE14" s="55"/>
      <c r="AKF14" s="55"/>
      <c r="AKG14" s="55"/>
      <c r="AKH14" s="55"/>
      <c r="AKI14" s="55"/>
      <c r="AKJ14" s="55"/>
      <c r="AKK14" s="55"/>
      <c r="AKL14" s="55"/>
      <c r="AKM14" s="55"/>
      <c r="AKN14" s="55"/>
      <c r="AKO14" s="55"/>
      <c r="AKP14" s="55"/>
      <c r="AKQ14" s="55"/>
      <c r="AKR14" s="55"/>
      <c r="AKS14" s="55"/>
      <c r="AKT14" s="55"/>
      <c r="AKU14" s="55"/>
      <c r="AKV14" s="55"/>
      <c r="AKW14" s="55"/>
      <c r="AKX14" s="55"/>
      <c r="AKY14" s="55"/>
      <c r="AKZ14" s="55"/>
      <c r="ALA14" s="55"/>
      <c r="ALB14" s="55"/>
      <c r="ALC14" s="55"/>
      <c r="ALD14" s="55"/>
      <c r="ALE14" s="55"/>
      <c r="ALF14" s="55"/>
      <c r="ALG14" s="55"/>
      <c r="ALH14" s="55"/>
      <c r="ALI14" s="55"/>
      <c r="ALJ14" s="55"/>
      <c r="ALK14" s="55"/>
      <c r="ALL14" s="55"/>
      <c r="ALM14" s="55"/>
      <c r="ALN14" s="55"/>
      <c r="ALO14" s="55"/>
      <c r="ALP14" s="55"/>
      <c r="ALQ14" s="55"/>
      <c r="ALR14" s="55"/>
      <c r="ALS14" s="55"/>
      <c r="ALT14" s="55"/>
      <c r="ALU14" s="55"/>
      <c r="ALV14" s="55"/>
      <c r="ALW14" s="55"/>
      <c r="ALX14" s="55"/>
      <c r="ALY14" s="55"/>
      <c r="ALZ14" s="55"/>
      <c r="AMA14" s="55"/>
      <c r="AMB14" s="55"/>
      <c r="AMC14" s="55"/>
      <c r="AMD14" s="55"/>
      <c r="AME14" s="55"/>
      <c r="AMF14" s="55"/>
      <c r="AMG14" s="55"/>
      <c r="AMH14" s="55"/>
      <c r="AMI14" s="55"/>
      <c r="AMJ14" s="55"/>
      <c r="AMK14" s="55"/>
      <c r="AML14" s="55"/>
      <c r="AMM14" s="55"/>
      <c r="AMN14" s="55"/>
      <c r="AMO14" s="55"/>
      <c r="AMP14" s="55"/>
      <c r="AMQ14" s="55"/>
      <c r="AMR14" s="55"/>
      <c r="AMS14" s="55"/>
      <c r="AMT14" s="55"/>
      <c r="AMU14" s="55"/>
      <c r="AMV14" s="55"/>
      <c r="AMW14" s="55"/>
      <c r="AMX14" s="55"/>
      <c r="AMY14" s="55"/>
      <c r="AMZ14" s="55"/>
      <c r="ANA14" s="55"/>
      <c r="ANB14" s="55"/>
      <c r="ANC14" s="55"/>
      <c r="AND14" s="55"/>
      <c r="ANE14" s="55"/>
      <c r="ANF14" s="55"/>
      <c r="ANG14" s="55"/>
      <c r="ANH14" s="55"/>
      <c r="ANI14" s="55"/>
      <c r="ANJ14" s="55"/>
      <c r="ANK14" s="55"/>
      <c r="ANL14" s="55"/>
      <c r="ANM14" s="55"/>
      <c r="ANN14" s="55"/>
      <c r="ANO14" s="55"/>
      <c r="ANP14" s="55"/>
      <c r="ANQ14" s="55"/>
      <c r="ANR14" s="55"/>
      <c r="ANS14" s="55"/>
      <c r="ANT14" s="55"/>
      <c r="ANU14" s="55"/>
      <c r="ANV14" s="55"/>
      <c r="ANW14" s="55"/>
      <c r="ANX14" s="55"/>
      <c r="ANY14" s="55"/>
      <c r="ANZ14" s="55"/>
      <c r="AOA14" s="55"/>
      <c r="AOB14" s="55"/>
      <c r="AOC14" s="55"/>
      <c r="AOD14" s="55"/>
      <c r="AOE14" s="55"/>
      <c r="AOF14" s="55"/>
      <c r="AOG14" s="55"/>
      <c r="AOH14" s="55"/>
      <c r="AOI14" s="55"/>
      <c r="AOJ14" s="55"/>
      <c r="AOK14" s="55"/>
      <c r="AOL14" s="55"/>
      <c r="AOM14" s="55"/>
      <c r="AON14" s="55"/>
      <c r="AOO14" s="55"/>
      <c r="AOP14" s="55"/>
      <c r="AOQ14" s="55"/>
      <c r="AOR14" s="55"/>
      <c r="AOS14" s="55"/>
      <c r="AOT14" s="55"/>
      <c r="AOU14" s="55"/>
      <c r="AOV14" s="55"/>
      <c r="AOW14" s="55"/>
      <c r="AOX14" s="55"/>
      <c r="AOY14" s="55"/>
      <c r="AOZ14" s="55"/>
      <c r="APA14" s="55"/>
      <c r="APB14" s="55"/>
      <c r="APC14" s="55"/>
      <c r="APD14" s="55"/>
      <c r="APE14" s="55"/>
      <c r="APF14" s="55"/>
      <c r="APG14" s="55"/>
      <c r="APH14" s="55"/>
      <c r="API14" s="55"/>
      <c r="APJ14" s="55"/>
      <c r="APK14" s="55"/>
      <c r="APL14" s="55"/>
      <c r="APM14" s="55"/>
      <c r="APN14" s="55"/>
      <c r="APO14" s="55"/>
      <c r="APP14" s="55"/>
      <c r="APQ14" s="55"/>
      <c r="APR14" s="55"/>
      <c r="APS14" s="55"/>
      <c r="APT14" s="55"/>
      <c r="APU14" s="55"/>
      <c r="APV14" s="55"/>
      <c r="APW14" s="55"/>
      <c r="APX14" s="55"/>
      <c r="APY14" s="55"/>
      <c r="APZ14" s="55"/>
      <c r="AQA14" s="55"/>
      <c r="AQB14" s="55"/>
      <c r="AQC14" s="55"/>
      <c r="AQD14" s="55"/>
      <c r="AQE14" s="55"/>
      <c r="AQF14" s="55"/>
      <c r="AQG14" s="55"/>
      <c r="AQH14" s="55"/>
      <c r="AQI14" s="55"/>
      <c r="AQJ14" s="55"/>
      <c r="AQK14" s="55"/>
      <c r="AQL14" s="55"/>
      <c r="AQM14" s="55"/>
      <c r="AQN14" s="55"/>
      <c r="AQO14" s="55"/>
      <c r="AQP14" s="55"/>
      <c r="AQQ14" s="55"/>
      <c r="AQR14" s="55"/>
      <c r="AQS14" s="55"/>
      <c r="AQT14" s="55"/>
      <c r="AQU14" s="55"/>
      <c r="AQV14" s="55"/>
      <c r="AQW14" s="55"/>
      <c r="AQX14" s="55"/>
      <c r="AQY14" s="55"/>
      <c r="AQZ14" s="55"/>
      <c r="ARA14" s="55"/>
      <c r="ARB14" s="55"/>
      <c r="ARC14" s="55"/>
      <c r="ARD14" s="55"/>
      <c r="ARE14" s="55"/>
      <c r="ARF14" s="55"/>
      <c r="ARG14" s="55"/>
      <c r="ARH14" s="55"/>
      <c r="ARI14" s="55"/>
      <c r="ARJ14" s="55"/>
      <c r="ARK14" s="55"/>
      <c r="ARL14" s="55"/>
      <c r="ARM14" s="55"/>
      <c r="ARN14" s="55"/>
      <c r="ARO14" s="55"/>
      <c r="ARP14" s="55"/>
      <c r="ARQ14" s="55"/>
      <c r="ARR14" s="55"/>
      <c r="ARS14" s="55"/>
      <c r="ART14" s="55"/>
      <c r="ARU14" s="55"/>
      <c r="ARV14" s="55"/>
      <c r="ARW14" s="55"/>
      <c r="ARX14" s="55"/>
      <c r="ARY14" s="55"/>
      <c r="ARZ14" s="55"/>
      <c r="ASA14" s="55"/>
      <c r="ASB14" s="55"/>
      <c r="ASC14" s="55"/>
      <c r="ASD14" s="55"/>
      <c r="ASE14" s="55"/>
      <c r="ASF14" s="55"/>
      <c r="ASG14" s="55"/>
      <c r="ASH14" s="55"/>
      <c r="ASI14" s="55"/>
      <c r="ASJ14" s="55"/>
      <c r="ASK14" s="55"/>
      <c r="ASL14" s="55"/>
      <c r="ASM14" s="55"/>
      <c r="ASN14" s="55"/>
      <c r="ASO14" s="55"/>
      <c r="ASP14" s="55"/>
      <c r="ASQ14" s="55"/>
      <c r="ASR14" s="55"/>
      <c r="ASS14" s="55"/>
      <c r="AST14" s="55"/>
      <c r="ASU14" s="55"/>
      <c r="ASV14" s="55"/>
      <c r="ASW14" s="55"/>
      <c r="ASX14" s="55"/>
      <c r="ASY14" s="55"/>
      <c r="ASZ14" s="55"/>
      <c r="ATA14" s="55"/>
      <c r="ATB14" s="55"/>
      <c r="ATC14" s="55"/>
      <c r="ATD14" s="55"/>
      <c r="ATE14" s="55"/>
      <c r="ATF14" s="55"/>
      <c r="ATG14" s="55"/>
      <c r="ATH14" s="55"/>
      <c r="ATI14" s="55"/>
      <c r="ATJ14" s="55"/>
      <c r="ATK14" s="55"/>
      <c r="ATL14" s="55"/>
      <c r="ATM14" s="55"/>
      <c r="ATN14" s="55"/>
      <c r="ATO14" s="55"/>
      <c r="ATP14" s="55"/>
      <c r="ATQ14" s="55"/>
      <c r="ATR14" s="55"/>
      <c r="ATS14" s="55"/>
      <c r="ATT14" s="55"/>
      <c r="ATU14" s="55"/>
      <c r="ATV14" s="55"/>
      <c r="ATW14" s="55"/>
      <c r="ATX14" s="55"/>
      <c r="ATY14" s="55"/>
      <c r="ATZ14" s="55"/>
      <c r="AUA14" s="55"/>
      <c r="AUB14" s="55"/>
      <c r="AUC14" s="55"/>
      <c r="AUD14" s="55"/>
      <c r="AUE14" s="55"/>
      <c r="AUF14" s="55"/>
      <c r="AUG14" s="55"/>
      <c r="AUH14" s="55"/>
      <c r="AUI14" s="55"/>
      <c r="AUJ14" s="55"/>
      <c r="AUK14" s="55"/>
      <c r="AUL14" s="55"/>
      <c r="AUM14" s="55"/>
      <c r="AUN14" s="55"/>
      <c r="AUO14" s="55"/>
      <c r="AUP14" s="55"/>
      <c r="AUQ14" s="55"/>
      <c r="AUR14" s="55"/>
      <c r="AUS14" s="55"/>
      <c r="AUT14" s="55"/>
      <c r="AUU14" s="55"/>
      <c r="AUV14" s="55"/>
      <c r="AUW14" s="55"/>
      <c r="AUX14" s="55"/>
      <c r="AUY14" s="55"/>
      <c r="AUZ14" s="55"/>
      <c r="AVA14" s="55"/>
      <c r="AVB14" s="55"/>
      <c r="AVC14" s="55"/>
      <c r="AVD14" s="55"/>
      <c r="AVE14" s="55"/>
      <c r="AVF14" s="55"/>
      <c r="AVG14" s="55"/>
      <c r="AVH14" s="55"/>
      <c r="AVI14" s="55"/>
      <c r="AVJ14" s="55"/>
      <c r="AVK14" s="55"/>
      <c r="AVL14" s="55"/>
      <c r="AVM14" s="55"/>
      <c r="AVN14" s="55"/>
      <c r="AVO14" s="55"/>
      <c r="AVP14" s="55"/>
      <c r="AVQ14" s="55"/>
      <c r="AVR14" s="55"/>
      <c r="AVS14" s="55"/>
      <c r="AVT14" s="55"/>
      <c r="AVU14" s="55"/>
      <c r="AVV14" s="55"/>
      <c r="AVW14" s="55"/>
      <c r="AVX14" s="55"/>
      <c r="AVY14" s="55"/>
      <c r="AVZ14" s="55"/>
      <c r="AWA14" s="55"/>
      <c r="AWB14" s="55"/>
      <c r="AWC14" s="55"/>
      <c r="AWD14" s="55"/>
      <c r="AWE14" s="55"/>
      <c r="AWF14" s="55"/>
      <c r="AWG14" s="55"/>
      <c r="AWH14" s="55"/>
      <c r="AWI14" s="55"/>
      <c r="AWJ14" s="55"/>
      <c r="AWK14" s="55"/>
      <c r="AWL14" s="55"/>
      <c r="AWM14" s="55"/>
      <c r="AWN14" s="55"/>
      <c r="AWO14" s="55"/>
      <c r="AWP14" s="55"/>
      <c r="AWQ14" s="55"/>
      <c r="AWR14" s="55"/>
      <c r="AWS14" s="55"/>
      <c r="AWT14" s="55"/>
      <c r="AWU14" s="55"/>
      <c r="AWV14" s="55"/>
      <c r="AWW14" s="55"/>
      <c r="AWX14" s="55"/>
      <c r="AWY14" s="55"/>
      <c r="AWZ14" s="55"/>
      <c r="AXA14" s="55"/>
      <c r="AXB14" s="55"/>
      <c r="AXC14" s="55"/>
      <c r="AXD14" s="55"/>
      <c r="AXE14" s="55"/>
      <c r="AXF14" s="55"/>
      <c r="AXG14" s="55"/>
      <c r="AXH14" s="55"/>
      <c r="AXI14" s="55"/>
      <c r="AXJ14" s="55"/>
      <c r="AXK14" s="55"/>
      <c r="AXL14" s="55"/>
      <c r="AXM14" s="55"/>
      <c r="AXN14" s="55"/>
      <c r="AXO14" s="55"/>
      <c r="AXP14" s="55"/>
      <c r="AXQ14" s="55"/>
      <c r="AXR14" s="55"/>
      <c r="AXS14" s="55"/>
      <c r="AXT14" s="55"/>
      <c r="AXU14" s="55"/>
      <c r="AXV14" s="55"/>
      <c r="AXW14" s="55"/>
      <c r="AXX14" s="55"/>
      <c r="AXY14" s="55"/>
      <c r="AXZ14" s="55"/>
      <c r="AYA14" s="55"/>
      <c r="AYB14" s="55"/>
      <c r="AYC14" s="55"/>
      <c r="AYD14" s="55"/>
      <c r="AYE14" s="55"/>
      <c r="AYF14" s="55"/>
      <c r="AYG14" s="55"/>
      <c r="AYH14" s="55"/>
      <c r="AYI14" s="55"/>
      <c r="AYJ14" s="55"/>
      <c r="AYK14" s="55"/>
      <c r="AYL14" s="55"/>
      <c r="AYM14" s="55"/>
      <c r="AYN14" s="55"/>
      <c r="AYO14" s="55"/>
      <c r="AYP14" s="55"/>
      <c r="AYQ14" s="55"/>
      <c r="AYR14" s="55"/>
      <c r="AYS14" s="55"/>
      <c r="AYT14" s="55"/>
      <c r="AYU14" s="55"/>
      <c r="AYV14" s="55"/>
      <c r="AYW14" s="55"/>
      <c r="AYX14" s="55"/>
      <c r="AYY14" s="55"/>
      <c r="AYZ14" s="55"/>
      <c r="AZA14" s="55"/>
      <c r="AZB14" s="55"/>
      <c r="AZC14" s="55"/>
      <c r="AZD14" s="55"/>
      <c r="AZE14" s="55"/>
      <c r="AZF14" s="55"/>
      <c r="AZG14" s="55"/>
      <c r="AZH14" s="55"/>
      <c r="AZI14" s="55"/>
      <c r="AZJ14" s="55"/>
      <c r="AZK14" s="55"/>
      <c r="AZL14" s="55"/>
      <c r="AZM14" s="55"/>
      <c r="AZN14" s="55"/>
      <c r="AZO14" s="55"/>
      <c r="AZP14" s="55"/>
      <c r="AZQ14" s="55"/>
      <c r="AZR14" s="55"/>
      <c r="AZS14" s="55"/>
      <c r="AZT14" s="55"/>
      <c r="AZU14" s="55"/>
      <c r="AZV14" s="55"/>
      <c r="AZW14" s="55"/>
      <c r="AZX14" s="55"/>
      <c r="AZY14" s="55"/>
      <c r="AZZ14" s="55"/>
      <c r="BAA14" s="55"/>
      <c r="BAB14" s="55"/>
      <c r="BAC14" s="55"/>
      <c r="BAD14" s="55"/>
      <c r="BAE14" s="55"/>
      <c r="BAF14" s="55"/>
      <c r="BAG14" s="55"/>
      <c r="BAH14" s="55"/>
      <c r="BAI14" s="55"/>
      <c r="BAJ14" s="55"/>
      <c r="BAK14" s="55"/>
      <c r="BAL14" s="55"/>
      <c r="BAM14" s="55"/>
      <c r="BAN14" s="55"/>
      <c r="BAO14" s="55"/>
      <c r="BAP14" s="55"/>
      <c r="BAQ14" s="55"/>
      <c r="BAR14" s="55"/>
      <c r="BAS14" s="55"/>
      <c r="BAT14" s="55"/>
      <c r="BAU14" s="55"/>
      <c r="BAV14" s="55"/>
      <c r="BAW14" s="55"/>
      <c r="BAX14" s="55"/>
      <c r="BAY14" s="55"/>
      <c r="BAZ14" s="55"/>
      <c r="BBA14" s="55"/>
      <c r="BBB14" s="55"/>
      <c r="BBC14" s="55"/>
      <c r="BBD14" s="55"/>
      <c r="BBE14" s="55"/>
      <c r="BBF14" s="55"/>
      <c r="BBG14" s="55"/>
      <c r="BBH14" s="55"/>
      <c r="BBI14" s="55"/>
      <c r="BBJ14" s="55"/>
      <c r="BBK14" s="55"/>
      <c r="BBL14" s="55"/>
      <c r="BBM14" s="55"/>
      <c r="BBN14" s="55"/>
      <c r="BBO14" s="55"/>
      <c r="BBP14" s="55"/>
      <c r="BBQ14" s="55"/>
      <c r="BBR14" s="55"/>
      <c r="BBS14" s="55"/>
      <c r="BBT14" s="55"/>
      <c r="BBU14" s="55"/>
      <c r="BBV14" s="55"/>
      <c r="BBW14" s="55"/>
      <c r="BBX14" s="55"/>
      <c r="BBY14" s="55"/>
      <c r="BBZ14" s="55"/>
      <c r="BCA14" s="55"/>
      <c r="BCB14" s="55"/>
      <c r="BCC14" s="55"/>
      <c r="BCD14" s="55"/>
      <c r="BCE14" s="55"/>
      <c r="BCF14" s="55"/>
      <c r="BCG14" s="55"/>
      <c r="BCH14" s="55"/>
      <c r="BCI14" s="55"/>
      <c r="BCJ14" s="55"/>
      <c r="BCK14" s="55"/>
      <c r="BCL14" s="55"/>
      <c r="BCM14" s="55"/>
      <c r="BCN14" s="55"/>
      <c r="BCO14" s="55"/>
      <c r="BCP14" s="55"/>
      <c r="BCQ14" s="55"/>
      <c r="BCR14" s="55"/>
      <c r="BCS14" s="55"/>
      <c r="BCT14" s="55"/>
      <c r="BCU14" s="55"/>
      <c r="BCV14" s="55"/>
      <c r="BCW14" s="55"/>
      <c r="BCX14" s="55"/>
      <c r="BCY14" s="55"/>
      <c r="BCZ14" s="55"/>
      <c r="BDA14" s="55"/>
      <c r="BDB14" s="55"/>
      <c r="BDC14" s="55"/>
      <c r="BDD14" s="55"/>
      <c r="BDE14" s="55"/>
      <c r="BDF14" s="55"/>
      <c r="BDG14" s="55"/>
      <c r="BDH14" s="55"/>
      <c r="BDI14" s="55"/>
      <c r="BDJ14" s="55"/>
      <c r="BDK14" s="55"/>
      <c r="BDL14" s="55"/>
      <c r="BDM14" s="55"/>
      <c r="BDN14" s="55"/>
      <c r="BDO14" s="55"/>
      <c r="BDP14" s="55"/>
      <c r="BDQ14" s="55"/>
      <c r="BDR14" s="55"/>
      <c r="BDS14" s="55"/>
      <c r="BDT14" s="55"/>
      <c r="BDU14" s="55"/>
      <c r="BDV14" s="55"/>
      <c r="BDW14" s="55"/>
      <c r="BDX14" s="55"/>
      <c r="BDY14" s="55"/>
      <c r="BDZ14" s="55"/>
      <c r="BEA14" s="55"/>
      <c r="BEB14" s="55"/>
      <c r="BEC14" s="55"/>
      <c r="BED14" s="55"/>
      <c r="BEE14" s="55"/>
      <c r="BEF14" s="55"/>
      <c r="BEG14" s="55"/>
      <c r="BEH14" s="55"/>
      <c r="BEI14" s="55"/>
      <c r="BEJ14" s="55"/>
      <c r="BEK14" s="55"/>
      <c r="BEL14" s="55"/>
      <c r="BEM14" s="55"/>
      <c r="BEN14" s="55"/>
      <c r="BEO14" s="55"/>
      <c r="BEP14" s="55"/>
      <c r="BEQ14" s="55"/>
      <c r="BER14" s="55"/>
      <c r="BES14" s="55"/>
      <c r="BET14" s="55"/>
      <c r="BEU14" s="55"/>
      <c r="BEV14" s="55"/>
      <c r="BEW14" s="55"/>
      <c r="BEX14" s="55"/>
      <c r="BEY14" s="55"/>
      <c r="BEZ14" s="55"/>
      <c r="BFA14" s="55"/>
      <c r="BFB14" s="55"/>
      <c r="BFC14" s="55"/>
      <c r="BFD14" s="55"/>
      <c r="BFE14" s="55"/>
      <c r="BFF14" s="55"/>
      <c r="BFG14" s="55"/>
      <c r="BFH14" s="55"/>
      <c r="BFI14" s="55"/>
      <c r="BFJ14" s="55"/>
      <c r="BFK14" s="55"/>
      <c r="BFL14" s="55"/>
      <c r="BFM14" s="55"/>
      <c r="BFN14" s="55"/>
      <c r="BFO14" s="55"/>
      <c r="BFP14" s="55"/>
      <c r="BFQ14" s="55"/>
      <c r="BFR14" s="55"/>
      <c r="BFS14" s="55"/>
      <c r="BFT14" s="55"/>
      <c r="BFU14" s="55"/>
      <c r="BFV14" s="55"/>
      <c r="BFW14" s="55"/>
      <c r="BFX14" s="55"/>
      <c r="BFY14" s="55"/>
      <c r="BFZ14" s="55"/>
      <c r="BGA14" s="55"/>
      <c r="BGB14" s="55"/>
      <c r="BGC14" s="55"/>
      <c r="BGD14" s="55"/>
      <c r="BGE14" s="55"/>
      <c r="BGF14" s="55"/>
      <c r="BGG14" s="55"/>
      <c r="BGH14" s="55"/>
      <c r="BGI14" s="55"/>
      <c r="BGJ14" s="55"/>
      <c r="BGK14" s="55"/>
      <c r="BGL14" s="55"/>
      <c r="BGM14" s="55"/>
      <c r="BGN14" s="55"/>
      <c r="BGO14" s="55"/>
      <c r="BGP14" s="55"/>
      <c r="BGQ14" s="55"/>
      <c r="BGR14" s="55"/>
      <c r="BGS14" s="55"/>
      <c r="BGT14" s="55"/>
      <c r="BGU14" s="55"/>
      <c r="BGV14" s="55"/>
      <c r="BGW14" s="55"/>
      <c r="BGX14" s="55"/>
      <c r="BGY14" s="55"/>
      <c r="BGZ14" s="55"/>
      <c r="BHA14" s="55"/>
      <c r="BHB14" s="55"/>
      <c r="BHC14" s="55"/>
      <c r="BHD14" s="55"/>
      <c r="BHE14" s="55"/>
      <c r="BHF14" s="55"/>
      <c r="BHG14" s="55"/>
      <c r="BHH14" s="55"/>
      <c r="BHI14" s="55"/>
      <c r="BHJ14" s="55"/>
      <c r="BHK14" s="55"/>
      <c r="BHL14" s="55"/>
      <c r="BHM14" s="55"/>
      <c r="BHN14" s="55"/>
      <c r="BHO14" s="55"/>
      <c r="BHP14" s="55"/>
      <c r="BHQ14" s="55"/>
      <c r="BHR14" s="55"/>
      <c r="BHS14" s="55"/>
      <c r="BHT14" s="55"/>
      <c r="BHU14" s="55"/>
      <c r="BHV14" s="55"/>
      <c r="BHW14" s="55"/>
      <c r="BHX14" s="55"/>
      <c r="BHY14" s="55"/>
      <c r="BHZ14" s="55"/>
      <c r="BIA14" s="55"/>
      <c r="BIB14" s="55"/>
      <c r="BIC14" s="55"/>
      <c r="BID14" s="55"/>
      <c r="BIE14" s="55"/>
      <c r="BIF14" s="55"/>
      <c r="BIG14" s="55"/>
      <c r="BIH14" s="55"/>
      <c r="BII14" s="55"/>
      <c r="BIJ14" s="55"/>
      <c r="BIK14" s="55"/>
      <c r="BIL14" s="55"/>
      <c r="BIM14" s="55"/>
      <c r="BIN14" s="55"/>
      <c r="BIO14" s="55"/>
      <c r="BIP14" s="55"/>
      <c r="BIQ14" s="55"/>
      <c r="BIR14" s="55"/>
      <c r="BIS14" s="55"/>
      <c r="BIT14" s="55"/>
      <c r="BIU14" s="55"/>
      <c r="BIV14" s="55"/>
      <c r="BIW14" s="55"/>
      <c r="BIX14" s="55"/>
      <c r="BIY14" s="55"/>
      <c r="BIZ14" s="55"/>
      <c r="BJA14" s="55"/>
      <c r="BJB14" s="55"/>
      <c r="BJC14" s="55"/>
      <c r="BJD14" s="55"/>
      <c r="BJE14" s="55"/>
      <c r="BJF14" s="55"/>
      <c r="BJG14" s="55"/>
      <c r="BJH14" s="55"/>
      <c r="BJI14" s="55"/>
      <c r="BJJ14" s="55"/>
      <c r="BJK14" s="55"/>
      <c r="BJL14" s="55"/>
      <c r="BJM14" s="55"/>
      <c r="BJN14" s="55"/>
      <c r="BJO14" s="55"/>
      <c r="BJP14" s="55"/>
      <c r="BJQ14" s="55"/>
      <c r="BJR14" s="55"/>
      <c r="BJS14" s="55"/>
      <c r="BJT14" s="55"/>
      <c r="BJU14" s="55"/>
      <c r="BJV14" s="55"/>
      <c r="BJW14" s="55"/>
      <c r="BJX14" s="55"/>
      <c r="BJY14" s="55"/>
      <c r="BJZ14" s="55"/>
      <c r="BKA14" s="55"/>
      <c r="BKB14" s="55"/>
      <c r="BKC14" s="55"/>
      <c r="BKD14" s="55"/>
      <c r="BKE14" s="55"/>
      <c r="BKF14" s="55"/>
      <c r="BKG14" s="55"/>
      <c r="BKH14" s="55"/>
      <c r="BKI14" s="55"/>
      <c r="BKJ14" s="55"/>
      <c r="BKK14" s="55"/>
      <c r="BKL14" s="55"/>
      <c r="BKM14" s="55"/>
      <c r="BKN14" s="55"/>
      <c r="BKO14" s="55"/>
      <c r="BKP14" s="55"/>
      <c r="BKQ14" s="55"/>
      <c r="BKR14" s="55"/>
      <c r="BKS14" s="55"/>
      <c r="BKT14" s="55"/>
      <c r="BKU14" s="55"/>
      <c r="BKV14" s="55"/>
      <c r="BKW14" s="55"/>
      <c r="BKX14" s="55"/>
      <c r="BKY14" s="55"/>
      <c r="BKZ14" s="55"/>
      <c r="BLA14" s="55"/>
      <c r="BLB14" s="55"/>
      <c r="BLC14" s="55"/>
      <c r="BLD14" s="55"/>
      <c r="BLE14" s="55"/>
      <c r="BLF14" s="55"/>
      <c r="BLG14" s="55"/>
      <c r="BLH14" s="55"/>
      <c r="BLI14" s="55"/>
      <c r="BLJ14" s="55"/>
      <c r="BLK14" s="55"/>
      <c r="BLL14" s="55"/>
      <c r="BLM14" s="55"/>
      <c r="BLN14" s="55"/>
      <c r="BLO14" s="55"/>
      <c r="BLP14" s="55"/>
      <c r="BLQ14" s="55"/>
      <c r="BLR14" s="55"/>
      <c r="BLS14" s="55"/>
      <c r="BLT14" s="55"/>
      <c r="BLU14" s="55"/>
      <c r="BLV14" s="55"/>
      <c r="BLW14" s="55"/>
      <c r="BLX14" s="55"/>
      <c r="BLY14" s="55"/>
      <c r="BLZ14" s="55"/>
      <c r="BMA14" s="55"/>
      <c r="BMB14" s="55"/>
      <c r="BMC14" s="55"/>
      <c r="BMD14" s="55"/>
      <c r="BME14" s="55"/>
      <c r="BMF14" s="55"/>
      <c r="BMG14" s="55"/>
      <c r="BMH14" s="55"/>
      <c r="BMI14" s="55"/>
      <c r="BMJ14" s="55"/>
      <c r="BMK14" s="55"/>
      <c r="BML14" s="55"/>
      <c r="BMM14" s="55"/>
      <c r="BMN14" s="55"/>
      <c r="BMO14" s="55"/>
      <c r="BMP14" s="55"/>
      <c r="BMQ14" s="55"/>
      <c r="BMR14" s="55"/>
      <c r="BMS14" s="55"/>
      <c r="BMT14" s="55"/>
      <c r="BMU14" s="55"/>
      <c r="BMV14" s="55"/>
      <c r="BMW14" s="55"/>
      <c r="BMX14" s="55"/>
      <c r="BMY14" s="55"/>
      <c r="BMZ14" s="55"/>
      <c r="BNA14" s="55"/>
      <c r="BNB14" s="55"/>
      <c r="BNC14" s="55"/>
      <c r="BND14" s="55"/>
      <c r="BNE14" s="55"/>
      <c r="BNF14" s="55"/>
      <c r="BNG14" s="55"/>
      <c r="BNH14" s="55"/>
      <c r="BNI14" s="55"/>
      <c r="BNJ14" s="55"/>
      <c r="BNK14" s="55"/>
      <c r="BNL14" s="55"/>
      <c r="BNM14" s="55"/>
      <c r="BNN14" s="55"/>
      <c r="BNO14" s="55"/>
      <c r="BNP14" s="55"/>
      <c r="BNQ14" s="55"/>
      <c r="BNR14" s="55"/>
      <c r="BNS14" s="55"/>
      <c r="BNT14" s="55"/>
      <c r="BNU14" s="55"/>
      <c r="BNV14" s="55"/>
      <c r="BNW14" s="55"/>
      <c r="BNX14" s="55"/>
      <c r="BNY14" s="55"/>
      <c r="BNZ14" s="55"/>
      <c r="BOA14" s="55"/>
      <c r="BOB14" s="55"/>
      <c r="BOC14" s="55"/>
      <c r="BOD14" s="55"/>
      <c r="BOE14" s="55"/>
      <c r="BOF14" s="55"/>
      <c r="BOG14" s="55"/>
      <c r="BOH14" s="55"/>
      <c r="BOI14" s="55"/>
      <c r="BOJ14" s="55"/>
      <c r="BOK14" s="55"/>
      <c r="BOL14" s="55"/>
      <c r="BOM14" s="55"/>
      <c r="BON14" s="55"/>
      <c r="BOO14" s="55"/>
      <c r="BOP14" s="55"/>
      <c r="BOQ14" s="55"/>
      <c r="BOR14" s="55"/>
      <c r="BOS14" s="55"/>
      <c r="BOT14" s="55"/>
      <c r="BOU14" s="55"/>
      <c r="BOV14" s="55"/>
      <c r="BOW14" s="55"/>
      <c r="BOX14" s="55"/>
      <c r="BOY14" s="55"/>
      <c r="BOZ14" s="55"/>
      <c r="BPA14" s="55"/>
      <c r="BPB14" s="55"/>
      <c r="BPC14" s="55"/>
      <c r="BPD14" s="55"/>
      <c r="BPE14" s="55"/>
      <c r="BPF14" s="55"/>
      <c r="BPG14" s="55"/>
      <c r="BPH14" s="55"/>
      <c r="BPI14" s="55"/>
      <c r="BPJ14" s="55"/>
      <c r="BPK14" s="55"/>
      <c r="BPL14" s="55"/>
      <c r="BPM14" s="55"/>
      <c r="BPN14" s="55"/>
      <c r="BPO14" s="55"/>
      <c r="BPP14" s="55"/>
      <c r="BPQ14" s="55"/>
      <c r="BPR14" s="55"/>
      <c r="BPS14" s="55"/>
      <c r="BPT14" s="55"/>
      <c r="BPU14" s="55"/>
      <c r="BPV14" s="55"/>
      <c r="BPW14" s="55"/>
      <c r="BPX14" s="55"/>
      <c r="BPY14" s="55"/>
      <c r="BPZ14" s="55"/>
      <c r="BQA14" s="55"/>
      <c r="BQB14" s="55"/>
      <c r="BQC14" s="55"/>
      <c r="BQD14" s="55"/>
      <c r="BQE14" s="55"/>
      <c r="BQF14" s="55"/>
      <c r="BQG14" s="55"/>
      <c r="BQH14" s="55"/>
      <c r="BQI14" s="55"/>
      <c r="BQJ14" s="55"/>
      <c r="BQK14" s="55"/>
      <c r="BQL14" s="55"/>
      <c r="BQM14" s="55"/>
      <c r="BQN14" s="55"/>
      <c r="BQO14" s="55"/>
      <c r="BQP14" s="55"/>
      <c r="BQQ14" s="55"/>
      <c r="BQR14" s="55"/>
      <c r="BQS14" s="55"/>
      <c r="BQT14" s="55"/>
      <c r="BQU14" s="55"/>
      <c r="BQV14" s="55"/>
      <c r="BQW14" s="55"/>
      <c r="BQX14" s="55"/>
      <c r="BQY14" s="55"/>
      <c r="BQZ14" s="55"/>
      <c r="BRA14" s="55"/>
      <c r="BRB14" s="55"/>
      <c r="BRC14" s="55"/>
      <c r="BRD14" s="55"/>
      <c r="BRE14" s="55"/>
      <c r="BRF14" s="55"/>
      <c r="BRG14" s="55"/>
      <c r="BRH14" s="55"/>
      <c r="BRI14" s="55"/>
      <c r="BRJ14" s="55"/>
      <c r="BRK14" s="55"/>
      <c r="BRL14" s="55"/>
      <c r="BRM14" s="55"/>
      <c r="BRN14" s="55"/>
      <c r="BRO14" s="55"/>
      <c r="BRP14" s="55"/>
      <c r="BRQ14" s="55"/>
      <c r="BRR14" s="55"/>
      <c r="BRS14" s="55"/>
      <c r="BRT14" s="55"/>
      <c r="BRU14" s="55"/>
      <c r="BRV14" s="55"/>
      <c r="BRW14" s="55"/>
      <c r="BRX14" s="55"/>
      <c r="BRY14" s="55"/>
      <c r="BRZ14" s="55"/>
      <c r="BSA14" s="55"/>
      <c r="BSB14" s="55"/>
      <c r="BSC14" s="55"/>
      <c r="BSD14" s="55"/>
      <c r="BSE14" s="55"/>
      <c r="BSF14" s="55"/>
      <c r="BSG14" s="55"/>
      <c r="BSH14" s="55"/>
      <c r="BSI14" s="55"/>
      <c r="BSJ14" s="55"/>
      <c r="BSK14" s="55"/>
      <c r="BSL14" s="55"/>
      <c r="BSM14" s="55"/>
      <c r="BSN14" s="55"/>
      <c r="BSO14" s="55"/>
      <c r="BSP14" s="55"/>
      <c r="BSQ14" s="55"/>
      <c r="BSR14" s="55"/>
      <c r="BSS14" s="55"/>
      <c r="BST14" s="55"/>
      <c r="BSU14" s="55"/>
      <c r="BSV14" s="55"/>
      <c r="BSW14" s="55"/>
      <c r="BSX14" s="55"/>
      <c r="BSY14" s="55"/>
      <c r="BSZ14" s="55"/>
      <c r="BTA14" s="55"/>
      <c r="BTB14" s="55"/>
      <c r="BTC14" s="55"/>
      <c r="BTD14" s="55"/>
      <c r="BTE14" s="55"/>
      <c r="BTF14" s="55"/>
      <c r="BTG14" s="55"/>
      <c r="BTH14" s="55"/>
      <c r="BTI14" s="55"/>
      <c r="BTJ14" s="55"/>
      <c r="BTK14" s="55"/>
      <c r="BTL14" s="55"/>
      <c r="BTM14" s="55"/>
      <c r="BTN14" s="55"/>
      <c r="BTO14" s="55"/>
      <c r="BTP14" s="55"/>
      <c r="BTQ14" s="55"/>
      <c r="BTR14" s="55"/>
      <c r="BTS14" s="55"/>
      <c r="BTT14" s="55"/>
      <c r="BTU14" s="55"/>
      <c r="BTV14" s="55"/>
      <c r="BTW14" s="55"/>
      <c r="BTX14" s="55"/>
      <c r="BTY14" s="55"/>
      <c r="BTZ14" s="55"/>
      <c r="BUA14" s="55"/>
      <c r="BUB14" s="55"/>
      <c r="BUC14" s="55"/>
      <c r="BUD14" s="55"/>
      <c r="BUE14" s="55"/>
      <c r="BUF14" s="55"/>
      <c r="BUG14" s="55"/>
      <c r="BUH14" s="55"/>
      <c r="BUI14" s="55"/>
      <c r="BUJ14" s="55"/>
      <c r="BUK14" s="55"/>
      <c r="BUL14" s="55"/>
      <c r="BUM14" s="55"/>
      <c r="BUN14" s="55"/>
      <c r="BUO14" s="55"/>
      <c r="BUP14" s="55"/>
      <c r="BUQ14" s="55"/>
      <c r="BUR14" s="55"/>
      <c r="BUS14" s="55"/>
      <c r="BUT14" s="55"/>
      <c r="BUU14" s="55"/>
      <c r="BUV14" s="55"/>
      <c r="BUW14" s="55"/>
      <c r="BUX14" s="55"/>
      <c r="BUY14" s="55"/>
      <c r="BUZ14" s="55"/>
      <c r="BVA14" s="55"/>
      <c r="BVB14" s="55"/>
      <c r="BVC14" s="55"/>
      <c r="BVD14" s="55"/>
      <c r="BVE14" s="55"/>
      <c r="BVF14" s="55"/>
      <c r="BVG14" s="55"/>
      <c r="BVH14" s="55"/>
      <c r="BVI14" s="55"/>
      <c r="BVJ14" s="55"/>
      <c r="BVK14" s="55"/>
      <c r="BVL14" s="55"/>
      <c r="BVM14" s="55"/>
      <c r="BVN14" s="55"/>
      <c r="BVO14" s="55"/>
      <c r="BVP14" s="55"/>
      <c r="BVQ14" s="55"/>
      <c r="BVR14" s="55"/>
      <c r="BVS14" s="55"/>
      <c r="BVT14" s="55"/>
      <c r="BVU14" s="55"/>
      <c r="BVV14" s="55"/>
      <c r="BVW14" s="55"/>
      <c r="BVX14" s="55"/>
      <c r="BVY14" s="55"/>
      <c r="BVZ14" s="55"/>
      <c r="BWA14" s="55"/>
      <c r="BWB14" s="55"/>
      <c r="BWC14" s="55"/>
      <c r="BWD14" s="55"/>
      <c r="BWE14" s="55"/>
      <c r="BWF14" s="55"/>
      <c r="BWG14" s="55"/>
      <c r="BWH14" s="55"/>
      <c r="BWI14" s="55"/>
      <c r="BWJ14" s="55"/>
      <c r="BWK14" s="55"/>
      <c r="BWL14" s="55"/>
      <c r="BWM14" s="55"/>
      <c r="BWN14" s="55"/>
      <c r="BWO14" s="55"/>
      <c r="BWP14" s="55"/>
      <c r="BWQ14" s="55"/>
      <c r="BWR14" s="55"/>
      <c r="BWS14" s="55"/>
      <c r="BWT14" s="55"/>
      <c r="BWU14" s="55"/>
      <c r="BWV14" s="55"/>
      <c r="BWW14" s="55"/>
      <c r="BWX14" s="55"/>
      <c r="BWY14" s="55"/>
      <c r="BWZ14" s="55"/>
      <c r="BXA14" s="55"/>
      <c r="BXB14" s="55"/>
      <c r="BXC14" s="55"/>
      <c r="BXD14" s="55"/>
      <c r="BXE14" s="55"/>
      <c r="BXF14" s="55"/>
      <c r="BXG14" s="55"/>
      <c r="BXH14" s="55"/>
      <c r="BXI14" s="55"/>
      <c r="BXJ14" s="55"/>
      <c r="BXK14" s="55"/>
      <c r="BXL14" s="55"/>
      <c r="BXM14" s="55"/>
      <c r="BXN14" s="55"/>
      <c r="BXO14" s="55"/>
      <c r="BXP14" s="55"/>
      <c r="BXQ14" s="55"/>
      <c r="BXR14" s="55"/>
      <c r="BXS14" s="55"/>
      <c r="BXT14" s="55"/>
      <c r="BXU14" s="55"/>
      <c r="BXV14" s="55"/>
      <c r="BXW14" s="55"/>
      <c r="BXX14" s="55"/>
      <c r="BXY14" s="55"/>
      <c r="BXZ14" s="55"/>
      <c r="BYA14" s="55"/>
      <c r="BYB14" s="55"/>
      <c r="BYC14" s="55"/>
      <c r="BYD14" s="55"/>
      <c r="BYE14" s="55"/>
      <c r="BYF14" s="55"/>
      <c r="BYG14" s="55"/>
      <c r="BYH14" s="55"/>
      <c r="BYI14" s="55"/>
      <c r="BYJ14" s="55"/>
      <c r="BYK14" s="55"/>
      <c r="BYL14" s="55"/>
      <c r="BYM14" s="55"/>
      <c r="BYN14" s="55"/>
      <c r="BYO14" s="55"/>
      <c r="BYP14" s="55"/>
      <c r="BYQ14" s="55"/>
      <c r="BYR14" s="55"/>
      <c r="BYS14" s="55"/>
      <c r="BYT14" s="55"/>
      <c r="BYU14" s="55"/>
      <c r="BYV14" s="55"/>
      <c r="BYW14" s="55"/>
      <c r="BYX14" s="55"/>
      <c r="BYY14" s="55"/>
      <c r="BYZ14" s="55"/>
      <c r="BZA14" s="55"/>
      <c r="BZB14" s="55"/>
      <c r="BZC14" s="55"/>
      <c r="BZD14" s="55"/>
      <c r="BZE14" s="55"/>
      <c r="BZF14" s="55"/>
      <c r="BZG14" s="55"/>
      <c r="BZH14" s="55"/>
      <c r="BZI14" s="55"/>
      <c r="BZJ14" s="55"/>
      <c r="BZK14" s="55"/>
      <c r="BZL14" s="55"/>
      <c r="BZM14" s="55"/>
      <c r="BZN14" s="55"/>
      <c r="BZO14" s="55"/>
      <c r="BZP14" s="55"/>
      <c r="BZQ14" s="55"/>
      <c r="BZR14" s="55"/>
      <c r="BZS14" s="55"/>
      <c r="BZT14" s="55"/>
      <c r="BZU14" s="55"/>
      <c r="BZV14" s="55"/>
      <c r="BZW14" s="55"/>
      <c r="BZX14" s="55"/>
      <c r="BZY14" s="55"/>
      <c r="BZZ14" s="55"/>
      <c r="CAA14" s="55"/>
      <c r="CAB14" s="55"/>
      <c r="CAC14" s="55"/>
      <c r="CAD14" s="55"/>
      <c r="CAE14" s="55"/>
      <c r="CAF14" s="55"/>
      <c r="CAG14" s="55"/>
      <c r="CAH14" s="55"/>
      <c r="CAI14" s="55"/>
      <c r="CAJ14" s="55"/>
      <c r="CAK14" s="55"/>
      <c r="CAL14" s="55"/>
      <c r="CAM14" s="55"/>
      <c r="CAN14" s="55"/>
      <c r="CAO14" s="55"/>
      <c r="CAP14" s="55"/>
      <c r="CAQ14" s="55"/>
      <c r="CAR14" s="55"/>
      <c r="CAS14" s="55"/>
      <c r="CAT14" s="55"/>
      <c r="CAU14" s="55"/>
      <c r="CAV14" s="55"/>
      <c r="CAW14" s="55"/>
      <c r="CAX14" s="55"/>
      <c r="CAY14" s="55"/>
      <c r="CAZ14" s="55"/>
      <c r="CBA14" s="55"/>
      <c r="CBB14" s="55"/>
      <c r="CBC14" s="55"/>
      <c r="CBD14" s="55"/>
      <c r="CBE14" s="55"/>
      <c r="CBF14" s="55"/>
      <c r="CBG14" s="55"/>
      <c r="CBH14" s="55"/>
      <c r="CBI14" s="55"/>
      <c r="CBJ14" s="55"/>
      <c r="CBK14" s="55"/>
      <c r="CBL14" s="55"/>
      <c r="CBM14" s="55"/>
      <c r="CBN14" s="55"/>
      <c r="CBO14" s="55"/>
      <c r="CBP14" s="55"/>
      <c r="CBQ14" s="55"/>
      <c r="CBR14" s="55"/>
      <c r="CBS14" s="55"/>
      <c r="CBT14" s="55"/>
      <c r="CBU14" s="55"/>
      <c r="CBV14" s="55"/>
      <c r="CBW14" s="55"/>
      <c r="CBX14" s="55"/>
      <c r="CBY14" s="55"/>
      <c r="CBZ14" s="55"/>
      <c r="CCA14" s="55"/>
      <c r="CCB14" s="55"/>
      <c r="CCC14" s="55"/>
      <c r="CCD14" s="55"/>
      <c r="CCE14" s="55"/>
      <c r="CCF14" s="55"/>
      <c r="CCG14" s="55"/>
      <c r="CCH14" s="55"/>
      <c r="CCI14" s="55"/>
      <c r="CCJ14" s="55"/>
      <c r="CCK14" s="55"/>
      <c r="CCL14" s="55"/>
      <c r="CCM14" s="55"/>
      <c r="CCN14" s="55"/>
      <c r="CCO14" s="55"/>
      <c r="CCP14" s="55"/>
      <c r="CCQ14" s="55"/>
      <c r="CCR14" s="55"/>
      <c r="CCS14" s="55"/>
      <c r="CCT14" s="55"/>
      <c r="CCU14" s="55"/>
      <c r="CCV14" s="55"/>
      <c r="CCW14" s="55"/>
      <c r="CCX14" s="55"/>
      <c r="CCY14" s="55"/>
      <c r="CCZ14" s="55"/>
      <c r="CDA14" s="55"/>
      <c r="CDB14" s="55"/>
      <c r="CDC14" s="55"/>
      <c r="CDD14" s="55"/>
      <c r="CDE14" s="55"/>
      <c r="CDF14" s="55"/>
      <c r="CDG14" s="55"/>
      <c r="CDH14" s="55"/>
      <c r="CDI14" s="55"/>
      <c r="CDJ14" s="55"/>
      <c r="CDK14" s="55"/>
      <c r="CDL14" s="55"/>
      <c r="CDM14" s="55"/>
      <c r="CDN14" s="55"/>
      <c r="CDO14" s="55"/>
      <c r="CDP14" s="55"/>
      <c r="CDQ14" s="55"/>
      <c r="CDR14" s="55"/>
      <c r="CDS14" s="55"/>
      <c r="CDT14" s="55"/>
      <c r="CDU14" s="55"/>
      <c r="CDV14" s="55"/>
      <c r="CDW14" s="55"/>
      <c r="CDX14" s="55"/>
      <c r="CDY14" s="55"/>
      <c r="CDZ14" s="55"/>
      <c r="CEA14" s="55"/>
      <c r="CEB14" s="55"/>
      <c r="CEC14" s="55"/>
      <c r="CED14" s="55"/>
      <c r="CEE14" s="55"/>
      <c r="CEF14" s="55"/>
      <c r="CEG14" s="55"/>
      <c r="CEH14" s="55"/>
      <c r="CEI14" s="55"/>
      <c r="CEJ14" s="55"/>
      <c r="CEK14" s="55"/>
      <c r="CEL14" s="55"/>
      <c r="CEM14" s="55"/>
      <c r="CEN14" s="55"/>
      <c r="CEO14" s="55"/>
      <c r="CEP14" s="55"/>
      <c r="CEQ14" s="55"/>
      <c r="CER14" s="55"/>
      <c r="CES14" s="55"/>
      <c r="CET14" s="55"/>
      <c r="CEU14" s="55"/>
      <c r="CEV14" s="55"/>
      <c r="CEW14" s="55"/>
      <c r="CEX14" s="55"/>
      <c r="CEY14" s="55"/>
      <c r="CEZ14" s="55"/>
      <c r="CFA14" s="55"/>
      <c r="CFB14" s="55"/>
      <c r="CFC14" s="55"/>
      <c r="CFD14" s="55"/>
      <c r="CFE14" s="55"/>
      <c r="CFF14" s="55"/>
      <c r="CFG14" s="55"/>
      <c r="CFH14" s="55"/>
      <c r="CFI14" s="55"/>
      <c r="CFJ14" s="55"/>
      <c r="CFK14" s="55"/>
      <c r="CFL14" s="55"/>
      <c r="CFM14" s="55"/>
      <c r="CFN14" s="55"/>
      <c r="CFO14" s="55"/>
      <c r="CFP14" s="55"/>
      <c r="CFQ14" s="55"/>
      <c r="CFR14" s="55"/>
      <c r="CFS14" s="55"/>
      <c r="CFT14" s="55"/>
      <c r="CFU14" s="55"/>
      <c r="CFV14" s="55"/>
      <c r="CFW14" s="55"/>
      <c r="CFX14" s="55"/>
      <c r="CFY14" s="55"/>
      <c r="CFZ14" s="55"/>
      <c r="CGA14" s="55"/>
      <c r="CGB14" s="55"/>
      <c r="CGC14" s="55"/>
      <c r="CGD14" s="55"/>
      <c r="CGE14" s="55"/>
      <c r="CGF14" s="55"/>
      <c r="CGG14" s="55"/>
      <c r="CGH14" s="55"/>
      <c r="CGI14" s="55"/>
      <c r="CGJ14" s="55"/>
      <c r="CGK14" s="55"/>
      <c r="CGL14" s="55"/>
      <c r="CGM14" s="55"/>
      <c r="CGN14" s="55"/>
      <c r="CGO14" s="55"/>
      <c r="CGP14" s="55"/>
      <c r="CGQ14" s="55"/>
      <c r="CGR14" s="55"/>
      <c r="CGS14" s="55"/>
      <c r="CGT14" s="55"/>
      <c r="CGU14" s="55"/>
      <c r="CGV14" s="55"/>
      <c r="CGW14" s="55"/>
      <c r="CGX14" s="55"/>
      <c r="CGY14" s="55"/>
      <c r="CGZ14" s="55"/>
      <c r="CHA14" s="55"/>
      <c r="CHB14" s="55"/>
      <c r="CHC14" s="55"/>
      <c r="CHD14" s="55"/>
      <c r="CHE14" s="55"/>
      <c r="CHF14" s="55"/>
      <c r="CHG14" s="55"/>
      <c r="CHH14" s="55"/>
      <c r="CHI14" s="55"/>
      <c r="CHJ14" s="55"/>
      <c r="CHK14" s="55"/>
      <c r="CHL14" s="55"/>
      <c r="CHM14" s="55"/>
      <c r="CHN14" s="55"/>
      <c r="CHO14" s="55"/>
      <c r="CHP14" s="55"/>
      <c r="CHQ14" s="55"/>
      <c r="CHR14" s="55"/>
      <c r="CHS14" s="55"/>
      <c r="CHT14" s="55"/>
      <c r="CHU14" s="55"/>
      <c r="CHV14" s="55"/>
      <c r="CHW14" s="55"/>
      <c r="CHX14" s="55"/>
      <c r="CHY14" s="55"/>
      <c r="CHZ14" s="55"/>
      <c r="CIA14" s="55"/>
      <c r="CIB14" s="55"/>
      <c r="CIC14" s="55"/>
      <c r="CID14" s="55"/>
      <c r="CIE14" s="55"/>
      <c r="CIF14" s="55"/>
      <c r="CIG14" s="55"/>
      <c r="CIH14" s="55"/>
      <c r="CII14" s="55"/>
      <c r="CIJ14" s="55"/>
      <c r="CIK14" s="55"/>
      <c r="CIL14" s="55"/>
      <c r="CIM14" s="55"/>
      <c r="CIN14" s="55"/>
      <c r="CIO14" s="55"/>
      <c r="CIP14" s="55"/>
      <c r="CIQ14" s="55"/>
      <c r="CIR14" s="55"/>
      <c r="CIS14" s="55"/>
      <c r="CIT14" s="55"/>
      <c r="CIU14" s="55"/>
      <c r="CIV14" s="55"/>
      <c r="CIW14" s="55"/>
      <c r="CIX14" s="55"/>
      <c r="CIY14" s="55"/>
      <c r="CIZ14" s="55"/>
      <c r="CJA14" s="55"/>
      <c r="CJB14" s="55"/>
      <c r="CJC14" s="55"/>
      <c r="CJD14" s="55"/>
      <c r="CJE14" s="55"/>
      <c r="CJF14" s="55"/>
      <c r="CJG14" s="55"/>
      <c r="CJH14" s="55"/>
      <c r="CJI14" s="55"/>
      <c r="CJJ14" s="55"/>
      <c r="CJK14" s="55"/>
      <c r="CJL14" s="55"/>
      <c r="CJM14" s="55"/>
      <c r="CJN14" s="55"/>
      <c r="CJO14" s="55"/>
      <c r="CJP14" s="55"/>
      <c r="CJQ14" s="55"/>
      <c r="CJR14" s="55"/>
      <c r="CJS14" s="55"/>
      <c r="CJT14" s="55"/>
      <c r="CJU14" s="55"/>
      <c r="CJV14" s="55"/>
      <c r="CJW14" s="55"/>
      <c r="CJX14" s="55"/>
      <c r="CJY14" s="55"/>
      <c r="CJZ14" s="55"/>
      <c r="CKA14" s="55"/>
      <c r="CKB14" s="55"/>
      <c r="CKC14" s="55"/>
      <c r="CKD14" s="55"/>
      <c r="CKE14" s="55"/>
      <c r="CKF14" s="55"/>
      <c r="CKG14" s="55"/>
      <c r="CKH14" s="55"/>
      <c r="CKI14" s="55"/>
      <c r="CKJ14" s="55"/>
      <c r="CKK14" s="55"/>
      <c r="CKL14" s="55"/>
      <c r="CKM14" s="55"/>
      <c r="CKN14" s="55"/>
      <c r="CKO14" s="55"/>
      <c r="CKP14" s="55"/>
      <c r="CKQ14" s="55"/>
      <c r="CKR14" s="55"/>
      <c r="CKS14" s="55"/>
      <c r="CKT14" s="55"/>
      <c r="CKU14" s="55"/>
      <c r="CKV14" s="55"/>
      <c r="CKW14" s="55"/>
      <c r="CKX14" s="55"/>
      <c r="CKY14" s="55"/>
      <c r="CKZ14" s="55"/>
      <c r="CLA14" s="55"/>
      <c r="CLB14" s="55"/>
      <c r="CLC14" s="55"/>
      <c r="CLD14" s="55"/>
      <c r="CLE14" s="55"/>
      <c r="CLF14" s="55"/>
      <c r="CLG14" s="55"/>
      <c r="CLH14" s="55"/>
      <c r="CLI14" s="55"/>
      <c r="CLJ14" s="55"/>
      <c r="CLK14" s="55"/>
      <c r="CLL14" s="55"/>
      <c r="CLM14" s="55"/>
      <c r="CLN14" s="55"/>
      <c r="CLO14" s="55"/>
      <c r="CLP14" s="55"/>
      <c r="CLQ14" s="55"/>
      <c r="CLR14" s="55"/>
      <c r="CLS14" s="55"/>
      <c r="CLT14" s="55"/>
      <c r="CLU14" s="55"/>
      <c r="CLV14" s="55"/>
      <c r="CLW14" s="55"/>
      <c r="CLX14" s="55"/>
      <c r="CLY14" s="55"/>
      <c r="CLZ14" s="55"/>
      <c r="CMA14" s="55"/>
      <c r="CMB14" s="55"/>
      <c r="CMC14" s="55"/>
      <c r="CMD14" s="55"/>
      <c r="CME14" s="55"/>
      <c r="CMF14" s="55"/>
      <c r="CMG14" s="55"/>
      <c r="CMH14" s="55"/>
      <c r="CMI14" s="55"/>
      <c r="CMJ14" s="55"/>
      <c r="CMK14" s="55"/>
      <c r="CML14" s="55"/>
      <c r="CMM14" s="55"/>
      <c r="CMN14" s="55"/>
      <c r="CMO14" s="55"/>
      <c r="CMP14" s="55"/>
      <c r="CMQ14" s="55"/>
      <c r="CMR14" s="55"/>
      <c r="CMS14" s="55"/>
      <c r="CMT14" s="55"/>
      <c r="CMU14" s="55"/>
      <c r="CMV14" s="55"/>
      <c r="CMW14" s="55"/>
      <c r="CMX14" s="55"/>
      <c r="CMY14" s="55"/>
      <c r="CMZ14" s="55"/>
      <c r="CNA14" s="55"/>
      <c r="CNB14" s="55"/>
      <c r="CNC14" s="55"/>
      <c r="CND14" s="55"/>
      <c r="CNE14" s="55"/>
      <c r="CNF14" s="55"/>
      <c r="CNG14" s="55"/>
      <c r="CNH14" s="55"/>
      <c r="CNI14" s="55"/>
      <c r="CNJ14" s="55"/>
      <c r="CNK14" s="55"/>
      <c r="CNL14" s="55"/>
      <c r="CNM14" s="55"/>
      <c r="CNN14" s="55"/>
      <c r="CNO14" s="55"/>
      <c r="CNP14" s="55"/>
      <c r="CNQ14" s="55"/>
      <c r="CNR14" s="55"/>
      <c r="CNS14" s="55"/>
      <c r="CNT14" s="55"/>
      <c r="CNU14" s="55"/>
      <c r="CNV14" s="55"/>
      <c r="CNW14" s="55"/>
      <c r="CNX14" s="55"/>
      <c r="CNY14" s="55"/>
      <c r="CNZ14" s="55"/>
      <c r="COA14" s="55"/>
      <c r="COB14" s="55"/>
      <c r="COC14" s="55"/>
      <c r="COD14" s="55"/>
      <c r="COE14" s="55"/>
      <c r="COF14" s="55"/>
      <c r="COG14" s="55"/>
      <c r="COH14" s="55"/>
      <c r="COI14" s="55"/>
      <c r="COJ14" s="55"/>
      <c r="COK14" s="55"/>
      <c r="COL14" s="55"/>
      <c r="COM14" s="55"/>
      <c r="CON14" s="55"/>
      <c r="COO14" s="55"/>
      <c r="COP14" s="55"/>
      <c r="COQ14" s="55"/>
      <c r="COR14" s="55"/>
      <c r="COS14" s="55"/>
      <c r="COT14" s="55"/>
      <c r="COU14" s="55"/>
      <c r="COV14" s="55"/>
      <c r="COW14" s="55"/>
      <c r="COX14" s="55"/>
      <c r="COY14" s="55"/>
      <c r="COZ14" s="55"/>
      <c r="CPA14" s="55"/>
      <c r="CPB14" s="55"/>
      <c r="CPC14" s="55"/>
      <c r="CPD14" s="55"/>
      <c r="CPE14" s="55"/>
      <c r="CPF14" s="55"/>
      <c r="CPG14" s="55"/>
      <c r="CPH14" s="55"/>
      <c r="CPI14" s="55"/>
      <c r="CPJ14" s="55"/>
      <c r="CPK14" s="55"/>
      <c r="CPL14" s="55"/>
      <c r="CPM14" s="55"/>
      <c r="CPN14" s="55"/>
      <c r="CPO14" s="55"/>
      <c r="CPP14" s="55"/>
      <c r="CPQ14" s="55"/>
      <c r="CPR14" s="55"/>
      <c r="CPS14" s="55"/>
      <c r="CPT14" s="55"/>
      <c r="CPU14" s="55"/>
      <c r="CPV14" s="55"/>
      <c r="CPW14" s="55"/>
      <c r="CPX14" s="55"/>
      <c r="CPY14" s="55"/>
      <c r="CPZ14" s="55"/>
      <c r="CQA14" s="55"/>
      <c r="CQB14" s="55"/>
      <c r="CQC14" s="55"/>
      <c r="CQD14" s="55"/>
      <c r="CQE14" s="55"/>
      <c r="CQF14" s="55"/>
      <c r="CQG14" s="55"/>
      <c r="CQH14" s="55"/>
      <c r="CQI14" s="55"/>
      <c r="CQJ14" s="55"/>
      <c r="CQK14" s="55"/>
      <c r="CQL14" s="55"/>
      <c r="CQM14" s="55"/>
      <c r="CQN14" s="55"/>
      <c r="CQO14" s="55"/>
      <c r="CQP14" s="55"/>
      <c r="CQQ14" s="55"/>
      <c r="CQR14" s="55"/>
      <c r="CQS14" s="55"/>
      <c r="CQT14" s="55"/>
      <c r="CQU14" s="55"/>
      <c r="CQV14" s="55"/>
      <c r="CQW14" s="55"/>
      <c r="CQX14" s="55"/>
      <c r="CQY14" s="55"/>
      <c r="CQZ14" s="55"/>
      <c r="CRA14" s="55"/>
      <c r="CRB14" s="55"/>
      <c r="CRC14" s="55"/>
      <c r="CRD14" s="55"/>
      <c r="CRE14" s="55"/>
      <c r="CRF14" s="55"/>
      <c r="CRG14" s="55"/>
      <c r="CRH14" s="55"/>
      <c r="CRI14" s="55"/>
      <c r="CRJ14" s="55"/>
      <c r="CRK14" s="55"/>
      <c r="CRL14" s="55"/>
      <c r="CRM14" s="55"/>
      <c r="CRN14" s="55"/>
      <c r="CRO14" s="55"/>
      <c r="CRP14" s="55"/>
      <c r="CRQ14" s="55"/>
      <c r="CRR14" s="55"/>
      <c r="CRS14" s="55"/>
      <c r="CRT14" s="55"/>
      <c r="CRU14" s="55"/>
      <c r="CRV14" s="55"/>
      <c r="CRW14" s="55"/>
      <c r="CRX14" s="55"/>
      <c r="CRY14" s="55"/>
      <c r="CRZ14" s="55"/>
      <c r="CSA14" s="55"/>
      <c r="CSB14" s="55"/>
      <c r="CSC14" s="55"/>
      <c r="CSD14" s="55"/>
      <c r="CSE14" s="55"/>
      <c r="CSF14" s="55"/>
      <c r="CSG14" s="55"/>
      <c r="CSH14" s="55"/>
      <c r="CSI14" s="55"/>
      <c r="CSJ14" s="55"/>
      <c r="CSK14" s="55"/>
      <c r="CSL14" s="55"/>
      <c r="CSM14" s="55"/>
      <c r="CSN14" s="55"/>
      <c r="CSO14" s="55"/>
      <c r="CSP14" s="55"/>
      <c r="CSQ14" s="55"/>
      <c r="CSR14" s="55"/>
      <c r="CSS14" s="55"/>
      <c r="CST14" s="55"/>
      <c r="CSU14" s="55"/>
      <c r="CSV14" s="55"/>
      <c r="CSW14" s="55"/>
      <c r="CSX14" s="55"/>
      <c r="CSY14" s="55"/>
      <c r="CSZ14" s="55"/>
      <c r="CTA14" s="55"/>
      <c r="CTB14" s="55"/>
      <c r="CTC14" s="55"/>
      <c r="CTD14" s="55"/>
      <c r="CTE14" s="55"/>
      <c r="CTF14" s="55"/>
      <c r="CTG14" s="55"/>
      <c r="CTH14" s="55"/>
      <c r="CTI14" s="55"/>
      <c r="CTJ14" s="55"/>
      <c r="CTK14" s="55"/>
      <c r="CTL14" s="55"/>
      <c r="CTM14" s="55"/>
      <c r="CTN14" s="55"/>
      <c r="CTO14" s="55"/>
      <c r="CTP14" s="55"/>
      <c r="CTQ14" s="55"/>
      <c r="CTR14" s="55"/>
      <c r="CTS14" s="55"/>
      <c r="CTT14" s="55"/>
      <c r="CTU14" s="55"/>
      <c r="CTV14" s="55"/>
      <c r="CTW14" s="55"/>
      <c r="CTX14" s="55"/>
      <c r="CTY14" s="55"/>
      <c r="CTZ14" s="55"/>
      <c r="CUA14" s="55"/>
      <c r="CUB14" s="55"/>
      <c r="CUC14" s="55"/>
      <c r="CUD14" s="55"/>
      <c r="CUE14" s="55"/>
      <c r="CUF14" s="55"/>
      <c r="CUG14" s="55"/>
      <c r="CUH14" s="55"/>
      <c r="CUI14" s="55"/>
      <c r="CUJ14" s="55"/>
      <c r="CUK14" s="55"/>
      <c r="CUL14" s="55"/>
      <c r="CUM14" s="55"/>
      <c r="CUN14" s="55"/>
      <c r="CUO14" s="55"/>
      <c r="CUP14" s="55"/>
      <c r="CUQ14" s="55"/>
      <c r="CUR14" s="55"/>
      <c r="CUS14" s="55"/>
      <c r="CUT14" s="55"/>
      <c r="CUU14" s="55"/>
      <c r="CUV14" s="55"/>
      <c r="CUW14" s="55"/>
      <c r="CUX14" s="55"/>
      <c r="CUY14" s="55"/>
      <c r="CUZ14" s="55"/>
      <c r="CVA14" s="55"/>
      <c r="CVB14" s="55"/>
      <c r="CVC14" s="55"/>
      <c r="CVD14" s="55"/>
      <c r="CVE14" s="55"/>
      <c r="CVF14" s="55"/>
      <c r="CVG14" s="55"/>
      <c r="CVH14" s="55"/>
      <c r="CVI14" s="55"/>
      <c r="CVJ14" s="55"/>
      <c r="CVK14" s="55"/>
      <c r="CVL14" s="55"/>
      <c r="CVM14" s="55"/>
      <c r="CVN14" s="55"/>
      <c r="CVO14" s="55"/>
      <c r="CVP14" s="55"/>
      <c r="CVQ14" s="55"/>
      <c r="CVR14" s="55"/>
      <c r="CVS14" s="55"/>
      <c r="CVT14" s="55"/>
      <c r="CVU14" s="55"/>
      <c r="CVV14" s="55"/>
      <c r="CVW14" s="55"/>
      <c r="CVX14" s="55"/>
      <c r="CVY14" s="55"/>
      <c r="CVZ14" s="55"/>
      <c r="CWA14" s="55"/>
      <c r="CWB14" s="55"/>
      <c r="CWC14" s="55"/>
      <c r="CWD14" s="55"/>
      <c r="CWE14" s="55"/>
      <c r="CWF14" s="55"/>
      <c r="CWG14" s="55"/>
      <c r="CWH14" s="55"/>
      <c r="CWI14" s="55"/>
      <c r="CWJ14" s="55"/>
      <c r="CWK14" s="55"/>
      <c r="CWL14" s="55"/>
      <c r="CWM14" s="55"/>
      <c r="CWN14" s="55"/>
      <c r="CWO14" s="55"/>
      <c r="CWP14" s="55"/>
      <c r="CWQ14" s="55"/>
      <c r="CWR14" s="55"/>
      <c r="CWS14" s="55"/>
      <c r="CWT14" s="55"/>
      <c r="CWU14" s="55"/>
      <c r="CWV14" s="55"/>
      <c r="CWW14" s="55"/>
      <c r="CWX14" s="55"/>
      <c r="CWY14" s="55"/>
      <c r="CWZ14" s="55"/>
      <c r="CXA14" s="55"/>
      <c r="CXB14" s="55"/>
      <c r="CXC14" s="55"/>
      <c r="CXD14" s="55"/>
      <c r="CXE14" s="55"/>
      <c r="CXF14" s="55"/>
      <c r="CXG14" s="55"/>
      <c r="CXH14" s="55"/>
      <c r="CXI14" s="55"/>
      <c r="CXJ14" s="55"/>
      <c r="CXK14" s="55"/>
      <c r="CXL14" s="55"/>
      <c r="CXM14" s="55"/>
      <c r="CXN14" s="55"/>
      <c r="CXO14" s="55"/>
      <c r="CXP14" s="55"/>
      <c r="CXQ14" s="55"/>
      <c r="CXR14" s="55"/>
      <c r="CXS14" s="55"/>
      <c r="CXT14" s="55"/>
      <c r="CXU14" s="55"/>
      <c r="CXV14" s="55"/>
      <c r="CXW14" s="55"/>
      <c r="CXX14" s="55"/>
      <c r="CXY14" s="55"/>
      <c r="CXZ14" s="55"/>
      <c r="CYA14" s="55"/>
      <c r="CYB14" s="55"/>
      <c r="CYC14" s="55"/>
      <c r="CYD14" s="55"/>
      <c r="CYE14" s="55"/>
      <c r="CYF14" s="55"/>
      <c r="CYG14" s="55"/>
      <c r="CYH14" s="55"/>
      <c r="CYI14" s="55"/>
      <c r="CYJ14" s="55"/>
      <c r="CYK14" s="55"/>
      <c r="CYL14" s="55"/>
      <c r="CYM14" s="55"/>
      <c r="CYN14" s="55"/>
      <c r="CYO14" s="55"/>
      <c r="CYP14" s="55"/>
      <c r="CYQ14" s="55"/>
      <c r="CYR14" s="55"/>
      <c r="CYS14" s="55"/>
      <c r="CYT14" s="55"/>
      <c r="CYU14" s="55"/>
      <c r="CYV14" s="55"/>
      <c r="CYW14" s="55"/>
      <c r="CYX14" s="55"/>
      <c r="CYY14" s="55"/>
      <c r="CYZ14" s="55"/>
      <c r="CZA14" s="55"/>
      <c r="CZB14" s="55"/>
      <c r="CZC14" s="55"/>
      <c r="CZD14" s="55"/>
      <c r="CZE14" s="55"/>
      <c r="CZF14" s="55"/>
      <c r="CZG14" s="55"/>
      <c r="CZH14" s="55"/>
      <c r="CZI14" s="55"/>
      <c r="CZJ14" s="55"/>
      <c r="CZK14" s="55"/>
      <c r="CZL14" s="55"/>
      <c r="CZM14" s="55"/>
      <c r="CZN14" s="55"/>
      <c r="CZO14" s="55"/>
      <c r="CZP14" s="55"/>
      <c r="CZQ14" s="55"/>
      <c r="CZR14" s="55"/>
      <c r="CZS14" s="55"/>
      <c r="CZT14" s="55"/>
      <c r="CZU14" s="55"/>
      <c r="CZV14" s="55"/>
      <c r="CZW14" s="55"/>
      <c r="CZX14" s="55"/>
      <c r="CZY14" s="55"/>
      <c r="CZZ14" s="55"/>
      <c r="DAA14" s="55"/>
      <c r="DAB14" s="55"/>
      <c r="DAC14" s="55"/>
      <c r="DAD14" s="55"/>
      <c r="DAE14" s="55"/>
      <c r="DAF14" s="55"/>
      <c r="DAG14" s="55"/>
      <c r="DAH14" s="55"/>
      <c r="DAI14" s="55"/>
      <c r="DAJ14" s="55"/>
      <c r="DAK14" s="55"/>
      <c r="DAL14" s="55"/>
      <c r="DAM14" s="55"/>
      <c r="DAN14" s="55"/>
      <c r="DAO14" s="55"/>
      <c r="DAP14" s="55"/>
      <c r="DAQ14" s="55"/>
      <c r="DAR14" s="55"/>
      <c r="DAS14" s="55"/>
      <c r="DAT14" s="55"/>
      <c r="DAU14" s="55"/>
      <c r="DAV14" s="55"/>
      <c r="DAW14" s="55"/>
      <c r="DAX14" s="55"/>
      <c r="DAY14" s="55"/>
      <c r="DAZ14" s="55"/>
      <c r="DBA14" s="55"/>
      <c r="DBB14" s="55"/>
      <c r="DBC14" s="55"/>
      <c r="DBD14" s="55"/>
      <c r="DBE14" s="55"/>
      <c r="DBF14" s="55"/>
      <c r="DBG14" s="55"/>
      <c r="DBH14" s="55"/>
      <c r="DBI14" s="55"/>
      <c r="DBJ14" s="55"/>
      <c r="DBK14" s="55"/>
      <c r="DBL14" s="55"/>
      <c r="DBM14" s="55"/>
      <c r="DBN14" s="55"/>
      <c r="DBO14" s="55"/>
      <c r="DBP14" s="55"/>
      <c r="DBQ14" s="55"/>
      <c r="DBR14" s="55"/>
      <c r="DBS14" s="55"/>
      <c r="DBT14" s="55"/>
      <c r="DBU14" s="55"/>
      <c r="DBV14" s="55"/>
      <c r="DBW14" s="55"/>
      <c r="DBX14" s="55"/>
      <c r="DBY14" s="55"/>
      <c r="DBZ14" s="55"/>
      <c r="DCA14" s="55"/>
      <c r="DCB14" s="55"/>
      <c r="DCC14" s="55"/>
      <c r="DCD14" s="55"/>
      <c r="DCE14" s="55"/>
      <c r="DCF14" s="55"/>
      <c r="DCG14" s="55"/>
      <c r="DCH14" s="55"/>
      <c r="DCI14" s="55"/>
      <c r="DCJ14" s="55"/>
      <c r="DCK14" s="55"/>
      <c r="DCL14" s="55"/>
      <c r="DCM14" s="55"/>
      <c r="DCN14" s="55"/>
      <c r="DCO14" s="55"/>
      <c r="DCP14" s="55"/>
      <c r="DCQ14" s="55"/>
      <c r="DCR14" s="55"/>
      <c r="DCS14" s="55"/>
      <c r="DCT14" s="55"/>
      <c r="DCU14" s="55"/>
      <c r="DCV14" s="55"/>
      <c r="DCW14" s="55"/>
      <c r="DCX14" s="55"/>
      <c r="DCY14" s="55"/>
      <c r="DCZ14" s="55"/>
      <c r="DDA14" s="55"/>
      <c r="DDB14" s="55"/>
      <c r="DDC14" s="55"/>
      <c r="DDD14" s="55"/>
      <c r="DDE14" s="55"/>
      <c r="DDF14" s="55"/>
      <c r="DDG14" s="55"/>
      <c r="DDH14" s="55"/>
      <c r="DDI14" s="55"/>
      <c r="DDJ14" s="55"/>
      <c r="DDK14" s="55"/>
      <c r="DDL14" s="55"/>
      <c r="DDM14" s="55"/>
      <c r="DDN14" s="55"/>
      <c r="DDO14" s="55"/>
      <c r="DDP14" s="55"/>
      <c r="DDQ14" s="55"/>
      <c r="DDR14" s="55"/>
      <c r="DDS14" s="55"/>
      <c r="DDT14" s="55"/>
      <c r="DDU14" s="55"/>
      <c r="DDV14" s="55"/>
      <c r="DDW14" s="55"/>
      <c r="DDX14" s="55"/>
      <c r="DDY14" s="55"/>
      <c r="DDZ14" s="55"/>
      <c r="DEA14" s="55"/>
      <c r="DEB14" s="55"/>
      <c r="DEC14" s="55"/>
      <c r="DED14" s="55"/>
      <c r="DEE14" s="55"/>
      <c r="DEF14" s="55"/>
      <c r="DEG14" s="55"/>
      <c r="DEH14" s="55"/>
      <c r="DEI14" s="55"/>
      <c r="DEJ14" s="55"/>
      <c r="DEK14" s="55"/>
      <c r="DEL14" s="55"/>
      <c r="DEM14" s="55"/>
      <c r="DEN14" s="55"/>
      <c r="DEO14" s="55"/>
      <c r="DEP14" s="55"/>
      <c r="DEQ14" s="55"/>
      <c r="DER14" s="55"/>
      <c r="DES14" s="55"/>
      <c r="DET14" s="55"/>
      <c r="DEU14" s="55"/>
      <c r="DEV14" s="55"/>
      <c r="DEW14" s="55"/>
      <c r="DEX14" s="55"/>
      <c r="DEY14" s="55"/>
      <c r="DEZ14" s="55"/>
      <c r="DFA14" s="55"/>
      <c r="DFB14" s="55"/>
      <c r="DFC14" s="55"/>
      <c r="DFD14" s="55"/>
      <c r="DFE14" s="55"/>
      <c r="DFF14" s="55"/>
      <c r="DFG14" s="55"/>
      <c r="DFH14" s="55"/>
      <c r="DFI14" s="55"/>
      <c r="DFJ14" s="55"/>
      <c r="DFK14" s="55"/>
      <c r="DFL14" s="55"/>
      <c r="DFM14" s="55"/>
      <c r="DFN14" s="55"/>
      <c r="DFO14" s="55"/>
      <c r="DFP14" s="55"/>
      <c r="DFQ14" s="55"/>
      <c r="DFR14" s="55"/>
      <c r="DFS14" s="55"/>
      <c r="DFT14" s="55"/>
      <c r="DFU14" s="55"/>
      <c r="DFV14" s="55"/>
      <c r="DFW14" s="55"/>
      <c r="DFX14" s="55"/>
      <c r="DFY14" s="55"/>
      <c r="DFZ14" s="55"/>
      <c r="DGA14" s="55"/>
      <c r="DGB14" s="55"/>
      <c r="DGC14" s="55"/>
      <c r="DGD14" s="55"/>
      <c r="DGE14" s="55"/>
      <c r="DGF14" s="55"/>
      <c r="DGG14" s="55"/>
      <c r="DGH14" s="55"/>
      <c r="DGI14" s="55"/>
      <c r="DGJ14" s="55"/>
      <c r="DGK14" s="55"/>
      <c r="DGL14" s="55"/>
      <c r="DGM14" s="55"/>
      <c r="DGN14" s="55"/>
      <c r="DGO14" s="55"/>
      <c r="DGP14" s="55"/>
      <c r="DGQ14" s="55"/>
      <c r="DGR14" s="55"/>
      <c r="DGS14" s="55"/>
      <c r="DGT14" s="55"/>
      <c r="DGU14" s="55"/>
      <c r="DGV14" s="55"/>
      <c r="DGW14" s="55"/>
      <c r="DGX14" s="55"/>
      <c r="DGY14" s="55"/>
      <c r="DGZ14" s="55"/>
      <c r="DHA14" s="55"/>
      <c r="DHB14" s="55"/>
      <c r="DHC14" s="55"/>
      <c r="DHD14" s="55"/>
      <c r="DHE14" s="55"/>
      <c r="DHF14" s="55"/>
      <c r="DHG14" s="55"/>
      <c r="DHH14" s="55"/>
      <c r="DHI14" s="55"/>
      <c r="DHJ14" s="55"/>
      <c r="DHK14" s="55"/>
      <c r="DHL14" s="55"/>
      <c r="DHM14" s="55"/>
      <c r="DHN14" s="55"/>
      <c r="DHO14" s="55"/>
      <c r="DHP14" s="55"/>
      <c r="DHQ14" s="55"/>
      <c r="DHR14" s="55"/>
      <c r="DHS14" s="55"/>
      <c r="DHT14" s="55"/>
      <c r="DHU14" s="55"/>
      <c r="DHV14" s="55"/>
      <c r="DHW14" s="55"/>
      <c r="DHX14" s="55"/>
      <c r="DHY14" s="55"/>
      <c r="DHZ14" s="55"/>
      <c r="DIA14" s="55"/>
      <c r="DIB14" s="55"/>
      <c r="DIC14" s="55"/>
      <c r="DID14" s="55"/>
      <c r="DIE14" s="55"/>
      <c r="DIF14" s="55"/>
      <c r="DIG14" s="55"/>
      <c r="DIH14" s="55"/>
      <c r="DII14" s="55"/>
      <c r="DIJ14" s="55"/>
      <c r="DIK14" s="55"/>
      <c r="DIL14" s="55"/>
      <c r="DIM14" s="55"/>
      <c r="DIN14" s="55"/>
      <c r="DIO14" s="55"/>
      <c r="DIP14" s="55"/>
      <c r="DIQ14" s="55"/>
      <c r="DIR14" s="55"/>
      <c r="DIS14" s="55"/>
      <c r="DIT14" s="55"/>
      <c r="DIU14" s="55"/>
      <c r="DIV14" s="55"/>
      <c r="DIW14" s="55"/>
      <c r="DIX14" s="55"/>
      <c r="DIY14" s="55"/>
      <c r="DIZ14" s="55"/>
      <c r="DJA14" s="55"/>
      <c r="DJB14" s="55"/>
      <c r="DJC14" s="55"/>
      <c r="DJD14" s="55"/>
      <c r="DJE14" s="55"/>
      <c r="DJF14" s="55"/>
      <c r="DJG14" s="55"/>
      <c r="DJH14" s="55"/>
      <c r="DJI14" s="55"/>
      <c r="DJJ14" s="55"/>
      <c r="DJK14" s="55"/>
      <c r="DJL14" s="55"/>
      <c r="DJM14" s="55"/>
      <c r="DJN14" s="55"/>
      <c r="DJO14" s="55"/>
      <c r="DJP14" s="55"/>
      <c r="DJQ14" s="55"/>
      <c r="DJR14" s="55"/>
      <c r="DJS14" s="55"/>
      <c r="DJT14" s="55"/>
      <c r="DJU14" s="55"/>
      <c r="DJV14" s="55"/>
      <c r="DJW14" s="55"/>
      <c r="DJX14" s="55"/>
      <c r="DJY14" s="55"/>
      <c r="DJZ14" s="55"/>
      <c r="DKA14" s="55"/>
      <c r="DKB14" s="55"/>
      <c r="DKC14" s="55"/>
      <c r="DKD14" s="55"/>
      <c r="DKE14" s="55"/>
      <c r="DKF14" s="55"/>
      <c r="DKG14" s="55"/>
      <c r="DKH14" s="55"/>
      <c r="DKI14" s="55"/>
      <c r="DKJ14" s="55"/>
      <c r="DKK14" s="55"/>
      <c r="DKL14" s="55"/>
      <c r="DKM14" s="55"/>
      <c r="DKN14" s="55"/>
      <c r="DKO14" s="55"/>
      <c r="DKP14" s="55"/>
      <c r="DKQ14" s="55"/>
      <c r="DKR14" s="55"/>
      <c r="DKS14" s="55"/>
      <c r="DKT14" s="55"/>
      <c r="DKU14" s="55"/>
      <c r="DKV14" s="55"/>
      <c r="DKW14" s="55"/>
      <c r="DKX14" s="55"/>
      <c r="DKY14" s="55"/>
      <c r="DKZ14" s="55"/>
      <c r="DLA14" s="55"/>
      <c r="DLB14" s="55"/>
      <c r="DLC14" s="55"/>
      <c r="DLD14" s="55"/>
      <c r="DLE14" s="55"/>
      <c r="DLF14" s="55"/>
      <c r="DLG14" s="55"/>
      <c r="DLH14" s="55"/>
      <c r="DLI14" s="55"/>
      <c r="DLJ14" s="55"/>
      <c r="DLK14" s="55"/>
      <c r="DLL14" s="55"/>
      <c r="DLM14" s="55"/>
      <c r="DLN14" s="55"/>
      <c r="DLO14" s="55"/>
      <c r="DLP14" s="55"/>
      <c r="DLQ14" s="55"/>
      <c r="DLR14" s="55"/>
      <c r="DLS14" s="55"/>
      <c r="DLT14" s="55"/>
      <c r="DLU14" s="55"/>
      <c r="DLV14" s="55"/>
      <c r="DLW14" s="55"/>
      <c r="DLX14" s="55"/>
      <c r="DLY14" s="55"/>
      <c r="DLZ14" s="55"/>
      <c r="DMA14" s="55"/>
      <c r="DMB14" s="55"/>
      <c r="DMC14" s="55"/>
      <c r="DMD14" s="55"/>
      <c r="DME14" s="55"/>
      <c r="DMF14" s="55"/>
      <c r="DMG14" s="55"/>
      <c r="DMH14" s="55"/>
      <c r="DMI14" s="55"/>
      <c r="DMJ14" s="55"/>
      <c r="DMK14" s="55"/>
      <c r="DML14" s="55"/>
      <c r="DMM14" s="55"/>
      <c r="DMN14" s="55"/>
      <c r="DMO14" s="55"/>
      <c r="DMP14" s="55"/>
      <c r="DMQ14" s="55"/>
      <c r="DMR14" s="55"/>
      <c r="DMS14" s="55"/>
      <c r="DMT14" s="55"/>
      <c r="DMU14" s="55"/>
      <c r="DMV14" s="55"/>
      <c r="DMW14" s="55"/>
      <c r="DMX14" s="55"/>
      <c r="DMY14" s="55"/>
      <c r="DMZ14" s="55"/>
      <c r="DNA14" s="55"/>
      <c r="DNB14" s="55"/>
      <c r="DNC14" s="55"/>
      <c r="DND14" s="55"/>
      <c r="DNE14" s="55"/>
      <c r="DNF14" s="55"/>
      <c r="DNG14" s="55"/>
      <c r="DNH14" s="55"/>
      <c r="DNI14" s="55"/>
      <c r="DNJ14" s="55"/>
      <c r="DNK14" s="55"/>
      <c r="DNL14" s="55"/>
      <c r="DNM14" s="55"/>
      <c r="DNN14" s="55"/>
      <c r="DNO14" s="55"/>
      <c r="DNP14" s="55"/>
      <c r="DNQ14" s="55"/>
      <c r="DNR14" s="55"/>
      <c r="DNS14" s="55"/>
      <c r="DNT14" s="55"/>
      <c r="DNU14" s="55"/>
      <c r="DNV14" s="55"/>
      <c r="DNW14" s="55"/>
      <c r="DNX14" s="55"/>
      <c r="DNY14" s="55"/>
      <c r="DNZ14" s="55"/>
      <c r="DOA14" s="55"/>
      <c r="DOB14" s="55"/>
      <c r="DOC14" s="55"/>
      <c r="DOD14" s="55"/>
      <c r="DOE14" s="55"/>
      <c r="DOF14" s="55"/>
      <c r="DOG14" s="55"/>
      <c r="DOH14" s="55"/>
      <c r="DOI14" s="55"/>
      <c r="DOJ14" s="55"/>
      <c r="DOK14" s="55"/>
      <c r="DOL14" s="55"/>
      <c r="DOM14" s="55"/>
      <c r="DON14" s="55"/>
      <c r="DOO14" s="55"/>
      <c r="DOP14" s="55"/>
      <c r="DOQ14" s="55"/>
      <c r="DOR14" s="55"/>
      <c r="DOS14" s="55"/>
      <c r="DOT14" s="55"/>
      <c r="DOU14" s="55"/>
      <c r="DOV14" s="55"/>
      <c r="DOW14" s="55"/>
      <c r="DOX14" s="55"/>
      <c r="DOY14" s="55"/>
      <c r="DOZ14" s="55"/>
      <c r="DPA14" s="55"/>
      <c r="DPB14" s="55"/>
      <c r="DPC14" s="55"/>
      <c r="DPD14" s="55"/>
      <c r="DPE14" s="55"/>
      <c r="DPF14" s="55"/>
      <c r="DPG14" s="55"/>
      <c r="DPH14" s="55"/>
      <c r="DPI14" s="55"/>
      <c r="DPJ14" s="55"/>
      <c r="DPK14" s="55"/>
      <c r="DPL14" s="55"/>
      <c r="DPM14" s="55"/>
      <c r="DPN14" s="55"/>
      <c r="DPO14" s="55"/>
      <c r="DPP14" s="55"/>
      <c r="DPQ14" s="55"/>
      <c r="DPR14" s="55"/>
      <c r="DPS14" s="55"/>
      <c r="DPT14" s="55"/>
      <c r="DPU14" s="55"/>
      <c r="DPV14" s="55"/>
      <c r="DPW14" s="55"/>
      <c r="DPX14" s="55"/>
      <c r="DPY14" s="55"/>
      <c r="DPZ14" s="55"/>
      <c r="DQA14" s="55"/>
      <c r="DQB14" s="55"/>
      <c r="DQC14" s="55"/>
      <c r="DQD14" s="55"/>
      <c r="DQE14" s="55"/>
      <c r="DQF14" s="55"/>
      <c r="DQG14" s="55"/>
      <c r="DQH14" s="55"/>
      <c r="DQI14" s="55"/>
      <c r="DQJ14" s="55"/>
      <c r="DQK14" s="55"/>
      <c r="DQL14" s="55"/>
      <c r="DQM14" s="55"/>
      <c r="DQN14" s="55"/>
      <c r="DQO14" s="55"/>
      <c r="DQP14" s="55"/>
      <c r="DQQ14" s="55"/>
      <c r="DQR14" s="55"/>
      <c r="DQS14" s="55"/>
      <c r="DQT14" s="55"/>
      <c r="DQU14" s="55"/>
      <c r="DQV14" s="55"/>
      <c r="DQW14" s="55"/>
      <c r="DQX14" s="55"/>
      <c r="DQY14" s="55"/>
      <c r="DQZ14" s="55"/>
      <c r="DRA14" s="55"/>
      <c r="DRB14" s="55"/>
      <c r="DRC14" s="55"/>
      <c r="DRD14" s="55"/>
      <c r="DRE14" s="55"/>
      <c r="DRF14" s="55"/>
      <c r="DRG14" s="55"/>
      <c r="DRH14" s="55"/>
      <c r="DRI14" s="55"/>
      <c r="DRJ14" s="55"/>
      <c r="DRK14" s="55"/>
      <c r="DRL14" s="55"/>
      <c r="DRM14" s="55"/>
      <c r="DRN14" s="55"/>
      <c r="DRO14" s="55"/>
      <c r="DRP14" s="55"/>
      <c r="DRQ14" s="55"/>
      <c r="DRR14" s="55"/>
      <c r="DRS14" s="55"/>
      <c r="DRT14" s="55"/>
      <c r="DRU14" s="55"/>
      <c r="DRV14" s="55"/>
      <c r="DRW14" s="55"/>
      <c r="DRX14" s="55"/>
      <c r="DRY14" s="55"/>
      <c r="DRZ14" s="55"/>
      <c r="DSA14" s="55"/>
      <c r="DSB14" s="55"/>
      <c r="DSC14" s="55"/>
      <c r="DSD14" s="55"/>
      <c r="DSE14" s="55"/>
      <c r="DSF14" s="55"/>
      <c r="DSG14" s="55"/>
      <c r="DSH14" s="55"/>
      <c r="DSI14" s="55"/>
      <c r="DSJ14" s="55"/>
      <c r="DSK14" s="55"/>
      <c r="DSL14" s="55"/>
      <c r="DSM14" s="55"/>
      <c r="DSN14" s="55"/>
      <c r="DSO14" s="55"/>
      <c r="DSP14" s="55"/>
      <c r="DSQ14" s="55"/>
      <c r="DSR14" s="55"/>
      <c r="DSS14" s="55"/>
      <c r="DST14" s="55"/>
      <c r="DSU14" s="55"/>
      <c r="DSV14" s="55"/>
      <c r="DSW14" s="55"/>
      <c r="DSX14" s="55"/>
      <c r="DSY14" s="55"/>
      <c r="DSZ14" s="55"/>
      <c r="DTA14" s="55"/>
      <c r="DTB14" s="55"/>
      <c r="DTC14" s="55"/>
      <c r="DTD14" s="55"/>
      <c r="DTE14" s="55"/>
      <c r="DTF14" s="55"/>
      <c r="DTG14" s="55"/>
      <c r="DTH14" s="55"/>
      <c r="DTI14" s="55"/>
      <c r="DTJ14" s="55"/>
      <c r="DTK14" s="55"/>
      <c r="DTL14" s="55"/>
      <c r="DTM14" s="55"/>
      <c r="DTN14" s="55"/>
      <c r="DTO14" s="55"/>
      <c r="DTP14" s="55"/>
      <c r="DTQ14" s="55"/>
      <c r="DTR14" s="55"/>
      <c r="DTS14" s="55"/>
      <c r="DTT14" s="55"/>
      <c r="DTU14" s="55"/>
      <c r="DTV14" s="55"/>
      <c r="DTW14" s="55"/>
      <c r="DTX14" s="55"/>
      <c r="DTY14" s="55"/>
      <c r="DTZ14" s="55"/>
      <c r="DUA14" s="55"/>
      <c r="DUB14" s="55"/>
      <c r="DUC14" s="55"/>
      <c r="DUD14" s="55"/>
      <c r="DUE14" s="55"/>
      <c r="DUF14" s="55"/>
      <c r="DUG14" s="55"/>
      <c r="DUH14" s="55"/>
      <c r="DUI14" s="55"/>
      <c r="DUJ14" s="55"/>
      <c r="DUK14" s="55"/>
      <c r="DUL14" s="55"/>
      <c r="DUM14" s="55"/>
      <c r="DUN14" s="55"/>
      <c r="DUO14" s="55"/>
      <c r="DUP14" s="55"/>
      <c r="DUQ14" s="55"/>
      <c r="DUR14" s="55"/>
      <c r="DUS14" s="55"/>
      <c r="DUT14" s="55"/>
      <c r="DUU14" s="55"/>
      <c r="DUV14" s="55"/>
      <c r="DUW14" s="55"/>
      <c r="DUX14" s="55"/>
      <c r="DUY14" s="55"/>
      <c r="DUZ14" s="55"/>
      <c r="DVA14" s="55"/>
      <c r="DVB14" s="55"/>
      <c r="DVC14" s="55"/>
      <c r="DVD14" s="55"/>
      <c r="DVE14" s="55"/>
      <c r="DVF14" s="55"/>
      <c r="DVG14" s="55"/>
      <c r="DVH14" s="55"/>
      <c r="DVI14" s="55"/>
      <c r="DVJ14" s="55"/>
      <c r="DVK14" s="55"/>
      <c r="DVL14" s="55"/>
      <c r="DVM14" s="55"/>
      <c r="DVN14" s="55"/>
      <c r="DVO14" s="55"/>
      <c r="DVP14" s="55"/>
      <c r="DVQ14" s="55"/>
      <c r="DVR14" s="55"/>
      <c r="DVS14" s="55"/>
      <c r="DVT14" s="55"/>
      <c r="DVU14" s="55"/>
      <c r="DVV14" s="55"/>
      <c r="DVW14" s="55"/>
      <c r="DVX14" s="55"/>
      <c r="DVY14" s="55"/>
      <c r="DVZ14" s="55"/>
      <c r="DWA14" s="55"/>
      <c r="DWB14" s="55"/>
      <c r="DWC14" s="55"/>
      <c r="DWD14" s="55"/>
      <c r="DWE14" s="55"/>
      <c r="DWF14" s="55"/>
      <c r="DWG14" s="55"/>
      <c r="DWH14" s="55"/>
      <c r="DWI14" s="55"/>
      <c r="DWJ14" s="55"/>
      <c r="DWK14" s="55"/>
      <c r="DWL14" s="55"/>
      <c r="DWM14" s="55"/>
      <c r="DWN14" s="55"/>
      <c r="DWO14" s="55"/>
      <c r="DWP14" s="55"/>
      <c r="DWQ14" s="55"/>
      <c r="DWR14" s="55"/>
      <c r="DWS14" s="55"/>
      <c r="DWT14" s="55"/>
      <c r="DWU14" s="55"/>
      <c r="DWV14" s="55"/>
      <c r="DWW14" s="55"/>
      <c r="DWX14" s="55"/>
      <c r="DWY14" s="55"/>
      <c r="DWZ14" s="55"/>
      <c r="DXA14" s="55"/>
      <c r="DXB14" s="55"/>
      <c r="DXC14" s="55"/>
      <c r="DXD14" s="55"/>
      <c r="DXE14" s="55"/>
      <c r="DXF14" s="55"/>
      <c r="DXG14" s="55"/>
      <c r="DXH14" s="55"/>
      <c r="DXI14" s="55"/>
      <c r="DXJ14" s="55"/>
      <c r="DXK14" s="55"/>
      <c r="DXL14" s="55"/>
      <c r="DXM14" s="55"/>
      <c r="DXN14" s="55"/>
      <c r="DXO14" s="55"/>
      <c r="DXP14" s="55"/>
      <c r="DXQ14" s="55"/>
      <c r="DXR14" s="55"/>
      <c r="DXS14" s="55"/>
      <c r="DXT14" s="55"/>
      <c r="DXU14" s="55"/>
      <c r="DXV14" s="55"/>
      <c r="DXW14" s="55"/>
      <c r="DXX14" s="55"/>
      <c r="DXY14" s="55"/>
      <c r="DXZ14" s="55"/>
      <c r="DYA14" s="55"/>
      <c r="DYB14" s="55"/>
      <c r="DYC14" s="55"/>
      <c r="DYD14" s="55"/>
      <c r="DYE14" s="55"/>
      <c r="DYF14" s="55"/>
      <c r="DYG14" s="55"/>
      <c r="DYH14" s="55"/>
      <c r="DYI14" s="55"/>
      <c r="DYJ14" s="55"/>
      <c r="DYK14" s="55"/>
      <c r="DYL14" s="55"/>
      <c r="DYM14" s="55"/>
      <c r="DYN14" s="55"/>
      <c r="DYO14" s="55"/>
      <c r="DYP14" s="55"/>
      <c r="DYQ14" s="55"/>
      <c r="DYR14" s="55"/>
      <c r="DYS14" s="55"/>
      <c r="DYT14" s="55"/>
      <c r="DYU14" s="55"/>
      <c r="DYV14" s="55"/>
      <c r="DYW14" s="55"/>
      <c r="DYX14" s="55"/>
      <c r="DYY14" s="55"/>
      <c r="DYZ14" s="55"/>
      <c r="DZA14" s="55"/>
      <c r="DZB14" s="55"/>
      <c r="DZC14" s="55"/>
      <c r="DZD14" s="55"/>
      <c r="DZE14" s="55"/>
      <c r="DZF14" s="55"/>
      <c r="DZG14" s="55"/>
      <c r="DZH14" s="55"/>
      <c r="DZI14" s="55"/>
      <c r="DZJ14" s="55"/>
      <c r="DZK14" s="55"/>
      <c r="DZL14" s="55"/>
      <c r="DZM14" s="55"/>
      <c r="DZN14" s="55"/>
      <c r="DZO14" s="55"/>
      <c r="DZP14" s="55"/>
      <c r="DZQ14" s="55"/>
      <c r="DZR14" s="55"/>
      <c r="DZS14" s="55"/>
      <c r="DZT14" s="55"/>
      <c r="DZU14" s="55"/>
      <c r="DZV14" s="55"/>
      <c r="DZW14" s="55"/>
      <c r="DZX14" s="55"/>
      <c r="DZY14" s="55"/>
      <c r="DZZ14" s="55"/>
      <c r="EAA14" s="55"/>
      <c r="EAB14" s="55"/>
      <c r="EAC14" s="55"/>
      <c r="EAD14" s="55"/>
      <c r="EAE14" s="55"/>
      <c r="EAF14" s="55"/>
      <c r="EAG14" s="55"/>
      <c r="EAH14" s="55"/>
      <c r="EAI14" s="55"/>
      <c r="EAJ14" s="55"/>
      <c r="EAK14" s="55"/>
      <c r="EAL14" s="55"/>
      <c r="EAM14" s="55"/>
      <c r="EAN14" s="55"/>
      <c r="EAO14" s="55"/>
      <c r="EAP14" s="55"/>
      <c r="EAQ14" s="55"/>
      <c r="EAR14" s="55"/>
      <c r="EAS14" s="55"/>
      <c r="EAT14" s="55"/>
      <c r="EAU14" s="55"/>
      <c r="EAV14" s="55"/>
      <c r="EAW14" s="55"/>
      <c r="EAX14" s="55"/>
      <c r="EAY14" s="55"/>
      <c r="EAZ14" s="55"/>
      <c r="EBA14" s="55"/>
      <c r="EBB14" s="55"/>
      <c r="EBC14" s="55"/>
      <c r="EBD14" s="55"/>
      <c r="EBE14" s="55"/>
      <c r="EBF14" s="55"/>
      <c r="EBG14" s="55"/>
      <c r="EBH14" s="55"/>
      <c r="EBI14" s="55"/>
      <c r="EBJ14" s="55"/>
      <c r="EBK14" s="55"/>
      <c r="EBL14" s="55"/>
      <c r="EBM14" s="55"/>
      <c r="EBN14" s="55"/>
      <c r="EBO14" s="55"/>
      <c r="EBP14" s="55"/>
      <c r="EBQ14" s="55"/>
      <c r="EBR14" s="55"/>
      <c r="EBS14" s="55"/>
      <c r="EBT14" s="55"/>
      <c r="EBU14" s="55"/>
      <c r="EBV14" s="55"/>
      <c r="EBW14" s="55"/>
      <c r="EBX14" s="55"/>
      <c r="EBY14" s="55"/>
      <c r="EBZ14" s="55"/>
      <c r="ECA14" s="55"/>
      <c r="ECB14" s="55"/>
      <c r="ECC14" s="55"/>
      <c r="ECD14" s="55"/>
      <c r="ECE14" s="55"/>
      <c r="ECF14" s="55"/>
      <c r="ECG14" s="55"/>
      <c r="ECH14" s="55"/>
      <c r="ECI14" s="55"/>
      <c r="ECJ14" s="55"/>
      <c r="ECK14" s="55"/>
      <c r="ECL14" s="55"/>
      <c r="ECM14" s="55"/>
      <c r="ECN14" s="55"/>
      <c r="ECO14" s="55"/>
      <c r="ECP14" s="55"/>
      <c r="ECQ14" s="55"/>
      <c r="ECR14" s="55"/>
      <c r="ECS14" s="55"/>
      <c r="ECT14" s="55"/>
      <c r="ECU14" s="55"/>
      <c r="ECV14" s="55"/>
      <c r="ECW14" s="55"/>
      <c r="ECX14" s="55"/>
      <c r="ECY14" s="55"/>
      <c r="ECZ14" s="55"/>
      <c r="EDA14" s="55"/>
      <c r="EDB14" s="55"/>
      <c r="EDC14" s="55"/>
      <c r="EDD14" s="55"/>
      <c r="EDE14" s="55"/>
      <c r="EDF14" s="55"/>
      <c r="EDG14" s="55"/>
      <c r="EDH14" s="55"/>
      <c r="EDI14" s="55"/>
      <c r="EDJ14" s="55"/>
      <c r="EDK14" s="55"/>
      <c r="EDL14" s="55"/>
      <c r="EDM14" s="55"/>
      <c r="EDN14" s="55"/>
      <c r="EDO14" s="55"/>
      <c r="EDP14" s="55"/>
      <c r="EDQ14" s="55"/>
      <c r="EDR14" s="55"/>
      <c r="EDS14" s="55"/>
      <c r="EDT14" s="55"/>
      <c r="EDU14" s="55"/>
      <c r="EDV14" s="55"/>
      <c r="EDW14" s="55"/>
      <c r="EDX14" s="55"/>
      <c r="EDY14" s="55"/>
      <c r="EDZ14" s="55"/>
      <c r="EEA14" s="55"/>
      <c r="EEB14" s="55"/>
      <c r="EEC14" s="55"/>
      <c r="EED14" s="55"/>
      <c r="EEE14" s="55"/>
      <c r="EEF14" s="55"/>
      <c r="EEG14" s="55"/>
      <c r="EEH14" s="55"/>
      <c r="EEI14" s="55"/>
      <c r="EEJ14" s="55"/>
      <c r="EEK14" s="55"/>
      <c r="EEL14" s="55"/>
      <c r="EEM14" s="55"/>
      <c r="EEN14" s="55"/>
      <c r="EEO14" s="55"/>
      <c r="EEP14" s="55"/>
      <c r="EEQ14" s="55"/>
      <c r="EER14" s="55"/>
      <c r="EES14" s="55"/>
      <c r="EET14" s="55"/>
      <c r="EEU14" s="55"/>
      <c r="EEV14" s="55"/>
      <c r="EEW14" s="55"/>
      <c r="EEX14" s="55"/>
      <c r="EEY14" s="55"/>
      <c r="EEZ14" s="55"/>
      <c r="EFA14" s="55"/>
      <c r="EFB14" s="55"/>
      <c r="EFC14" s="55"/>
      <c r="EFD14" s="55"/>
      <c r="EFE14" s="55"/>
      <c r="EFF14" s="55"/>
      <c r="EFG14" s="55"/>
      <c r="EFH14" s="55"/>
      <c r="EFI14" s="55"/>
      <c r="EFJ14" s="55"/>
      <c r="EFK14" s="55"/>
      <c r="EFL14" s="55"/>
      <c r="EFM14" s="55"/>
      <c r="EFN14" s="55"/>
      <c r="EFO14" s="55"/>
      <c r="EFP14" s="55"/>
      <c r="EFQ14" s="55"/>
      <c r="EFR14" s="55"/>
      <c r="EFS14" s="55"/>
      <c r="EFT14" s="55"/>
      <c r="EFU14" s="55"/>
      <c r="EFV14" s="55"/>
      <c r="EFW14" s="55"/>
      <c r="EFX14" s="55"/>
      <c r="EFY14" s="55"/>
      <c r="EFZ14" s="55"/>
      <c r="EGA14" s="55"/>
      <c r="EGB14" s="55"/>
      <c r="EGC14" s="55"/>
      <c r="EGD14" s="55"/>
      <c r="EGE14" s="55"/>
      <c r="EGF14" s="55"/>
      <c r="EGG14" s="55"/>
      <c r="EGH14" s="55"/>
      <c r="EGI14" s="55"/>
      <c r="EGJ14" s="55"/>
      <c r="EGK14" s="55"/>
      <c r="EGL14" s="55"/>
      <c r="EGM14" s="55"/>
      <c r="EGN14" s="55"/>
      <c r="EGO14" s="55"/>
      <c r="EGP14" s="55"/>
      <c r="EGQ14" s="55"/>
      <c r="EGR14" s="55"/>
      <c r="EGS14" s="55"/>
      <c r="EGT14" s="55"/>
      <c r="EGU14" s="55"/>
      <c r="EGV14" s="55"/>
      <c r="EGW14" s="55"/>
      <c r="EGX14" s="55"/>
      <c r="EGY14" s="55"/>
      <c r="EGZ14" s="55"/>
      <c r="EHA14" s="55"/>
      <c r="EHB14" s="55"/>
      <c r="EHC14" s="55"/>
      <c r="EHD14" s="55"/>
      <c r="EHE14" s="55"/>
      <c r="EHF14" s="55"/>
      <c r="EHG14" s="55"/>
      <c r="EHH14" s="55"/>
      <c r="EHI14" s="55"/>
      <c r="EHJ14" s="55"/>
      <c r="EHK14" s="55"/>
      <c r="EHL14" s="55"/>
      <c r="EHM14" s="55"/>
      <c r="EHN14" s="55"/>
      <c r="EHO14" s="55"/>
      <c r="EHP14" s="55"/>
      <c r="EHQ14" s="55"/>
      <c r="EHR14" s="55"/>
      <c r="EHS14" s="55"/>
      <c r="EHT14" s="55"/>
      <c r="EHU14" s="55"/>
      <c r="EHV14" s="55"/>
      <c r="EHW14" s="55"/>
      <c r="EHX14" s="55"/>
      <c r="EHY14" s="55"/>
      <c r="EHZ14" s="55"/>
      <c r="EIA14" s="55"/>
      <c r="EIB14" s="55"/>
      <c r="EIC14" s="55"/>
      <c r="EID14" s="55"/>
      <c r="EIE14" s="55"/>
      <c r="EIF14" s="55"/>
      <c r="EIG14" s="55"/>
      <c r="EIH14" s="55"/>
      <c r="EII14" s="55"/>
      <c r="EIJ14" s="55"/>
      <c r="EIK14" s="55"/>
      <c r="EIL14" s="55"/>
      <c r="EIM14" s="55"/>
      <c r="EIN14" s="55"/>
      <c r="EIO14" s="55"/>
      <c r="EIP14" s="55"/>
      <c r="EIQ14" s="55"/>
      <c r="EIR14" s="55"/>
      <c r="EIS14" s="55"/>
      <c r="EIT14" s="55"/>
      <c r="EIU14" s="55"/>
      <c r="EIV14" s="55"/>
      <c r="EIW14" s="55"/>
      <c r="EIX14" s="55"/>
      <c r="EIY14" s="55"/>
      <c r="EIZ14" s="55"/>
      <c r="EJA14" s="55"/>
      <c r="EJB14" s="55"/>
      <c r="EJC14" s="55"/>
      <c r="EJD14" s="55"/>
      <c r="EJE14" s="55"/>
      <c r="EJF14" s="55"/>
      <c r="EJG14" s="55"/>
      <c r="EJH14" s="55"/>
      <c r="EJI14" s="55"/>
      <c r="EJJ14" s="55"/>
      <c r="EJK14" s="55"/>
      <c r="EJL14" s="55"/>
      <c r="EJM14" s="55"/>
      <c r="EJN14" s="55"/>
      <c r="EJO14" s="55"/>
      <c r="EJP14" s="55"/>
      <c r="EJQ14" s="55"/>
      <c r="EJR14" s="55"/>
      <c r="EJS14" s="55"/>
      <c r="EJT14" s="55"/>
      <c r="EJU14" s="55"/>
      <c r="EJV14" s="55"/>
      <c r="EJW14" s="55"/>
      <c r="EJX14" s="55"/>
      <c r="EJY14" s="55"/>
      <c r="EJZ14" s="55"/>
      <c r="EKA14" s="55"/>
      <c r="EKB14" s="55"/>
      <c r="EKC14" s="55"/>
      <c r="EKD14" s="55"/>
      <c r="EKE14" s="55"/>
      <c r="EKF14" s="55"/>
      <c r="EKG14" s="55"/>
      <c r="EKH14" s="55"/>
      <c r="EKI14" s="55"/>
      <c r="EKJ14" s="55"/>
      <c r="EKK14" s="55"/>
      <c r="EKL14" s="55"/>
      <c r="EKM14" s="55"/>
      <c r="EKN14" s="55"/>
      <c r="EKO14" s="55"/>
      <c r="EKP14" s="55"/>
      <c r="EKQ14" s="55"/>
      <c r="EKR14" s="55"/>
      <c r="EKS14" s="55"/>
      <c r="EKT14" s="55"/>
      <c r="EKU14" s="55"/>
      <c r="EKV14" s="55"/>
      <c r="EKW14" s="55"/>
      <c r="EKX14" s="55"/>
      <c r="EKY14" s="55"/>
      <c r="EKZ14" s="55"/>
      <c r="ELA14" s="55"/>
      <c r="ELB14" s="55"/>
      <c r="ELC14" s="55"/>
      <c r="ELD14" s="55"/>
      <c r="ELE14" s="55"/>
      <c r="ELF14" s="55"/>
      <c r="ELG14" s="55"/>
      <c r="ELH14" s="55"/>
      <c r="ELI14" s="55"/>
      <c r="ELJ14" s="55"/>
      <c r="ELK14" s="55"/>
      <c r="ELL14" s="55"/>
      <c r="ELM14" s="55"/>
      <c r="ELN14" s="55"/>
      <c r="ELO14" s="55"/>
      <c r="ELP14" s="55"/>
      <c r="ELQ14" s="55"/>
      <c r="ELR14" s="55"/>
      <c r="ELS14" s="55"/>
      <c r="ELT14" s="55"/>
      <c r="ELU14" s="55"/>
      <c r="ELV14" s="55"/>
      <c r="ELW14" s="55"/>
      <c r="ELX14" s="55"/>
      <c r="ELY14" s="55"/>
      <c r="ELZ14" s="55"/>
      <c r="EMA14" s="55"/>
      <c r="EMB14" s="55"/>
      <c r="EMC14" s="55"/>
      <c r="EMD14" s="55"/>
      <c r="EME14" s="55"/>
      <c r="EMF14" s="55"/>
      <c r="EMG14" s="55"/>
      <c r="EMH14" s="55"/>
      <c r="EMI14" s="55"/>
      <c r="EMJ14" s="55"/>
      <c r="EMK14" s="55"/>
      <c r="EML14" s="55"/>
      <c r="EMM14" s="55"/>
      <c r="EMN14" s="55"/>
      <c r="EMO14" s="55"/>
      <c r="EMP14" s="55"/>
      <c r="EMQ14" s="55"/>
      <c r="EMR14" s="55"/>
      <c r="EMS14" s="55"/>
      <c r="EMT14" s="55"/>
      <c r="EMU14" s="55"/>
      <c r="EMV14" s="55"/>
      <c r="EMW14" s="55"/>
      <c r="EMX14" s="55"/>
      <c r="EMY14" s="55"/>
      <c r="EMZ14" s="55"/>
      <c r="ENA14" s="55"/>
      <c r="ENB14" s="55"/>
      <c r="ENC14" s="55"/>
      <c r="END14" s="55"/>
      <c r="ENE14" s="55"/>
      <c r="ENF14" s="55"/>
      <c r="ENG14" s="55"/>
      <c r="ENH14" s="55"/>
      <c r="ENI14" s="55"/>
      <c r="ENJ14" s="55"/>
      <c r="ENK14" s="55"/>
      <c r="ENL14" s="55"/>
      <c r="ENM14" s="55"/>
      <c r="ENN14" s="55"/>
      <c r="ENO14" s="55"/>
      <c r="ENP14" s="55"/>
      <c r="ENQ14" s="55"/>
      <c r="ENR14" s="55"/>
      <c r="ENS14" s="55"/>
      <c r="ENT14" s="55"/>
      <c r="ENU14" s="55"/>
      <c r="ENV14" s="55"/>
      <c r="ENW14" s="55"/>
      <c r="ENX14" s="55"/>
      <c r="ENY14" s="55"/>
      <c r="ENZ14" s="55"/>
      <c r="EOA14" s="55"/>
      <c r="EOB14" s="55"/>
      <c r="EOC14" s="55"/>
      <c r="EOD14" s="55"/>
      <c r="EOE14" s="55"/>
      <c r="EOF14" s="55"/>
      <c r="EOG14" s="55"/>
      <c r="EOH14" s="55"/>
      <c r="EOI14" s="55"/>
      <c r="EOJ14" s="55"/>
      <c r="EOK14" s="55"/>
      <c r="EOL14" s="55"/>
      <c r="EOM14" s="55"/>
      <c r="EON14" s="55"/>
      <c r="EOO14" s="55"/>
      <c r="EOP14" s="55"/>
      <c r="EOQ14" s="55"/>
      <c r="EOR14" s="55"/>
      <c r="EOS14" s="55"/>
      <c r="EOT14" s="55"/>
      <c r="EOU14" s="55"/>
      <c r="EOV14" s="55"/>
      <c r="EOW14" s="55"/>
      <c r="EOX14" s="55"/>
      <c r="EOY14" s="55"/>
      <c r="EOZ14" s="55"/>
      <c r="EPA14" s="55"/>
      <c r="EPB14" s="55"/>
      <c r="EPC14" s="55"/>
      <c r="EPD14" s="55"/>
      <c r="EPE14" s="55"/>
      <c r="EPF14" s="55"/>
      <c r="EPG14" s="55"/>
      <c r="EPH14" s="55"/>
      <c r="EPI14" s="55"/>
      <c r="EPJ14" s="55"/>
      <c r="EPK14" s="55"/>
      <c r="EPL14" s="55"/>
      <c r="EPM14" s="55"/>
      <c r="EPN14" s="55"/>
      <c r="EPO14" s="55"/>
      <c r="EPP14" s="55"/>
      <c r="EPQ14" s="55"/>
      <c r="EPR14" s="55"/>
      <c r="EPS14" s="55"/>
      <c r="EPT14" s="55"/>
      <c r="EPU14" s="55"/>
      <c r="EPV14" s="55"/>
      <c r="EPW14" s="55"/>
      <c r="EPX14" s="55"/>
      <c r="EPY14" s="55"/>
      <c r="EPZ14" s="55"/>
      <c r="EQA14" s="55"/>
      <c r="EQB14" s="55"/>
      <c r="EQC14" s="55"/>
      <c r="EQD14" s="55"/>
      <c r="EQE14" s="55"/>
      <c r="EQF14" s="55"/>
      <c r="EQG14" s="55"/>
      <c r="EQH14" s="55"/>
      <c r="EQI14" s="55"/>
      <c r="EQJ14" s="55"/>
      <c r="EQK14" s="55"/>
      <c r="EQL14" s="55"/>
      <c r="EQM14" s="55"/>
      <c r="EQN14" s="55"/>
      <c r="EQO14" s="55"/>
      <c r="EQP14" s="55"/>
      <c r="EQQ14" s="55"/>
      <c r="EQR14" s="55"/>
      <c r="EQS14" s="55"/>
      <c r="EQT14" s="55"/>
      <c r="EQU14" s="55"/>
      <c r="EQV14" s="55"/>
      <c r="EQW14" s="55"/>
      <c r="EQX14" s="55"/>
      <c r="EQY14" s="55"/>
      <c r="EQZ14" s="55"/>
      <c r="ERA14" s="55"/>
      <c r="ERB14" s="55"/>
      <c r="ERC14" s="55"/>
      <c r="ERD14" s="55"/>
      <c r="ERE14" s="55"/>
      <c r="ERF14" s="55"/>
      <c r="ERG14" s="55"/>
      <c r="ERH14" s="55"/>
      <c r="ERI14" s="55"/>
      <c r="ERJ14" s="55"/>
      <c r="ERK14" s="55"/>
      <c r="ERL14" s="55"/>
      <c r="ERM14" s="55"/>
      <c r="ERN14" s="55"/>
      <c r="ERO14" s="55"/>
      <c r="ERP14" s="55"/>
      <c r="ERQ14" s="55"/>
      <c r="ERR14" s="55"/>
      <c r="ERS14" s="55"/>
      <c r="ERT14" s="55"/>
      <c r="ERU14" s="55"/>
      <c r="ERV14" s="55"/>
      <c r="ERW14" s="55"/>
      <c r="ERX14" s="55"/>
      <c r="ERY14" s="55"/>
      <c r="ERZ14" s="55"/>
      <c r="ESA14" s="55"/>
      <c r="ESB14" s="55"/>
      <c r="ESC14" s="55"/>
      <c r="ESD14" s="55"/>
      <c r="ESE14" s="55"/>
      <c r="ESF14" s="55"/>
      <c r="ESG14" s="55"/>
      <c r="ESH14" s="55"/>
      <c r="ESI14" s="55"/>
      <c r="ESJ14" s="55"/>
      <c r="ESK14" s="55"/>
      <c r="ESL14" s="55"/>
      <c r="ESM14" s="55"/>
      <c r="ESN14" s="55"/>
      <c r="ESO14" s="55"/>
      <c r="ESP14" s="55"/>
      <c r="ESQ14" s="55"/>
      <c r="ESR14" s="55"/>
      <c r="ESS14" s="55"/>
      <c r="EST14" s="55"/>
      <c r="ESU14" s="55"/>
      <c r="ESV14" s="55"/>
      <c r="ESW14" s="55"/>
      <c r="ESX14" s="55"/>
      <c r="ESY14" s="55"/>
      <c r="ESZ14" s="55"/>
      <c r="ETA14" s="55"/>
      <c r="ETB14" s="55"/>
      <c r="ETC14" s="55"/>
      <c r="ETD14" s="55"/>
      <c r="ETE14" s="55"/>
      <c r="ETF14" s="55"/>
      <c r="ETG14" s="55"/>
      <c r="ETH14" s="55"/>
      <c r="ETI14" s="55"/>
      <c r="ETJ14" s="55"/>
      <c r="ETK14" s="55"/>
      <c r="ETL14" s="55"/>
      <c r="ETM14" s="55"/>
      <c r="ETN14" s="55"/>
      <c r="ETO14" s="55"/>
      <c r="ETP14" s="55"/>
      <c r="ETQ14" s="55"/>
      <c r="ETR14" s="55"/>
      <c r="ETS14" s="55"/>
      <c r="ETT14" s="55"/>
      <c r="ETU14" s="55"/>
      <c r="ETV14" s="55"/>
      <c r="ETW14" s="55"/>
      <c r="ETX14" s="55"/>
      <c r="ETY14" s="55"/>
      <c r="ETZ14" s="55"/>
      <c r="EUA14" s="55"/>
      <c r="EUB14" s="55"/>
      <c r="EUC14" s="55"/>
      <c r="EUD14" s="55"/>
      <c r="EUE14" s="55"/>
      <c r="EUF14" s="55"/>
      <c r="EUG14" s="55"/>
      <c r="EUH14" s="55"/>
      <c r="EUI14" s="55"/>
      <c r="EUJ14" s="55"/>
      <c r="EUK14" s="55"/>
      <c r="EUL14" s="55"/>
      <c r="EUM14" s="55"/>
      <c r="EUN14" s="55"/>
      <c r="EUO14" s="55"/>
      <c r="EUP14" s="55"/>
      <c r="EUQ14" s="55"/>
      <c r="EUR14" s="55"/>
      <c r="EUS14" s="55"/>
      <c r="EUT14" s="55"/>
      <c r="EUU14" s="55"/>
      <c r="EUV14" s="55"/>
      <c r="EUW14" s="55"/>
      <c r="EUX14" s="55"/>
      <c r="EUY14" s="55"/>
      <c r="EUZ14" s="55"/>
      <c r="EVA14" s="55"/>
      <c r="EVB14" s="55"/>
      <c r="EVC14" s="55"/>
      <c r="EVD14" s="55"/>
      <c r="EVE14" s="55"/>
      <c r="EVF14" s="55"/>
      <c r="EVG14" s="55"/>
      <c r="EVH14" s="55"/>
      <c r="EVI14" s="55"/>
      <c r="EVJ14" s="55"/>
      <c r="EVK14" s="55"/>
      <c r="EVL14" s="55"/>
      <c r="EVM14" s="55"/>
      <c r="EVN14" s="55"/>
      <c r="EVO14" s="55"/>
      <c r="EVP14" s="55"/>
      <c r="EVQ14" s="55"/>
      <c r="EVR14" s="55"/>
      <c r="EVS14" s="55"/>
      <c r="EVT14" s="55"/>
      <c r="EVU14" s="55"/>
      <c r="EVV14" s="55"/>
      <c r="EVW14" s="55"/>
      <c r="EVX14" s="55"/>
      <c r="EVY14" s="55"/>
      <c r="EVZ14" s="55"/>
      <c r="EWA14" s="55"/>
      <c r="EWB14" s="55"/>
      <c r="EWC14" s="55"/>
      <c r="EWD14" s="55"/>
      <c r="EWE14" s="55"/>
      <c r="EWF14" s="55"/>
      <c r="EWG14" s="55"/>
      <c r="EWH14" s="55"/>
      <c r="EWI14" s="55"/>
      <c r="EWJ14" s="55"/>
      <c r="EWK14" s="55"/>
      <c r="EWL14" s="55"/>
      <c r="EWM14" s="55"/>
      <c r="EWN14" s="55"/>
      <c r="EWO14" s="55"/>
      <c r="EWP14" s="55"/>
      <c r="EWQ14" s="55"/>
      <c r="EWR14" s="55"/>
      <c r="EWS14" s="55"/>
      <c r="EWT14" s="55"/>
      <c r="EWU14" s="55"/>
      <c r="EWV14" s="55"/>
      <c r="EWW14" s="55"/>
      <c r="EWX14" s="55"/>
      <c r="EWY14" s="55"/>
      <c r="EWZ14" s="55"/>
      <c r="EXA14" s="55"/>
      <c r="EXB14" s="55"/>
      <c r="EXC14" s="55"/>
      <c r="EXD14" s="55"/>
      <c r="EXE14" s="55"/>
      <c r="EXF14" s="55"/>
      <c r="EXG14" s="55"/>
      <c r="EXH14" s="55"/>
      <c r="EXI14" s="55"/>
      <c r="EXJ14" s="55"/>
      <c r="EXK14" s="55"/>
      <c r="EXL14" s="55"/>
      <c r="EXM14" s="55"/>
      <c r="EXN14" s="55"/>
      <c r="EXO14" s="55"/>
      <c r="EXP14" s="55"/>
      <c r="EXQ14" s="55"/>
      <c r="EXR14" s="55"/>
      <c r="EXS14" s="55"/>
      <c r="EXT14" s="55"/>
      <c r="EXU14" s="55"/>
      <c r="EXV14" s="55"/>
      <c r="EXW14" s="55"/>
      <c r="EXX14" s="55"/>
      <c r="EXY14" s="55"/>
      <c r="EXZ14" s="55"/>
      <c r="EYA14" s="55"/>
      <c r="EYB14" s="55"/>
      <c r="EYC14" s="55"/>
      <c r="EYD14" s="55"/>
      <c r="EYE14" s="55"/>
      <c r="EYF14" s="55"/>
      <c r="EYG14" s="55"/>
      <c r="EYH14" s="55"/>
      <c r="EYI14" s="55"/>
      <c r="EYJ14" s="55"/>
      <c r="EYK14" s="55"/>
      <c r="EYL14" s="55"/>
      <c r="EYM14" s="55"/>
      <c r="EYN14" s="55"/>
      <c r="EYO14" s="55"/>
      <c r="EYP14" s="55"/>
      <c r="EYQ14" s="55"/>
      <c r="EYR14" s="55"/>
      <c r="EYS14" s="55"/>
      <c r="EYT14" s="55"/>
      <c r="EYU14" s="55"/>
      <c r="EYV14" s="55"/>
      <c r="EYW14" s="55"/>
      <c r="EYX14" s="55"/>
      <c r="EYY14" s="55"/>
      <c r="EYZ14" s="55"/>
      <c r="EZA14" s="55"/>
      <c r="EZB14" s="55"/>
      <c r="EZC14" s="55"/>
      <c r="EZD14" s="55"/>
      <c r="EZE14" s="55"/>
      <c r="EZF14" s="55"/>
      <c r="EZG14" s="55"/>
      <c r="EZH14" s="55"/>
      <c r="EZI14" s="55"/>
      <c r="EZJ14" s="55"/>
      <c r="EZK14" s="55"/>
      <c r="EZL14" s="55"/>
      <c r="EZM14" s="55"/>
      <c r="EZN14" s="55"/>
      <c r="EZO14" s="55"/>
      <c r="EZP14" s="55"/>
      <c r="EZQ14" s="55"/>
      <c r="EZR14" s="55"/>
      <c r="EZS14" s="55"/>
      <c r="EZT14" s="55"/>
      <c r="EZU14" s="55"/>
      <c r="EZV14" s="55"/>
      <c r="EZW14" s="55"/>
      <c r="EZX14" s="55"/>
      <c r="EZY14" s="55"/>
      <c r="EZZ14" s="55"/>
      <c r="FAA14" s="55"/>
      <c r="FAB14" s="55"/>
      <c r="FAC14" s="55"/>
      <c r="FAD14" s="55"/>
      <c r="FAE14" s="55"/>
      <c r="FAF14" s="55"/>
      <c r="FAG14" s="55"/>
      <c r="FAH14" s="55"/>
      <c r="FAI14" s="55"/>
      <c r="FAJ14" s="55"/>
      <c r="FAK14" s="55"/>
      <c r="FAL14" s="55"/>
      <c r="FAM14" s="55"/>
      <c r="FAN14" s="55"/>
      <c r="FAO14" s="55"/>
      <c r="FAP14" s="55"/>
      <c r="FAQ14" s="55"/>
      <c r="FAR14" s="55"/>
      <c r="FAS14" s="55"/>
      <c r="FAT14" s="55"/>
      <c r="FAU14" s="55"/>
      <c r="FAV14" s="55"/>
      <c r="FAW14" s="55"/>
      <c r="FAX14" s="55"/>
      <c r="FAY14" s="55"/>
      <c r="FAZ14" s="55"/>
      <c r="FBA14" s="55"/>
      <c r="FBB14" s="55"/>
      <c r="FBC14" s="55"/>
      <c r="FBD14" s="55"/>
      <c r="FBE14" s="55"/>
      <c r="FBF14" s="55"/>
      <c r="FBG14" s="55"/>
      <c r="FBH14" s="55"/>
      <c r="FBI14" s="55"/>
      <c r="FBJ14" s="55"/>
      <c r="FBK14" s="55"/>
      <c r="FBL14" s="55"/>
      <c r="FBM14" s="55"/>
      <c r="FBN14" s="55"/>
      <c r="FBO14" s="55"/>
      <c r="FBP14" s="55"/>
      <c r="FBQ14" s="55"/>
      <c r="FBR14" s="55"/>
      <c r="FBS14" s="55"/>
      <c r="FBT14" s="55"/>
      <c r="FBU14" s="55"/>
      <c r="FBV14" s="55"/>
      <c r="FBW14" s="55"/>
      <c r="FBX14" s="55"/>
      <c r="FBY14" s="55"/>
      <c r="FBZ14" s="55"/>
      <c r="FCA14" s="55"/>
      <c r="FCB14" s="55"/>
      <c r="FCC14" s="55"/>
      <c r="FCD14" s="55"/>
      <c r="FCE14" s="55"/>
      <c r="FCF14" s="55"/>
      <c r="FCG14" s="55"/>
      <c r="FCH14" s="55"/>
      <c r="FCI14" s="55"/>
      <c r="FCJ14" s="55"/>
      <c r="FCK14" s="55"/>
      <c r="FCL14" s="55"/>
      <c r="FCM14" s="55"/>
      <c r="FCN14" s="55"/>
      <c r="FCO14" s="55"/>
      <c r="FCP14" s="55"/>
      <c r="FCQ14" s="55"/>
      <c r="FCR14" s="55"/>
      <c r="FCS14" s="55"/>
      <c r="FCT14" s="55"/>
      <c r="FCU14" s="55"/>
      <c r="FCV14" s="55"/>
      <c r="FCW14" s="55"/>
      <c r="FCX14" s="55"/>
      <c r="FCY14" s="55"/>
      <c r="FCZ14" s="55"/>
      <c r="FDA14" s="55"/>
      <c r="FDB14" s="55"/>
      <c r="FDC14" s="55"/>
      <c r="FDD14" s="55"/>
      <c r="FDE14" s="55"/>
      <c r="FDF14" s="55"/>
      <c r="FDG14" s="55"/>
      <c r="FDH14" s="55"/>
      <c r="FDI14" s="55"/>
      <c r="FDJ14" s="55"/>
      <c r="FDK14" s="55"/>
      <c r="FDL14" s="55"/>
      <c r="FDM14" s="55"/>
      <c r="FDN14" s="55"/>
      <c r="FDO14" s="55"/>
      <c r="FDP14" s="55"/>
      <c r="FDQ14" s="55"/>
      <c r="FDR14" s="55"/>
      <c r="FDS14" s="55"/>
      <c r="FDT14" s="55"/>
      <c r="FDU14" s="55"/>
      <c r="FDV14" s="55"/>
      <c r="FDW14" s="55"/>
      <c r="FDX14" s="55"/>
      <c r="FDY14" s="55"/>
      <c r="FDZ14" s="55"/>
      <c r="FEA14" s="55"/>
      <c r="FEB14" s="55"/>
      <c r="FEC14" s="55"/>
      <c r="FED14" s="55"/>
      <c r="FEE14" s="55"/>
      <c r="FEF14" s="55"/>
      <c r="FEG14" s="55"/>
      <c r="FEH14" s="55"/>
      <c r="FEI14" s="55"/>
      <c r="FEJ14" s="55"/>
      <c r="FEK14" s="55"/>
      <c r="FEL14" s="55"/>
      <c r="FEM14" s="55"/>
      <c r="FEN14" s="55"/>
      <c r="FEO14" s="55"/>
      <c r="FEP14" s="55"/>
      <c r="FEQ14" s="55"/>
      <c r="FER14" s="55"/>
      <c r="FES14" s="55"/>
      <c r="FET14" s="55"/>
      <c r="FEU14" s="55"/>
      <c r="FEV14" s="55"/>
      <c r="FEW14" s="55"/>
      <c r="FEX14" s="55"/>
      <c r="FEY14" s="55"/>
      <c r="FEZ14" s="55"/>
      <c r="FFA14" s="55"/>
      <c r="FFB14" s="55"/>
      <c r="FFC14" s="55"/>
      <c r="FFD14" s="55"/>
      <c r="FFE14" s="55"/>
      <c r="FFF14" s="55"/>
      <c r="FFG14" s="55"/>
      <c r="FFH14" s="55"/>
      <c r="FFI14" s="55"/>
      <c r="FFJ14" s="55"/>
      <c r="FFK14" s="55"/>
      <c r="FFL14" s="55"/>
      <c r="FFM14" s="55"/>
      <c r="FFN14" s="55"/>
      <c r="FFO14" s="55"/>
      <c r="FFP14" s="55"/>
      <c r="FFQ14" s="55"/>
      <c r="FFR14" s="55"/>
      <c r="FFS14" s="55"/>
      <c r="FFT14" s="55"/>
      <c r="FFU14" s="55"/>
      <c r="FFV14" s="55"/>
      <c r="FFW14" s="55"/>
      <c r="FFX14" s="55"/>
      <c r="FFY14" s="55"/>
      <c r="FFZ14" s="55"/>
      <c r="FGA14" s="55"/>
      <c r="FGB14" s="55"/>
      <c r="FGC14" s="55"/>
      <c r="FGD14" s="55"/>
      <c r="FGE14" s="55"/>
      <c r="FGF14" s="55"/>
      <c r="FGG14" s="55"/>
      <c r="FGH14" s="55"/>
      <c r="FGI14" s="55"/>
      <c r="FGJ14" s="55"/>
      <c r="FGK14" s="55"/>
      <c r="FGL14" s="55"/>
      <c r="FGM14" s="55"/>
      <c r="FGN14" s="55"/>
      <c r="FGO14" s="55"/>
      <c r="FGP14" s="55"/>
      <c r="FGQ14" s="55"/>
      <c r="FGR14" s="55"/>
      <c r="FGS14" s="55"/>
      <c r="FGT14" s="55"/>
      <c r="FGU14" s="55"/>
      <c r="FGV14" s="55"/>
      <c r="FGW14" s="55"/>
      <c r="FGX14" s="55"/>
      <c r="FGY14" s="55"/>
      <c r="FGZ14" s="55"/>
      <c r="FHA14" s="55"/>
      <c r="FHB14" s="55"/>
      <c r="FHC14" s="55"/>
      <c r="FHD14" s="55"/>
      <c r="FHE14" s="55"/>
      <c r="FHF14" s="55"/>
      <c r="FHG14" s="55"/>
      <c r="FHH14" s="55"/>
      <c r="FHI14" s="55"/>
      <c r="FHJ14" s="55"/>
      <c r="FHK14" s="55"/>
      <c r="FHL14" s="55"/>
      <c r="FHM14" s="55"/>
      <c r="FHN14" s="55"/>
      <c r="FHO14" s="55"/>
      <c r="FHP14" s="55"/>
      <c r="FHQ14" s="55"/>
      <c r="FHR14" s="55"/>
      <c r="FHS14" s="55"/>
      <c r="FHT14" s="55"/>
      <c r="FHU14" s="55"/>
      <c r="FHV14" s="55"/>
      <c r="FHW14" s="55"/>
      <c r="FHX14" s="55"/>
      <c r="FHY14" s="55"/>
      <c r="FHZ14" s="55"/>
      <c r="FIA14" s="55"/>
      <c r="FIB14" s="55"/>
      <c r="FIC14" s="55"/>
      <c r="FID14" s="55"/>
      <c r="FIE14" s="55"/>
      <c r="FIF14" s="55"/>
      <c r="FIG14" s="55"/>
      <c r="FIH14" s="55"/>
      <c r="FII14" s="55"/>
      <c r="FIJ14" s="55"/>
      <c r="FIK14" s="55"/>
      <c r="FIL14" s="55"/>
      <c r="FIM14" s="55"/>
      <c r="FIN14" s="55"/>
      <c r="FIO14" s="55"/>
      <c r="FIP14" s="55"/>
      <c r="FIQ14" s="55"/>
      <c r="FIR14" s="55"/>
      <c r="FIS14" s="55"/>
      <c r="FIT14" s="55"/>
      <c r="FIU14" s="55"/>
      <c r="FIV14" s="55"/>
      <c r="FIW14" s="55"/>
      <c r="FIX14" s="55"/>
      <c r="FIY14" s="55"/>
      <c r="FIZ14" s="55"/>
      <c r="FJA14" s="55"/>
      <c r="FJB14" s="55"/>
      <c r="FJC14" s="55"/>
      <c r="FJD14" s="55"/>
      <c r="FJE14" s="55"/>
      <c r="FJF14" s="55"/>
      <c r="FJG14" s="55"/>
      <c r="FJH14" s="55"/>
      <c r="FJI14" s="55"/>
      <c r="FJJ14" s="55"/>
      <c r="FJK14" s="55"/>
      <c r="FJL14" s="55"/>
      <c r="FJM14" s="55"/>
      <c r="FJN14" s="55"/>
      <c r="FJO14" s="55"/>
      <c r="FJP14" s="55"/>
      <c r="FJQ14" s="55"/>
      <c r="FJR14" s="55"/>
      <c r="FJS14" s="55"/>
      <c r="FJT14" s="55"/>
      <c r="FJU14" s="55"/>
      <c r="FJV14" s="55"/>
      <c r="FJW14" s="55"/>
      <c r="FJX14" s="55"/>
      <c r="FJY14" s="55"/>
      <c r="FJZ14" s="55"/>
      <c r="FKA14" s="55"/>
      <c r="FKB14" s="55"/>
      <c r="FKC14" s="55"/>
      <c r="FKD14" s="55"/>
      <c r="FKE14" s="55"/>
      <c r="FKF14" s="55"/>
      <c r="FKG14" s="55"/>
      <c r="FKH14" s="55"/>
      <c r="FKI14" s="55"/>
      <c r="FKJ14" s="55"/>
      <c r="FKK14" s="55"/>
      <c r="FKL14" s="55"/>
      <c r="FKM14" s="55"/>
      <c r="FKN14" s="55"/>
      <c r="FKO14" s="55"/>
      <c r="FKP14" s="55"/>
      <c r="FKQ14" s="55"/>
      <c r="FKR14" s="55"/>
      <c r="FKS14" s="55"/>
      <c r="FKT14" s="55"/>
      <c r="FKU14" s="55"/>
      <c r="FKV14" s="55"/>
      <c r="FKW14" s="55"/>
      <c r="FKX14" s="55"/>
      <c r="FKY14" s="55"/>
      <c r="FKZ14" s="55"/>
      <c r="FLA14" s="55"/>
      <c r="FLB14" s="55"/>
      <c r="FLC14" s="55"/>
      <c r="FLD14" s="55"/>
      <c r="FLE14" s="55"/>
      <c r="FLF14" s="55"/>
      <c r="FLG14" s="55"/>
      <c r="FLH14" s="55"/>
      <c r="FLI14" s="55"/>
      <c r="FLJ14" s="55"/>
      <c r="FLK14" s="55"/>
      <c r="FLL14" s="55"/>
      <c r="FLM14" s="55"/>
      <c r="FLN14" s="55"/>
      <c r="FLO14" s="55"/>
      <c r="FLP14" s="55"/>
      <c r="FLQ14" s="55"/>
      <c r="FLR14" s="55"/>
      <c r="FLS14" s="55"/>
      <c r="FLT14" s="55"/>
      <c r="FLU14" s="55"/>
      <c r="FLV14" s="55"/>
      <c r="FLW14" s="55"/>
      <c r="FLX14" s="55"/>
      <c r="FLY14" s="55"/>
      <c r="FLZ14" s="55"/>
      <c r="FMA14" s="55"/>
      <c r="FMB14" s="55"/>
      <c r="FMC14" s="55"/>
      <c r="FMD14" s="55"/>
      <c r="FME14" s="55"/>
      <c r="FMF14" s="55"/>
      <c r="FMG14" s="55"/>
      <c r="FMH14" s="55"/>
      <c r="FMI14" s="55"/>
      <c r="FMJ14" s="55"/>
      <c r="FMK14" s="55"/>
      <c r="FML14" s="55"/>
      <c r="FMM14" s="55"/>
      <c r="FMN14" s="55"/>
      <c r="FMO14" s="55"/>
      <c r="FMP14" s="55"/>
      <c r="FMQ14" s="55"/>
      <c r="FMR14" s="55"/>
      <c r="FMS14" s="55"/>
      <c r="FMT14" s="55"/>
      <c r="FMU14" s="55"/>
      <c r="FMV14" s="55"/>
      <c r="FMW14" s="55"/>
      <c r="FMX14" s="55"/>
      <c r="FMY14" s="55"/>
      <c r="FMZ14" s="55"/>
      <c r="FNA14" s="55"/>
      <c r="FNB14" s="55"/>
      <c r="FNC14" s="55"/>
      <c r="FND14" s="55"/>
      <c r="FNE14" s="55"/>
      <c r="FNF14" s="55"/>
      <c r="FNG14" s="55"/>
      <c r="FNH14" s="55"/>
      <c r="FNI14" s="55"/>
      <c r="FNJ14" s="55"/>
      <c r="FNK14" s="55"/>
      <c r="FNL14" s="55"/>
      <c r="FNM14" s="55"/>
      <c r="FNN14" s="55"/>
      <c r="FNO14" s="55"/>
      <c r="FNP14" s="55"/>
      <c r="FNQ14" s="55"/>
      <c r="FNR14" s="55"/>
      <c r="FNS14" s="55"/>
      <c r="FNT14" s="55"/>
      <c r="FNU14" s="55"/>
      <c r="FNV14" s="55"/>
      <c r="FNW14" s="55"/>
      <c r="FNX14" s="55"/>
      <c r="FNY14" s="55"/>
      <c r="FNZ14" s="55"/>
      <c r="FOA14" s="55"/>
      <c r="FOB14" s="55"/>
      <c r="FOC14" s="55"/>
      <c r="FOD14" s="55"/>
      <c r="FOE14" s="55"/>
      <c r="FOF14" s="55"/>
      <c r="FOG14" s="55"/>
      <c r="FOH14" s="55"/>
      <c r="FOI14" s="55"/>
      <c r="FOJ14" s="55"/>
      <c r="FOK14" s="55"/>
      <c r="FOL14" s="55"/>
      <c r="FOM14" s="55"/>
      <c r="FON14" s="55"/>
      <c r="FOO14" s="55"/>
      <c r="FOP14" s="55"/>
      <c r="FOQ14" s="55"/>
      <c r="FOR14" s="55"/>
      <c r="FOS14" s="55"/>
      <c r="FOT14" s="55"/>
      <c r="FOU14" s="55"/>
      <c r="FOV14" s="55"/>
      <c r="FOW14" s="55"/>
      <c r="FOX14" s="55"/>
      <c r="FOY14" s="55"/>
      <c r="FOZ14" s="55"/>
      <c r="FPA14" s="55"/>
      <c r="FPB14" s="55"/>
      <c r="FPC14" s="55"/>
      <c r="FPD14" s="55"/>
      <c r="FPE14" s="55"/>
      <c r="FPF14" s="55"/>
      <c r="FPG14" s="55"/>
      <c r="FPH14" s="55"/>
      <c r="FPI14" s="55"/>
      <c r="FPJ14" s="55"/>
      <c r="FPK14" s="55"/>
      <c r="FPL14" s="55"/>
      <c r="FPM14" s="55"/>
      <c r="FPN14" s="55"/>
      <c r="FPO14" s="55"/>
      <c r="FPP14" s="55"/>
      <c r="FPQ14" s="55"/>
      <c r="FPR14" s="55"/>
      <c r="FPS14" s="55"/>
      <c r="FPT14" s="55"/>
      <c r="FPU14" s="55"/>
      <c r="FPV14" s="55"/>
      <c r="FPW14" s="55"/>
      <c r="FPX14" s="55"/>
      <c r="FPY14" s="55"/>
      <c r="FPZ14" s="55"/>
      <c r="FQA14" s="55"/>
      <c r="FQB14" s="55"/>
      <c r="FQC14" s="55"/>
      <c r="FQD14" s="55"/>
      <c r="FQE14" s="55"/>
      <c r="FQF14" s="55"/>
      <c r="FQG14" s="55"/>
      <c r="FQH14" s="55"/>
      <c r="FQI14" s="55"/>
      <c r="FQJ14" s="55"/>
      <c r="FQK14" s="55"/>
      <c r="FQL14" s="55"/>
      <c r="FQM14" s="55"/>
      <c r="FQN14" s="55"/>
      <c r="FQO14" s="55"/>
      <c r="FQP14" s="55"/>
      <c r="FQQ14" s="55"/>
      <c r="FQR14" s="55"/>
      <c r="FQS14" s="55"/>
      <c r="FQT14" s="55"/>
      <c r="FQU14" s="55"/>
      <c r="FQV14" s="55"/>
      <c r="FQW14" s="55"/>
      <c r="FQX14" s="55"/>
      <c r="FQY14" s="55"/>
      <c r="FQZ14" s="55"/>
      <c r="FRA14" s="55"/>
      <c r="FRB14" s="55"/>
      <c r="FRC14" s="55"/>
      <c r="FRD14" s="55"/>
      <c r="FRE14" s="55"/>
      <c r="FRF14" s="55"/>
      <c r="FRG14" s="55"/>
      <c r="FRH14" s="55"/>
      <c r="FRI14" s="55"/>
      <c r="FRJ14" s="55"/>
      <c r="FRK14" s="55"/>
      <c r="FRL14" s="55"/>
      <c r="FRM14" s="55"/>
      <c r="FRN14" s="55"/>
      <c r="FRO14" s="55"/>
      <c r="FRP14" s="55"/>
      <c r="FRQ14" s="55"/>
      <c r="FRR14" s="55"/>
      <c r="FRS14" s="55"/>
      <c r="FRT14" s="55"/>
      <c r="FRU14" s="55"/>
      <c r="FRV14" s="55"/>
      <c r="FRW14" s="55"/>
      <c r="FRX14" s="55"/>
      <c r="FRY14" s="55"/>
      <c r="FRZ14" s="55"/>
      <c r="FSA14" s="55"/>
      <c r="FSB14" s="55"/>
      <c r="FSC14" s="55"/>
      <c r="FSD14" s="55"/>
      <c r="FSE14" s="55"/>
      <c r="FSF14" s="55"/>
      <c r="FSG14" s="55"/>
      <c r="FSH14" s="55"/>
      <c r="FSI14" s="55"/>
      <c r="FSJ14" s="55"/>
      <c r="FSK14" s="55"/>
      <c r="FSL14" s="55"/>
      <c r="FSM14" s="55"/>
      <c r="FSN14" s="55"/>
      <c r="FSO14" s="55"/>
      <c r="FSP14" s="55"/>
      <c r="FSQ14" s="55"/>
      <c r="FSR14" s="55"/>
      <c r="FSS14" s="55"/>
      <c r="FST14" s="55"/>
      <c r="FSU14" s="55"/>
      <c r="FSV14" s="55"/>
      <c r="FSW14" s="55"/>
      <c r="FSX14" s="55"/>
      <c r="FSY14" s="55"/>
      <c r="FSZ14" s="55"/>
      <c r="FTA14" s="55"/>
      <c r="FTB14" s="55"/>
      <c r="FTC14" s="55"/>
      <c r="FTD14" s="55"/>
      <c r="FTE14" s="55"/>
      <c r="FTF14" s="55"/>
      <c r="FTG14" s="55"/>
      <c r="FTH14" s="55"/>
      <c r="FTI14" s="55"/>
      <c r="FTJ14" s="55"/>
      <c r="FTK14" s="55"/>
      <c r="FTL14" s="55"/>
      <c r="FTM14" s="55"/>
      <c r="FTN14" s="55"/>
      <c r="FTO14" s="55"/>
      <c r="FTP14" s="55"/>
      <c r="FTQ14" s="55"/>
      <c r="FTR14" s="55"/>
      <c r="FTS14" s="55"/>
      <c r="FTT14" s="55"/>
      <c r="FTU14" s="55"/>
      <c r="FTV14" s="55"/>
      <c r="FTW14" s="55"/>
      <c r="FTX14" s="55"/>
      <c r="FTY14" s="55"/>
      <c r="FTZ14" s="55"/>
      <c r="FUA14" s="55"/>
      <c r="FUB14" s="55"/>
      <c r="FUC14" s="55"/>
      <c r="FUD14" s="55"/>
      <c r="FUE14" s="55"/>
      <c r="FUF14" s="55"/>
      <c r="FUG14" s="55"/>
      <c r="FUH14" s="55"/>
      <c r="FUI14" s="55"/>
      <c r="FUJ14" s="55"/>
      <c r="FUK14" s="55"/>
      <c r="FUL14" s="55"/>
      <c r="FUM14" s="55"/>
      <c r="FUN14" s="55"/>
      <c r="FUO14" s="55"/>
      <c r="FUP14" s="55"/>
      <c r="FUQ14" s="55"/>
      <c r="FUR14" s="55"/>
      <c r="FUS14" s="55"/>
      <c r="FUT14" s="55"/>
      <c r="FUU14" s="55"/>
      <c r="FUV14" s="55"/>
      <c r="FUW14" s="55"/>
      <c r="FUX14" s="55"/>
      <c r="FUY14" s="55"/>
      <c r="FUZ14" s="55"/>
      <c r="FVA14" s="55"/>
      <c r="FVB14" s="55"/>
      <c r="FVC14" s="55"/>
      <c r="FVD14" s="55"/>
      <c r="FVE14" s="55"/>
      <c r="FVF14" s="55"/>
      <c r="FVG14" s="55"/>
      <c r="FVH14" s="55"/>
      <c r="FVI14" s="55"/>
      <c r="FVJ14" s="55"/>
      <c r="FVK14" s="55"/>
      <c r="FVL14" s="55"/>
      <c r="FVM14" s="55"/>
      <c r="FVN14" s="55"/>
      <c r="FVO14" s="55"/>
      <c r="FVP14" s="55"/>
      <c r="FVQ14" s="55"/>
      <c r="FVR14" s="55"/>
      <c r="FVS14" s="55"/>
      <c r="FVT14" s="55"/>
      <c r="FVU14" s="55"/>
      <c r="FVV14" s="55"/>
      <c r="FVW14" s="55"/>
      <c r="FVX14" s="55"/>
      <c r="FVY14" s="55"/>
      <c r="FVZ14" s="55"/>
      <c r="FWA14" s="55"/>
      <c r="FWB14" s="55"/>
      <c r="FWC14" s="55"/>
      <c r="FWD14" s="55"/>
      <c r="FWE14" s="55"/>
      <c r="FWF14" s="55"/>
      <c r="FWG14" s="55"/>
      <c r="FWH14" s="55"/>
      <c r="FWI14" s="55"/>
      <c r="FWJ14" s="55"/>
      <c r="FWK14" s="55"/>
      <c r="FWL14" s="55"/>
      <c r="FWM14" s="55"/>
      <c r="FWN14" s="55"/>
      <c r="FWO14" s="55"/>
      <c r="FWP14" s="55"/>
      <c r="FWQ14" s="55"/>
      <c r="FWR14" s="55"/>
      <c r="FWS14" s="55"/>
      <c r="FWT14" s="55"/>
      <c r="FWU14" s="55"/>
      <c r="FWV14" s="55"/>
      <c r="FWW14" s="55"/>
      <c r="FWX14" s="55"/>
      <c r="FWY14" s="55"/>
      <c r="FWZ14" s="55"/>
      <c r="FXA14" s="55"/>
      <c r="FXB14" s="55"/>
      <c r="FXC14" s="55"/>
      <c r="FXD14" s="55"/>
      <c r="FXE14" s="55"/>
      <c r="FXF14" s="55"/>
      <c r="FXG14" s="55"/>
      <c r="FXH14" s="55"/>
      <c r="FXI14" s="55"/>
      <c r="FXJ14" s="55"/>
      <c r="FXK14" s="55"/>
      <c r="FXL14" s="55"/>
      <c r="FXM14" s="55"/>
      <c r="FXN14" s="55"/>
      <c r="FXO14" s="55"/>
      <c r="FXP14" s="55"/>
      <c r="FXQ14" s="55"/>
      <c r="FXR14" s="55"/>
      <c r="FXS14" s="55"/>
      <c r="FXT14" s="55"/>
      <c r="FXU14" s="55"/>
      <c r="FXV14" s="55"/>
      <c r="FXW14" s="55"/>
      <c r="FXX14" s="55"/>
      <c r="FXY14" s="55"/>
      <c r="FXZ14" s="55"/>
      <c r="FYA14" s="55"/>
      <c r="FYB14" s="55"/>
      <c r="FYC14" s="55"/>
      <c r="FYD14" s="55"/>
      <c r="FYE14" s="55"/>
      <c r="FYF14" s="55"/>
      <c r="FYG14" s="55"/>
      <c r="FYH14" s="55"/>
      <c r="FYI14" s="55"/>
      <c r="FYJ14" s="55"/>
      <c r="FYK14" s="55"/>
      <c r="FYL14" s="55"/>
      <c r="FYM14" s="55"/>
      <c r="FYN14" s="55"/>
      <c r="FYO14" s="55"/>
      <c r="FYP14" s="55"/>
      <c r="FYQ14" s="55"/>
      <c r="FYR14" s="55"/>
      <c r="FYS14" s="55"/>
      <c r="FYT14" s="55"/>
      <c r="FYU14" s="55"/>
      <c r="FYV14" s="55"/>
      <c r="FYW14" s="55"/>
      <c r="FYX14" s="55"/>
      <c r="FYY14" s="55"/>
      <c r="FYZ14" s="55"/>
      <c r="FZA14" s="55"/>
      <c r="FZB14" s="55"/>
      <c r="FZC14" s="55"/>
      <c r="FZD14" s="55"/>
      <c r="FZE14" s="55"/>
      <c r="FZF14" s="55"/>
      <c r="FZG14" s="55"/>
      <c r="FZH14" s="55"/>
      <c r="FZI14" s="55"/>
      <c r="FZJ14" s="55"/>
      <c r="FZK14" s="55"/>
      <c r="FZL14" s="55"/>
      <c r="FZM14" s="55"/>
      <c r="FZN14" s="55"/>
      <c r="FZO14" s="55"/>
      <c r="FZP14" s="55"/>
      <c r="FZQ14" s="55"/>
      <c r="FZR14" s="55"/>
      <c r="FZS14" s="55"/>
      <c r="FZT14" s="55"/>
      <c r="FZU14" s="55"/>
      <c r="FZV14" s="55"/>
      <c r="FZW14" s="55"/>
      <c r="FZX14" s="55"/>
      <c r="FZY14" s="55"/>
      <c r="FZZ14" s="55"/>
      <c r="GAA14" s="55"/>
      <c r="GAB14" s="55"/>
      <c r="GAC14" s="55"/>
      <c r="GAD14" s="55"/>
      <c r="GAE14" s="55"/>
      <c r="GAF14" s="55"/>
      <c r="GAG14" s="55"/>
      <c r="GAH14" s="55"/>
      <c r="GAI14" s="55"/>
      <c r="GAJ14" s="55"/>
      <c r="GAK14" s="55"/>
      <c r="GAL14" s="55"/>
      <c r="GAM14" s="55"/>
      <c r="GAN14" s="55"/>
      <c r="GAO14" s="55"/>
      <c r="GAP14" s="55"/>
      <c r="GAQ14" s="55"/>
      <c r="GAR14" s="55"/>
      <c r="GAS14" s="55"/>
      <c r="GAT14" s="55"/>
      <c r="GAU14" s="55"/>
      <c r="GAV14" s="55"/>
      <c r="GAW14" s="55"/>
      <c r="GAX14" s="55"/>
      <c r="GAY14" s="55"/>
      <c r="GAZ14" s="55"/>
      <c r="GBA14" s="55"/>
      <c r="GBB14" s="55"/>
      <c r="GBC14" s="55"/>
      <c r="GBD14" s="55"/>
      <c r="GBE14" s="55"/>
      <c r="GBF14" s="55"/>
      <c r="GBG14" s="55"/>
      <c r="GBH14" s="55"/>
      <c r="GBI14" s="55"/>
      <c r="GBJ14" s="55"/>
      <c r="GBK14" s="55"/>
      <c r="GBL14" s="55"/>
      <c r="GBM14" s="55"/>
      <c r="GBN14" s="55"/>
      <c r="GBO14" s="55"/>
      <c r="GBP14" s="55"/>
      <c r="GBQ14" s="55"/>
      <c r="GBR14" s="55"/>
      <c r="GBS14" s="55"/>
      <c r="GBT14" s="55"/>
      <c r="GBU14" s="55"/>
      <c r="GBV14" s="55"/>
      <c r="GBW14" s="55"/>
      <c r="GBX14" s="55"/>
      <c r="GBY14" s="55"/>
      <c r="GBZ14" s="55"/>
      <c r="GCA14" s="55"/>
      <c r="GCB14" s="55"/>
      <c r="GCC14" s="55"/>
      <c r="GCD14" s="55"/>
      <c r="GCE14" s="55"/>
      <c r="GCF14" s="55"/>
      <c r="GCG14" s="55"/>
      <c r="GCH14" s="55"/>
      <c r="GCI14" s="55"/>
      <c r="GCJ14" s="55"/>
      <c r="GCK14" s="55"/>
      <c r="GCL14" s="55"/>
      <c r="GCM14" s="55"/>
      <c r="GCN14" s="55"/>
      <c r="GCO14" s="55"/>
      <c r="GCP14" s="55"/>
      <c r="GCQ14" s="55"/>
      <c r="GCR14" s="55"/>
      <c r="GCS14" s="55"/>
      <c r="GCT14" s="55"/>
      <c r="GCU14" s="55"/>
      <c r="GCV14" s="55"/>
      <c r="GCW14" s="55"/>
      <c r="GCX14" s="55"/>
      <c r="GCY14" s="55"/>
      <c r="GCZ14" s="55"/>
      <c r="GDA14" s="55"/>
      <c r="GDB14" s="55"/>
      <c r="GDC14" s="55"/>
      <c r="GDD14" s="55"/>
      <c r="GDE14" s="55"/>
      <c r="GDF14" s="55"/>
      <c r="GDG14" s="55"/>
      <c r="GDH14" s="55"/>
      <c r="GDI14" s="55"/>
      <c r="GDJ14" s="55"/>
      <c r="GDK14" s="55"/>
      <c r="GDL14" s="55"/>
      <c r="GDM14" s="55"/>
      <c r="GDN14" s="55"/>
      <c r="GDO14" s="55"/>
      <c r="GDP14" s="55"/>
      <c r="GDQ14" s="55"/>
      <c r="GDR14" s="55"/>
      <c r="GDS14" s="55"/>
      <c r="GDT14" s="55"/>
      <c r="GDU14" s="55"/>
      <c r="GDV14" s="55"/>
      <c r="GDW14" s="55"/>
      <c r="GDX14" s="55"/>
      <c r="GDY14" s="55"/>
      <c r="GDZ14" s="55"/>
      <c r="GEA14" s="55"/>
      <c r="GEB14" s="55"/>
      <c r="GEC14" s="55"/>
      <c r="GED14" s="55"/>
      <c r="GEE14" s="55"/>
      <c r="GEF14" s="55"/>
      <c r="GEG14" s="55"/>
      <c r="GEH14" s="55"/>
      <c r="GEI14" s="55"/>
      <c r="GEJ14" s="55"/>
      <c r="GEK14" s="55"/>
      <c r="GEL14" s="55"/>
      <c r="GEM14" s="55"/>
      <c r="GEN14" s="55"/>
      <c r="GEO14" s="55"/>
      <c r="GEP14" s="55"/>
      <c r="GEQ14" s="55"/>
      <c r="GER14" s="55"/>
      <c r="GES14" s="55"/>
      <c r="GET14" s="55"/>
      <c r="GEU14" s="55"/>
      <c r="GEV14" s="55"/>
      <c r="GEW14" s="55"/>
      <c r="GEX14" s="55"/>
      <c r="GEY14" s="55"/>
      <c r="GEZ14" s="55"/>
      <c r="GFA14" s="55"/>
      <c r="GFB14" s="55"/>
      <c r="GFC14" s="55"/>
      <c r="GFD14" s="55"/>
      <c r="GFE14" s="55"/>
      <c r="GFF14" s="55"/>
      <c r="GFG14" s="55"/>
      <c r="GFH14" s="55"/>
      <c r="GFI14" s="55"/>
      <c r="GFJ14" s="55"/>
      <c r="GFK14" s="55"/>
      <c r="GFL14" s="55"/>
      <c r="GFM14" s="55"/>
      <c r="GFN14" s="55"/>
      <c r="GFO14" s="55"/>
      <c r="GFP14" s="55"/>
      <c r="GFQ14" s="55"/>
      <c r="GFR14" s="55"/>
      <c r="GFS14" s="55"/>
      <c r="GFT14" s="55"/>
      <c r="GFU14" s="55"/>
      <c r="GFV14" s="55"/>
      <c r="GFW14" s="55"/>
      <c r="GFX14" s="55"/>
      <c r="GFY14" s="55"/>
      <c r="GFZ14" s="55"/>
      <c r="GGA14" s="55"/>
      <c r="GGB14" s="55"/>
      <c r="GGC14" s="55"/>
      <c r="GGD14" s="55"/>
      <c r="GGE14" s="55"/>
      <c r="GGF14" s="55"/>
      <c r="GGG14" s="55"/>
      <c r="GGH14" s="55"/>
      <c r="GGI14" s="55"/>
      <c r="GGJ14" s="55"/>
      <c r="GGK14" s="55"/>
      <c r="GGL14" s="55"/>
      <c r="GGM14" s="55"/>
      <c r="GGN14" s="55"/>
      <c r="GGO14" s="55"/>
      <c r="GGP14" s="55"/>
      <c r="GGQ14" s="55"/>
      <c r="GGR14" s="55"/>
      <c r="GGS14" s="55"/>
      <c r="GGT14" s="55"/>
      <c r="GGU14" s="55"/>
      <c r="GGV14" s="55"/>
      <c r="GGW14" s="55"/>
      <c r="GGX14" s="55"/>
      <c r="GGY14" s="55"/>
      <c r="GGZ14" s="55"/>
      <c r="GHA14" s="55"/>
      <c r="GHB14" s="55"/>
      <c r="GHC14" s="55"/>
      <c r="GHD14" s="55"/>
      <c r="GHE14" s="55"/>
      <c r="GHF14" s="55"/>
      <c r="GHG14" s="55"/>
      <c r="GHH14" s="55"/>
      <c r="GHI14" s="55"/>
      <c r="GHJ14" s="55"/>
      <c r="GHK14" s="55"/>
      <c r="GHL14" s="55"/>
      <c r="GHM14" s="55"/>
      <c r="GHN14" s="55"/>
      <c r="GHO14" s="55"/>
      <c r="GHP14" s="55"/>
      <c r="GHQ14" s="55"/>
      <c r="GHR14" s="55"/>
      <c r="GHS14" s="55"/>
      <c r="GHT14" s="55"/>
      <c r="GHU14" s="55"/>
      <c r="GHV14" s="55"/>
      <c r="GHW14" s="55"/>
      <c r="GHX14" s="55"/>
      <c r="GHY14" s="55"/>
      <c r="GHZ14" s="55"/>
      <c r="GIA14" s="55"/>
      <c r="GIB14" s="55"/>
      <c r="GIC14" s="55"/>
      <c r="GID14" s="55"/>
      <c r="GIE14" s="55"/>
      <c r="GIF14" s="55"/>
      <c r="GIG14" s="55"/>
      <c r="GIH14" s="55"/>
      <c r="GII14" s="55"/>
      <c r="GIJ14" s="55"/>
      <c r="GIK14" s="55"/>
      <c r="GIL14" s="55"/>
      <c r="GIM14" s="55"/>
      <c r="GIN14" s="55"/>
      <c r="GIO14" s="55"/>
      <c r="GIP14" s="55"/>
      <c r="GIQ14" s="55"/>
      <c r="GIR14" s="55"/>
      <c r="GIS14" s="55"/>
      <c r="GIT14" s="55"/>
      <c r="GIU14" s="55"/>
      <c r="GIV14" s="55"/>
      <c r="GIW14" s="55"/>
      <c r="GIX14" s="55"/>
      <c r="GIY14" s="55"/>
      <c r="GIZ14" s="55"/>
      <c r="GJA14" s="55"/>
      <c r="GJB14" s="55"/>
      <c r="GJC14" s="55"/>
      <c r="GJD14" s="55"/>
      <c r="GJE14" s="55"/>
      <c r="GJF14" s="55"/>
      <c r="GJG14" s="55"/>
      <c r="GJH14" s="55"/>
      <c r="GJI14" s="55"/>
      <c r="GJJ14" s="55"/>
      <c r="GJK14" s="55"/>
      <c r="GJL14" s="55"/>
      <c r="GJM14" s="55"/>
      <c r="GJN14" s="55"/>
      <c r="GJO14" s="55"/>
      <c r="GJP14" s="55"/>
      <c r="GJQ14" s="55"/>
      <c r="GJR14" s="55"/>
      <c r="GJS14" s="55"/>
      <c r="GJT14" s="55"/>
      <c r="GJU14" s="55"/>
      <c r="GJV14" s="55"/>
      <c r="GJW14" s="55"/>
      <c r="GJX14" s="55"/>
      <c r="GJY14" s="55"/>
      <c r="GJZ14" s="55"/>
      <c r="GKA14" s="55"/>
      <c r="GKB14" s="55"/>
      <c r="GKC14" s="55"/>
      <c r="GKD14" s="55"/>
      <c r="GKE14" s="55"/>
      <c r="GKF14" s="55"/>
      <c r="GKG14" s="55"/>
      <c r="GKH14" s="55"/>
      <c r="GKI14" s="55"/>
      <c r="GKJ14" s="55"/>
      <c r="GKK14" s="55"/>
      <c r="GKL14" s="55"/>
      <c r="GKM14" s="55"/>
      <c r="GKN14" s="55"/>
      <c r="GKO14" s="55"/>
      <c r="GKP14" s="55"/>
      <c r="GKQ14" s="55"/>
      <c r="GKR14" s="55"/>
      <c r="GKS14" s="55"/>
      <c r="GKT14" s="55"/>
      <c r="GKU14" s="55"/>
      <c r="GKV14" s="55"/>
      <c r="GKW14" s="55"/>
      <c r="GKX14" s="55"/>
      <c r="GKY14" s="55"/>
      <c r="GKZ14" s="55"/>
      <c r="GLA14" s="55"/>
      <c r="GLB14" s="55"/>
      <c r="GLC14" s="55"/>
      <c r="GLD14" s="55"/>
      <c r="GLE14" s="55"/>
      <c r="GLF14" s="55"/>
      <c r="GLG14" s="55"/>
      <c r="GLH14" s="55"/>
      <c r="GLI14" s="55"/>
      <c r="GLJ14" s="55"/>
      <c r="GLK14" s="55"/>
      <c r="GLL14" s="55"/>
      <c r="GLM14" s="55"/>
      <c r="GLN14" s="55"/>
      <c r="GLO14" s="55"/>
      <c r="GLP14" s="55"/>
      <c r="GLQ14" s="55"/>
      <c r="GLR14" s="55"/>
      <c r="GLS14" s="55"/>
      <c r="GLT14" s="55"/>
      <c r="GLU14" s="55"/>
      <c r="GLV14" s="55"/>
      <c r="GLW14" s="55"/>
      <c r="GLX14" s="55"/>
      <c r="GLY14" s="55"/>
      <c r="GLZ14" s="55"/>
      <c r="GMA14" s="55"/>
      <c r="GMB14" s="55"/>
      <c r="GMC14" s="55"/>
      <c r="GMD14" s="55"/>
      <c r="GME14" s="55"/>
      <c r="GMF14" s="55"/>
      <c r="GMG14" s="55"/>
      <c r="GMH14" s="55"/>
      <c r="GMI14" s="55"/>
      <c r="GMJ14" s="55"/>
      <c r="GMK14" s="55"/>
      <c r="GML14" s="55"/>
      <c r="GMM14" s="55"/>
      <c r="GMN14" s="55"/>
      <c r="GMO14" s="55"/>
      <c r="GMP14" s="55"/>
      <c r="GMQ14" s="55"/>
      <c r="GMR14" s="55"/>
      <c r="GMS14" s="55"/>
      <c r="GMT14" s="55"/>
      <c r="GMU14" s="55"/>
      <c r="GMV14" s="55"/>
      <c r="GMW14" s="55"/>
      <c r="GMX14" s="55"/>
      <c r="GMY14" s="55"/>
      <c r="GMZ14" s="55"/>
      <c r="GNA14" s="55"/>
      <c r="GNB14" s="55"/>
      <c r="GNC14" s="55"/>
      <c r="GND14" s="55"/>
      <c r="GNE14" s="55"/>
      <c r="GNF14" s="55"/>
      <c r="GNG14" s="55"/>
      <c r="GNH14" s="55"/>
      <c r="GNI14" s="55"/>
      <c r="GNJ14" s="55"/>
      <c r="GNK14" s="55"/>
      <c r="GNL14" s="55"/>
      <c r="GNM14" s="55"/>
      <c r="GNN14" s="55"/>
      <c r="GNO14" s="55"/>
      <c r="GNP14" s="55"/>
      <c r="GNQ14" s="55"/>
      <c r="GNR14" s="55"/>
      <c r="GNS14" s="55"/>
      <c r="GNT14" s="55"/>
      <c r="GNU14" s="55"/>
      <c r="GNV14" s="55"/>
      <c r="GNW14" s="55"/>
      <c r="GNX14" s="55"/>
      <c r="GNY14" s="55"/>
      <c r="GNZ14" s="55"/>
      <c r="GOA14" s="55"/>
      <c r="GOB14" s="55"/>
      <c r="GOC14" s="55"/>
      <c r="GOD14" s="55"/>
      <c r="GOE14" s="55"/>
      <c r="GOF14" s="55"/>
      <c r="GOG14" s="55"/>
      <c r="GOH14" s="55"/>
      <c r="GOI14" s="55"/>
      <c r="GOJ14" s="55"/>
      <c r="GOK14" s="55"/>
      <c r="GOL14" s="55"/>
      <c r="GOM14" s="55"/>
      <c r="GON14" s="55"/>
      <c r="GOO14" s="55"/>
      <c r="GOP14" s="55"/>
      <c r="GOQ14" s="55"/>
      <c r="GOR14" s="55"/>
      <c r="GOS14" s="55"/>
      <c r="GOT14" s="55"/>
      <c r="GOU14" s="55"/>
      <c r="GOV14" s="55"/>
      <c r="GOW14" s="55"/>
      <c r="GOX14" s="55"/>
      <c r="GOY14" s="55"/>
      <c r="GOZ14" s="55"/>
      <c r="GPA14" s="55"/>
      <c r="GPB14" s="55"/>
      <c r="GPC14" s="55"/>
      <c r="GPD14" s="55"/>
      <c r="GPE14" s="55"/>
      <c r="GPF14" s="55"/>
      <c r="GPG14" s="55"/>
      <c r="GPH14" s="55"/>
      <c r="GPI14" s="55"/>
      <c r="GPJ14" s="55"/>
      <c r="GPK14" s="55"/>
      <c r="GPL14" s="55"/>
      <c r="GPM14" s="55"/>
      <c r="GPN14" s="55"/>
      <c r="GPO14" s="55"/>
      <c r="GPP14" s="55"/>
      <c r="GPQ14" s="55"/>
      <c r="GPR14" s="55"/>
      <c r="GPS14" s="55"/>
      <c r="GPT14" s="55"/>
      <c r="GPU14" s="55"/>
      <c r="GPV14" s="55"/>
      <c r="GPW14" s="55"/>
      <c r="GPX14" s="55"/>
      <c r="GPY14" s="55"/>
      <c r="GPZ14" s="55"/>
      <c r="GQA14" s="55"/>
      <c r="GQB14" s="55"/>
      <c r="GQC14" s="55"/>
      <c r="GQD14" s="55"/>
      <c r="GQE14" s="55"/>
      <c r="GQF14" s="55"/>
      <c r="GQG14" s="55"/>
      <c r="GQH14" s="55"/>
      <c r="GQI14" s="55"/>
      <c r="GQJ14" s="55"/>
      <c r="GQK14" s="55"/>
      <c r="GQL14" s="55"/>
      <c r="GQM14" s="55"/>
      <c r="GQN14" s="55"/>
      <c r="GQO14" s="55"/>
      <c r="GQP14" s="55"/>
      <c r="GQQ14" s="55"/>
      <c r="GQR14" s="55"/>
      <c r="GQS14" s="55"/>
      <c r="GQT14" s="55"/>
      <c r="GQU14" s="55"/>
      <c r="GQV14" s="55"/>
      <c r="GQW14" s="55"/>
      <c r="GQX14" s="55"/>
      <c r="GQY14" s="55"/>
      <c r="GQZ14" s="55"/>
      <c r="GRA14" s="55"/>
      <c r="GRB14" s="55"/>
      <c r="GRC14" s="55"/>
      <c r="GRD14" s="55"/>
      <c r="GRE14" s="55"/>
      <c r="GRF14" s="55"/>
      <c r="GRG14" s="55"/>
      <c r="GRH14" s="55"/>
      <c r="GRI14" s="55"/>
      <c r="GRJ14" s="55"/>
      <c r="GRK14" s="55"/>
      <c r="GRL14" s="55"/>
      <c r="GRM14" s="55"/>
      <c r="GRN14" s="55"/>
      <c r="GRO14" s="55"/>
      <c r="GRP14" s="55"/>
      <c r="GRQ14" s="55"/>
      <c r="GRR14" s="55"/>
      <c r="GRS14" s="55"/>
      <c r="GRT14" s="55"/>
      <c r="GRU14" s="55"/>
      <c r="GRV14" s="55"/>
      <c r="GRW14" s="55"/>
      <c r="GRX14" s="55"/>
      <c r="GRY14" s="55"/>
      <c r="GRZ14" s="55"/>
      <c r="GSA14" s="55"/>
      <c r="GSB14" s="55"/>
      <c r="GSC14" s="55"/>
      <c r="GSD14" s="55"/>
      <c r="GSE14" s="55"/>
      <c r="GSF14" s="55"/>
      <c r="GSG14" s="55"/>
      <c r="GSH14" s="55"/>
      <c r="GSI14" s="55"/>
      <c r="GSJ14" s="55"/>
      <c r="GSK14" s="55"/>
      <c r="GSL14" s="55"/>
      <c r="GSM14" s="55"/>
      <c r="GSN14" s="55"/>
      <c r="GSO14" s="55"/>
      <c r="GSP14" s="55"/>
      <c r="GSQ14" s="55"/>
      <c r="GSR14" s="55"/>
      <c r="GSS14" s="55"/>
      <c r="GST14" s="55"/>
      <c r="GSU14" s="55"/>
      <c r="GSV14" s="55"/>
      <c r="GSW14" s="55"/>
      <c r="GSX14" s="55"/>
      <c r="GSY14" s="55"/>
      <c r="GSZ14" s="55"/>
      <c r="GTA14" s="55"/>
      <c r="GTB14" s="55"/>
      <c r="GTC14" s="55"/>
      <c r="GTD14" s="55"/>
      <c r="GTE14" s="55"/>
      <c r="GTF14" s="55"/>
      <c r="GTG14" s="55"/>
      <c r="GTH14" s="55"/>
      <c r="GTI14" s="55"/>
      <c r="GTJ14" s="55"/>
      <c r="GTK14" s="55"/>
      <c r="GTL14" s="55"/>
      <c r="GTM14" s="55"/>
      <c r="GTN14" s="55"/>
      <c r="GTO14" s="55"/>
      <c r="GTP14" s="55"/>
      <c r="GTQ14" s="55"/>
      <c r="GTR14" s="55"/>
      <c r="GTS14" s="55"/>
      <c r="GTT14" s="55"/>
      <c r="GTU14" s="55"/>
      <c r="GTV14" s="55"/>
      <c r="GTW14" s="55"/>
      <c r="GTX14" s="55"/>
      <c r="GTY14" s="55"/>
      <c r="GTZ14" s="55"/>
      <c r="GUA14" s="55"/>
      <c r="GUB14" s="55"/>
      <c r="GUC14" s="55"/>
      <c r="GUD14" s="55"/>
      <c r="GUE14" s="55"/>
      <c r="GUF14" s="55"/>
      <c r="GUG14" s="55"/>
      <c r="GUH14" s="55"/>
      <c r="GUI14" s="55"/>
      <c r="GUJ14" s="55"/>
      <c r="GUK14" s="55"/>
      <c r="GUL14" s="55"/>
      <c r="GUM14" s="55"/>
      <c r="GUN14" s="55"/>
      <c r="GUO14" s="55"/>
      <c r="GUP14" s="55"/>
      <c r="GUQ14" s="55"/>
      <c r="GUR14" s="55"/>
      <c r="GUS14" s="55"/>
      <c r="GUT14" s="55"/>
      <c r="GUU14" s="55"/>
      <c r="GUV14" s="55"/>
      <c r="GUW14" s="55"/>
      <c r="GUX14" s="55"/>
      <c r="GUY14" s="55"/>
      <c r="GUZ14" s="55"/>
      <c r="GVA14" s="55"/>
      <c r="GVB14" s="55"/>
      <c r="GVC14" s="55"/>
      <c r="GVD14" s="55"/>
      <c r="GVE14" s="55"/>
      <c r="GVF14" s="55"/>
      <c r="GVG14" s="55"/>
      <c r="GVH14" s="55"/>
      <c r="GVI14" s="55"/>
      <c r="GVJ14" s="55"/>
      <c r="GVK14" s="55"/>
      <c r="GVL14" s="55"/>
      <c r="GVM14" s="55"/>
      <c r="GVN14" s="55"/>
      <c r="GVO14" s="55"/>
      <c r="GVP14" s="55"/>
      <c r="GVQ14" s="55"/>
      <c r="GVR14" s="55"/>
      <c r="GVS14" s="55"/>
      <c r="GVT14" s="55"/>
      <c r="GVU14" s="55"/>
      <c r="GVV14" s="55"/>
      <c r="GVW14" s="55"/>
      <c r="GVX14" s="55"/>
      <c r="GVY14" s="55"/>
      <c r="GVZ14" s="55"/>
      <c r="GWA14" s="55"/>
      <c r="GWB14" s="55"/>
      <c r="GWC14" s="55"/>
      <c r="GWD14" s="55"/>
      <c r="GWE14" s="55"/>
      <c r="GWF14" s="55"/>
      <c r="GWG14" s="55"/>
      <c r="GWH14" s="55"/>
      <c r="GWI14" s="55"/>
      <c r="GWJ14" s="55"/>
      <c r="GWK14" s="55"/>
      <c r="GWL14" s="55"/>
      <c r="GWM14" s="55"/>
      <c r="GWN14" s="55"/>
      <c r="GWO14" s="55"/>
      <c r="GWP14" s="55"/>
      <c r="GWQ14" s="55"/>
      <c r="GWR14" s="55"/>
      <c r="GWS14" s="55"/>
      <c r="GWT14" s="55"/>
      <c r="GWU14" s="55"/>
      <c r="GWV14" s="55"/>
      <c r="GWW14" s="55"/>
      <c r="GWX14" s="55"/>
      <c r="GWY14" s="55"/>
      <c r="GWZ14" s="55"/>
      <c r="GXA14" s="55"/>
      <c r="GXB14" s="55"/>
      <c r="GXC14" s="55"/>
      <c r="GXD14" s="55"/>
      <c r="GXE14" s="55"/>
      <c r="GXF14" s="55"/>
      <c r="GXG14" s="55"/>
      <c r="GXH14" s="55"/>
      <c r="GXI14" s="55"/>
      <c r="GXJ14" s="55"/>
      <c r="GXK14" s="55"/>
      <c r="GXL14" s="55"/>
      <c r="GXM14" s="55"/>
      <c r="GXN14" s="55"/>
      <c r="GXO14" s="55"/>
      <c r="GXP14" s="55"/>
      <c r="GXQ14" s="55"/>
      <c r="GXR14" s="55"/>
      <c r="GXS14" s="55"/>
      <c r="GXT14" s="55"/>
      <c r="GXU14" s="55"/>
      <c r="GXV14" s="55"/>
      <c r="GXW14" s="55"/>
      <c r="GXX14" s="55"/>
      <c r="GXY14" s="55"/>
      <c r="GXZ14" s="55"/>
      <c r="GYA14" s="55"/>
      <c r="GYB14" s="55"/>
      <c r="GYC14" s="55"/>
      <c r="GYD14" s="55"/>
      <c r="GYE14" s="55"/>
      <c r="GYF14" s="55"/>
      <c r="GYG14" s="55"/>
      <c r="GYH14" s="55"/>
      <c r="GYI14" s="55"/>
      <c r="GYJ14" s="55"/>
      <c r="GYK14" s="55"/>
      <c r="GYL14" s="55"/>
      <c r="GYM14" s="55"/>
      <c r="GYN14" s="55"/>
      <c r="GYO14" s="55"/>
      <c r="GYP14" s="55"/>
      <c r="GYQ14" s="55"/>
      <c r="GYR14" s="55"/>
      <c r="GYS14" s="55"/>
      <c r="GYT14" s="55"/>
      <c r="GYU14" s="55"/>
      <c r="GYV14" s="55"/>
      <c r="GYW14" s="55"/>
      <c r="GYX14" s="55"/>
      <c r="GYY14" s="55"/>
      <c r="GYZ14" s="55"/>
      <c r="GZA14" s="55"/>
      <c r="GZB14" s="55"/>
      <c r="GZC14" s="55"/>
      <c r="GZD14" s="55"/>
      <c r="GZE14" s="55"/>
      <c r="GZF14" s="55"/>
      <c r="GZG14" s="55"/>
      <c r="GZH14" s="55"/>
      <c r="GZI14" s="55"/>
      <c r="GZJ14" s="55"/>
      <c r="GZK14" s="55"/>
      <c r="GZL14" s="55"/>
      <c r="GZM14" s="55"/>
      <c r="GZN14" s="55"/>
      <c r="GZO14" s="55"/>
      <c r="GZP14" s="55"/>
      <c r="GZQ14" s="55"/>
      <c r="GZR14" s="55"/>
      <c r="GZS14" s="55"/>
      <c r="GZT14" s="55"/>
      <c r="GZU14" s="55"/>
      <c r="GZV14" s="55"/>
      <c r="GZW14" s="55"/>
      <c r="GZX14" s="55"/>
      <c r="GZY14" s="55"/>
      <c r="GZZ14" s="55"/>
      <c r="HAA14" s="55"/>
      <c r="HAB14" s="55"/>
      <c r="HAC14" s="55"/>
      <c r="HAD14" s="55"/>
      <c r="HAE14" s="55"/>
      <c r="HAF14" s="55"/>
      <c r="HAG14" s="55"/>
      <c r="HAH14" s="55"/>
      <c r="HAI14" s="55"/>
      <c r="HAJ14" s="55"/>
      <c r="HAK14" s="55"/>
      <c r="HAL14" s="55"/>
      <c r="HAM14" s="55"/>
      <c r="HAN14" s="55"/>
      <c r="HAO14" s="55"/>
      <c r="HAP14" s="55"/>
      <c r="HAQ14" s="55"/>
      <c r="HAR14" s="55"/>
      <c r="HAS14" s="55"/>
      <c r="HAT14" s="55"/>
      <c r="HAU14" s="55"/>
      <c r="HAV14" s="55"/>
      <c r="HAW14" s="55"/>
      <c r="HAX14" s="55"/>
      <c r="HAY14" s="55"/>
      <c r="HAZ14" s="55"/>
      <c r="HBA14" s="55"/>
      <c r="HBB14" s="55"/>
      <c r="HBC14" s="55"/>
      <c r="HBD14" s="55"/>
      <c r="HBE14" s="55"/>
      <c r="HBF14" s="55"/>
      <c r="HBG14" s="55"/>
      <c r="HBH14" s="55"/>
      <c r="HBI14" s="55"/>
      <c r="HBJ14" s="55"/>
      <c r="HBK14" s="55"/>
      <c r="HBL14" s="55"/>
      <c r="HBM14" s="55"/>
      <c r="HBN14" s="55"/>
      <c r="HBO14" s="55"/>
      <c r="HBP14" s="55"/>
      <c r="HBQ14" s="55"/>
      <c r="HBR14" s="55"/>
      <c r="HBS14" s="55"/>
      <c r="HBT14" s="55"/>
      <c r="HBU14" s="55"/>
      <c r="HBV14" s="55"/>
      <c r="HBW14" s="55"/>
      <c r="HBX14" s="55"/>
      <c r="HBY14" s="55"/>
      <c r="HBZ14" s="55"/>
      <c r="HCA14" s="55"/>
      <c r="HCB14" s="55"/>
      <c r="HCC14" s="55"/>
      <c r="HCD14" s="55"/>
      <c r="HCE14" s="55"/>
      <c r="HCF14" s="55"/>
      <c r="HCG14" s="55"/>
      <c r="HCH14" s="55"/>
      <c r="HCI14" s="55"/>
      <c r="HCJ14" s="55"/>
      <c r="HCK14" s="55"/>
      <c r="HCL14" s="55"/>
      <c r="HCM14" s="55"/>
      <c r="HCN14" s="55"/>
      <c r="HCO14" s="55"/>
      <c r="HCP14" s="55"/>
      <c r="HCQ14" s="55"/>
      <c r="HCR14" s="55"/>
      <c r="HCS14" s="55"/>
      <c r="HCT14" s="55"/>
      <c r="HCU14" s="55"/>
      <c r="HCV14" s="55"/>
      <c r="HCW14" s="55"/>
      <c r="HCX14" s="55"/>
      <c r="HCY14" s="55"/>
      <c r="HCZ14" s="55"/>
      <c r="HDA14" s="55"/>
      <c r="HDB14" s="55"/>
      <c r="HDC14" s="55"/>
      <c r="HDD14" s="55"/>
      <c r="HDE14" s="55"/>
      <c r="HDF14" s="55"/>
      <c r="HDG14" s="55"/>
      <c r="HDH14" s="55"/>
      <c r="HDI14" s="55"/>
      <c r="HDJ14" s="55"/>
      <c r="HDK14" s="55"/>
      <c r="HDL14" s="55"/>
      <c r="HDM14" s="55"/>
      <c r="HDN14" s="55"/>
      <c r="HDO14" s="55"/>
      <c r="HDP14" s="55"/>
      <c r="HDQ14" s="55"/>
      <c r="HDR14" s="55"/>
      <c r="HDS14" s="55"/>
      <c r="HDT14" s="55"/>
      <c r="HDU14" s="55"/>
      <c r="HDV14" s="55"/>
      <c r="HDW14" s="55"/>
      <c r="HDX14" s="55"/>
      <c r="HDY14" s="55"/>
      <c r="HDZ14" s="55"/>
      <c r="HEA14" s="55"/>
      <c r="HEB14" s="55"/>
      <c r="HEC14" s="55"/>
      <c r="HED14" s="55"/>
      <c r="HEE14" s="55"/>
      <c r="HEF14" s="55"/>
      <c r="HEG14" s="55"/>
      <c r="HEH14" s="55"/>
      <c r="HEI14" s="55"/>
      <c r="HEJ14" s="55"/>
      <c r="HEK14" s="55"/>
      <c r="HEL14" s="55"/>
      <c r="HEM14" s="55"/>
      <c r="HEN14" s="55"/>
      <c r="HEO14" s="55"/>
      <c r="HEP14" s="55"/>
      <c r="HEQ14" s="55"/>
      <c r="HER14" s="55"/>
      <c r="HES14" s="55"/>
      <c r="HET14" s="55"/>
      <c r="HEU14" s="55"/>
      <c r="HEV14" s="55"/>
      <c r="HEW14" s="55"/>
      <c r="HEX14" s="55"/>
      <c r="HEY14" s="55"/>
      <c r="HEZ14" s="55"/>
      <c r="HFA14" s="55"/>
      <c r="HFB14" s="55"/>
      <c r="HFC14" s="55"/>
      <c r="HFD14" s="55"/>
      <c r="HFE14" s="55"/>
      <c r="HFF14" s="55"/>
      <c r="HFG14" s="55"/>
      <c r="HFH14" s="55"/>
      <c r="HFI14" s="55"/>
      <c r="HFJ14" s="55"/>
      <c r="HFK14" s="55"/>
      <c r="HFL14" s="55"/>
      <c r="HFM14" s="55"/>
      <c r="HFN14" s="55"/>
      <c r="HFO14" s="55"/>
      <c r="HFP14" s="55"/>
      <c r="HFQ14" s="55"/>
      <c r="HFR14" s="55"/>
      <c r="HFS14" s="55"/>
      <c r="HFT14" s="55"/>
      <c r="HFU14" s="55"/>
      <c r="HFV14" s="55"/>
      <c r="HFW14" s="55"/>
      <c r="HFX14" s="55"/>
      <c r="HFY14" s="55"/>
      <c r="HFZ14" s="55"/>
      <c r="HGA14" s="55"/>
      <c r="HGB14" s="55"/>
      <c r="HGC14" s="55"/>
      <c r="HGD14" s="55"/>
      <c r="HGE14" s="55"/>
      <c r="HGF14" s="55"/>
      <c r="HGG14" s="55"/>
      <c r="HGH14" s="55"/>
      <c r="HGI14" s="55"/>
      <c r="HGJ14" s="55"/>
      <c r="HGK14" s="55"/>
      <c r="HGL14" s="55"/>
      <c r="HGM14" s="55"/>
      <c r="HGN14" s="55"/>
      <c r="HGO14" s="55"/>
      <c r="HGP14" s="55"/>
      <c r="HGQ14" s="55"/>
      <c r="HGR14" s="55"/>
      <c r="HGS14" s="55"/>
      <c r="HGT14" s="55"/>
      <c r="HGU14" s="55"/>
      <c r="HGV14" s="55"/>
      <c r="HGW14" s="55"/>
      <c r="HGX14" s="55"/>
      <c r="HGY14" s="55"/>
      <c r="HGZ14" s="55"/>
      <c r="HHA14" s="55"/>
      <c r="HHB14" s="55"/>
      <c r="HHC14" s="55"/>
      <c r="HHD14" s="55"/>
      <c r="HHE14" s="55"/>
      <c r="HHF14" s="55"/>
      <c r="HHG14" s="55"/>
      <c r="HHH14" s="55"/>
      <c r="HHI14" s="55"/>
      <c r="HHJ14" s="55"/>
      <c r="HHK14" s="55"/>
      <c r="HHL14" s="55"/>
      <c r="HHM14" s="55"/>
      <c r="HHN14" s="55"/>
      <c r="HHO14" s="55"/>
      <c r="HHP14" s="55"/>
      <c r="HHQ14" s="55"/>
      <c r="HHR14" s="55"/>
      <c r="HHS14" s="55"/>
      <c r="HHT14" s="55"/>
      <c r="HHU14" s="55"/>
      <c r="HHV14" s="55"/>
      <c r="HHW14" s="55"/>
      <c r="HHX14" s="55"/>
      <c r="HHY14" s="55"/>
      <c r="HHZ14" s="55"/>
      <c r="HIA14" s="55"/>
      <c r="HIB14" s="55"/>
      <c r="HIC14" s="55"/>
      <c r="HID14" s="55"/>
      <c r="HIE14" s="55"/>
      <c r="HIF14" s="55"/>
      <c r="HIG14" s="55"/>
      <c r="HIH14" s="55"/>
      <c r="HII14" s="55"/>
      <c r="HIJ14" s="55"/>
      <c r="HIK14" s="55"/>
      <c r="HIL14" s="55"/>
      <c r="HIM14" s="55"/>
      <c r="HIN14" s="55"/>
      <c r="HIO14" s="55"/>
      <c r="HIP14" s="55"/>
      <c r="HIQ14" s="55"/>
      <c r="HIR14" s="55"/>
      <c r="HIS14" s="55"/>
      <c r="HIT14" s="55"/>
      <c r="HIU14" s="55"/>
      <c r="HIV14" s="55"/>
      <c r="HIW14" s="55"/>
      <c r="HIX14" s="55"/>
      <c r="HIY14" s="55"/>
      <c r="HIZ14" s="55"/>
      <c r="HJA14" s="55"/>
      <c r="HJB14" s="55"/>
      <c r="HJC14" s="55"/>
      <c r="HJD14" s="55"/>
      <c r="HJE14" s="55"/>
      <c r="HJF14" s="55"/>
      <c r="HJG14" s="55"/>
      <c r="HJH14" s="55"/>
      <c r="HJI14" s="55"/>
      <c r="HJJ14" s="55"/>
      <c r="HJK14" s="55"/>
      <c r="HJL14" s="55"/>
      <c r="HJM14" s="55"/>
      <c r="HJN14" s="55"/>
      <c r="HJO14" s="55"/>
      <c r="HJP14" s="55"/>
      <c r="HJQ14" s="55"/>
      <c r="HJR14" s="55"/>
      <c r="HJS14" s="55"/>
      <c r="HJT14" s="55"/>
      <c r="HJU14" s="55"/>
      <c r="HJV14" s="55"/>
      <c r="HJW14" s="55"/>
      <c r="HJX14" s="55"/>
      <c r="HJY14" s="55"/>
      <c r="HJZ14" s="55"/>
      <c r="HKA14" s="55"/>
      <c r="HKB14" s="55"/>
      <c r="HKC14" s="55"/>
      <c r="HKD14" s="55"/>
      <c r="HKE14" s="55"/>
      <c r="HKF14" s="55"/>
      <c r="HKG14" s="55"/>
      <c r="HKH14" s="55"/>
      <c r="HKI14" s="55"/>
      <c r="HKJ14" s="55"/>
      <c r="HKK14" s="55"/>
      <c r="HKL14" s="55"/>
      <c r="HKM14" s="55"/>
      <c r="HKN14" s="55"/>
      <c r="HKO14" s="55"/>
      <c r="HKP14" s="55"/>
      <c r="HKQ14" s="55"/>
      <c r="HKR14" s="55"/>
      <c r="HKS14" s="55"/>
      <c r="HKT14" s="55"/>
      <c r="HKU14" s="55"/>
      <c r="HKV14" s="55"/>
      <c r="HKW14" s="55"/>
      <c r="HKX14" s="55"/>
      <c r="HKY14" s="55"/>
      <c r="HKZ14" s="55"/>
      <c r="HLA14" s="55"/>
      <c r="HLB14" s="55"/>
      <c r="HLC14" s="55"/>
      <c r="HLD14" s="55"/>
      <c r="HLE14" s="55"/>
      <c r="HLF14" s="55"/>
      <c r="HLG14" s="55"/>
      <c r="HLH14" s="55"/>
      <c r="HLI14" s="55"/>
      <c r="HLJ14" s="55"/>
      <c r="HLK14" s="55"/>
      <c r="HLL14" s="55"/>
      <c r="HLM14" s="55"/>
      <c r="HLN14" s="55"/>
      <c r="HLO14" s="55"/>
      <c r="HLP14" s="55"/>
      <c r="HLQ14" s="55"/>
      <c r="HLR14" s="55"/>
      <c r="HLS14" s="55"/>
      <c r="HLT14" s="55"/>
      <c r="HLU14" s="55"/>
      <c r="HLV14" s="55"/>
      <c r="HLW14" s="55"/>
      <c r="HLX14" s="55"/>
      <c r="HLY14" s="55"/>
      <c r="HLZ14" s="55"/>
      <c r="HMA14" s="55"/>
      <c r="HMB14" s="55"/>
      <c r="HMC14" s="55"/>
      <c r="HMD14" s="55"/>
      <c r="HME14" s="55"/>
      <c r="HMF14" s="55"/>
      <c r="HMG14" s="55"/>
      <c r="HMH14" s="55"/>
      <c r="HMI14" s="55"/>
      <c r="HMJ14" s="55"/>
      <c r="HMK14" s="55"/>
      <c r="HML14" s="55"/>
      <c r="HMM14" s="55"/>
      <c r="HMN14" s="55"/>
      <c r="HMO14" s="55"/>
      <c r="HMP14" s="55"/>
      <c r="HMQ14" s="55"/>
      <c r="HMR14" s="55"/>
      <c r="HMS14" s="55"/>
      <c r="HMT14" s="55"/>
      <c r="HMU14" s="55"/>
      <c r="HMV14" s="55"/>
      <c r="HMW14" s="55"/>
      <c r="HMX14" s="55"/>
      <c r="HMY14" s="55"/>
      <c r="HMZ14" s="55"/>
      <c r="HNA14" s="55"/>
      <c r="HNB14" s="55"/>
      <c r="HNC14" s="55"/>
      <c r="HND14" s="55"/>
      <c r="HNE14" s="55"/>
      <c r="HNF14" s="55"/>
      <c r="HNG14" s="55"/>
      <c r="HNH14" s="55"/>
      <c r="HNI14" s="55"/>
      <c r="HNJ14" s="55"/>
      <c r="HNK14" s="55"/>
      <c r="HNL14" s="55"/>
      <c r="HNM14" s="55"/>
      <c r="HNN14" s="55"/>
      <c r="HNO14" s="55"/>
      <c r="HNP14" s="55"/>
      <c r="HNQ14" s="55"/>
      <c r="HNR14" s="55"/>
      <c r="HNS14" s="55"/>
      <c r="HNT14" s="55"/>
      <c r="HNU14" s="55"/>
      <c r="HNV14" s="55"/>
      <c r="HNW14" s="55"/>
      <c r="HNX14" s="55"/>
      <c r="HNY14" s="55"/>
      <c r="HNZ14" s="55"/>
      <c r="HOA14" s="55"/>
      <c r="HOB14" s="55"/>
      <c r="HOC14" s="55"/>
      <c r="HOD14" s="55"/>
      <c r="HOE14" s="55"/>
      <c r="HOF14" s="55"/>
      <c r="HOG14" s="55"/>
      <c r="HOH14" s="55"/>
      <c r="HOI14" s="55"/>
      <c r="HOJ14" s="55"/>
      <c r="HOK14" s="55"/>
      <c r="HOL14" s="55"/>
      <c r="HOM14" s="55"/>
      <c r="HON14" s="55"/>
      <c r="HOO14" s="55"/>
      <c r="HOP14" s="55"/>
      <c r="HOQ14" s="55"/>
      <c r="HOR14" s="55"/>
      <c r="HOS14" s="55"/>
      <c r="HOT14" s="55"/>
      <c r="HOU14" s="55"/>
      <c r="HOV14" s="55"/>
      <c r="HOW14" s="55"/>
      <c r="HOX14" s="55"/>
      <c r="HOY14" s="55"/>
      <c r="HOZ14" s="55"/>
      <c r="HPA14" s="55"/>
      <c r="HPB14" s="55"/>
      <c r="HPC14" s="55"/>
      <c r="HPD14" s="55"/>
      <c r="HPE14" s="55"/>
      <c r="HPF14" s="55"/>
      <c r="HPG14" s="55"/>
      <c r="HPH14" s="55"/>
      <c r="HPI14" s="55"/>
      <c r="HPJ14" s="55"/>
      <c r="HPK14" s="55"/>
      <c r="HPL14" s="55"/>
      <c r="HPM14" s="55"/>
      <c r="HPN14" s="55"/>
      <c r="HPO14" s="55"/>
      <c r="HPP14" s="55"/>
      <c r="HPQ14" s="55"/>
      <c r="HPR14" s="55"/>
      <c r="HPS14" s="55"/>
      <c r="HPT14" s="55"/>
      <c r="HPU14" s="55"/>
      <c r="HPV14" s="55"/>
      <c r="HPW14" s="55"/>
      <c r="HPX14" s="55"/>
      <c r="HPY14" s="55"/>
      <c r="HPZ14" s="55"/>
      <c r="HQA14" s="55"/>
      <c r="HQB14" s="55"/>
      <c r="HQC14" s="55"/>
      <c r="HQD14" s="55"/>
      <c r="HQE14" s="55"/>
      <c r="HQF14" s="55"/>
      <c r="HQG14" s="55"/>
      <c r="HQH14" s="55"/>
      <c r="HQI14" s="55"/>
      <c r="HQJ14" s="55"/>
      <c r="HQK14" s="55"/>
      <c r="HQL14" s="55"/>
      <c r="HQM14" s="55"/>
      <c r="HQN14" s="55"/>
      <c r="HQO14" s="55"/>
      <c r="HQP14" s="55"/>
      <c r="HQQ14" s="55"/>
      <c r="HQR14" s="55"/>
      <c r="HQS14" s="55"/>
      <c r="HQT14" s="55"/>
      <c r="HQU14" s="55"/>
      <c r="HQV14" s="55"/>
      <c r="HQW14" s="55"/>
      <c r="HQX14" s="55"/>
      <c r="HQY14" s="55"/>
      <c r="HQZ14" s="55"/>
      <c r="HRA14" s="55"/>
      <c r="HRB14" s="55"/>
      <c r="HRC14" s="55"/>
      <c r="HRD14" s="55"/>
      <c r="HRE14" s="55"/>
      <c r="HRF14" s="55"/>
      <c r="HRG14" s="55"/>
      <c r="HRH14" s="55"/>
      <c r="HRI14" s="55"/>
      <c r="HRJ14" s="55"/>
      <c r="HRK14" s="55"/>
      <c r="HRL14" s="55"/>
      <c r="HRM14" s="55"/>
      <c r="HRN14" s="55"/>
      <c r="HRO14" s="55"/>
      <c r="HRP14" s="55"/>
      <c r="HRQ14" s="55"/>
      <c r="HRR14" s="55"/>
      <c r="HRS14" s="55"/>
      <c r="HRT14" s="55"/>
      <c r="HRU14" s="55"/>
      <c r="HRV14" s="55"/>
      <c r="HRW14" s="55"/>
      <c r="HRX14" s="55"/>
      <c r="HRY14" s="55"/>
      <c r="HRZ14" s="55"/>
      <c r="HSA14" s="55"/>
      <c r="HSB14" s="55"/>
      <c r="HSC14" s="55"/>
      <c r="HSD14" s="55"/>
      <c r="HSE14" s="55"/>
      <c r="HSF14" s="55"/>
      <c r="HSG14" s="55"/>
      <c r="HSH14" s="55"/>
      <c r="HSI14" s="55"/>
      <c r="HSJ14" s="55"/>
      <c r="HSK14" s="55"/>
      <c r="HSL14" s="55"/>
      <c r="HSM14" s="55"/>
      <c r="HSN14" s="55"/>
      <c r="HSO14" s="55"/>
      <c r="HSP14" s="55"/>
      <c r="HSQ14" s="55"/>
      <c r="HSR14" s="55"/>
      <c r="HSS14" s="55"/>
      <c r="HST14" s="55"/>
      <c r="HSU14" s="55"/>
      <c r="HSV14" s="55"/>
      <c r="HSW14" s="55"/>
      <c r="HSX14" s="55"/>
      <c r="HSY14" s="55"/>
      <c r="HSZ14" s="55"/>
      <c r="HTA14" s="55"/>
      <c r="HTB14" s="55"/>
      <c r="HTC14" s="55"/>
      <c r="HTD14" s="55"/>
      <c r="HTE14" s="55"/>
      <c r="HTF14" s="55"/>
      <c r="HTG14" s="55"/>
      <c r="HTH14" s="55"/>
      <c r="HTI14" s="55"/>
      <c r="HTJ14" s="55"/>
      <c r="HTK14" s="55"/>
      <c r="HTL14" s="55"/>
      <c r="HTM14" s="55"/>
      <c r="HTN14" s="55"/>
      <c r="HTO14" s="55"/>
      <c r="HTP14" s="55"/>
      <c r="HTQ14" s="55"/>
      <c r="HTR14" s="55"/>
      <c r="HTS14" s="55"/>
      <c r="HTT14" s="55"/>
      <c r="HTU14" s="55"/>
      <c r="HTV14" s="55"/>
      <c r="HTW14" s="55"/>
      <c r="HTX14" s="55"/>
      <c r="HTY14" s="55"/>
      <c r="HTZ14" s="55"/>
      <c r="HUA14" s="55"/>
      <c r="HUB14" s="55"/>
      <c r="HUC14" s="55"/>
      <c r="HUD14" s="55"/>
      <c r="HUE14" s="55"/>
      <c r="HUF14" s="55"/>
      <c r="HUG14" s="55"/>
      <c r="HUH14" s="55"/>
      <c r="HUI14" s="55"/>
      <c r="HUJ14" s="55"/>
      <c r="HUK14" s="55"/>
      <c r="HUL14" s="55"/>
      <c r="HUM14" s="55"/>
      <c r="HUN14" s="55"/>
      <c r="HUO14" s="55"/>
      <c r="HUP14" s="55"/>
      <c r="HUQ14" s="55"/>
      <c r="HUR14" s="55"/>
      <c r="HUS14" s="55"/>
      <c r="HUT14" s="55"/>
      <c r="HUU14" s="55"/>
      <c r="HUV14" s="55"/>
      <c r="HUW14" s="55"/>
      <c r="HUX14" s="55"/>
      <c r="HUY14" s="55"/>
      <c r="HUZ14" s="55"/>
      <c r="HVA14" s="55"/>
      <c r="HVB14" s="55"/>
      <c r="HVC14" s="55"/>
      <c r="HVD14" s="55"/>
      <c r="HVE14" s="55"/>
      <c r="HVF14" s="55"/>
      <c r="HVG14" s="55"/>
      <c r="HVH14" s="55"/>
      <c r="HVI14" s="55"/>
      <c r="HVJ14" s="55"/>
      <c r="HVK14" s="55"/>
      <c r="HVL14" s="55"/>
      <c r="HVM14" s="55"/>
      <c r="HVN14" s="55"/>
      <c r="HVO14" s="55"/>
      <c r="HVP14" s="55"/>
      <c r="HVQ14" s="55"/>
      <c r="HVR14" s="55"/>
      <c r="HVS14" s="55"/>
      <c r="HVT14" s="55"/>
      <c r="HVU14" s="55"/>
      <c r="HVV14" s="55"/>
      <c r="HVW14" s="55"/>
      <c r="HVX14" s="55"/>
      <c r="HVY14" s="55"/>
      <c r="HVZ14" s="55"/>
      <c r="HWA14" s="55"/>
      <c r="HWB14" s="55"/>
      <c r="HWC14" s="55"/>
      <c r="HWD14" s="55"/>
      <c r="HWE14" s="55"/>
      <c r="HWF14" s="55"/>
      <c r="HWG14" s="55"/>
      <c r="HWH14" s="55"/>
      <c r="HWI14" s="55"/>
      <c r="HWJ14" s="55"/>
      <c r="HWK14" s="55"/>
      <c r="HWL14" s="55"/>
      <c r="HWM14" s="55"/>
      <c r="HWN14" s="55"/>
      <c r="HWO14" s="55"/>
      <c r="HWP14" s="55"/>
      <c r="HWQ14" s="55"/>
      <c r="HWR14" s="55"/>
      <c r="HWS14" s="55"/>
      <c r="HWT14" s="55"/>
      <c r="HWU14" s="55"/>
      <c r="HWV14" s="55"/>
      <c r="HWW14" s="55"/>
      <c r="HWX14" s="55"/>
      <c r="HWY14" s="55"/>
      <c r="HWZ14" s="55"/>
      <c r="HXA14" s="55"/>
      <c r="HXB14" s="55"/>
      <c r="HXC14" s="55"/>
      <c r="HXD14" s="55"/>
      <c r="HXE14" s="55"/>
      <c r="HXF14" s="55"/>
      <c r="HXG14" s="55"/>
      <c r="HXH14" s="55"/>
      <c r="HXI14" s="55"/>
      <c r="HXJ14" s="55"/>
      <c r="HXK14" s="55"/>
      <c r="HXL14" s="55"/>
      <c r="HXM14" s="55"/>
      <c r="HXN14" s="55"/>
      <c r="HXO14" s="55"/>
      <c r="HXP14" s="55"/>
      <c r="HXQ14" s="55"/>
      <c r="HXR14" s="55"/>
      <c r="HXS14" s="55"/>
      <c r="HXT14" s="55"/>
      <c r="HXU14" s="55"/>
      <c r="HXV14" s="55"/>
      <c r="HXW14" s="55"/>
      <c r="HXX14" s="55"/>
      <c r="HXY14" s="55"/>
      <c r="HXZ14" s="55"/>
      <c r="HYA14" s="55"/>
      <c r="HYB14" s="55"/>
      <c r="HYC14" s="55"/>
      <c r="HYD14" s="55"/>
      <c r="HYE14" s="55"/>
      <c r="HYF14" s="55"/>
      <c r="HYG14" s="55"/>
      <c r="HYH14" s="55"/>
      <c r="HYI14" s="55"/>
      <c r="HYJ14" s="55"/>
      <c r="HYK14" s="55"/>
      <c r="HYL14" s="55"/>
      <c r="HYM14" s="55"/>
      <c r="HYN14" s="55"/>
      <c r="HYO14" s="55"/>
      <c r="HYP14" s="55"/>
      <c r="HYQ14" s="55"/>
      <c r="HYR14" s="55"/>
      <c r="HYS14" s="55"/>
      <c r="HYT14" s="55"/>
      <c r="HYU14" s="55"/>
      <c r="HYV14" s="55"/>
      <c r="HYW14" s="55"/>
      <c r="HYX14" s="55"/>
      <c r="HYY14" s="55"/>
      <c r="HYZ14" s="55"/>
      <c r="HZA14" s="55"/>
      <c r="HZB14" s="55"/>
      <c r="HZC14" s="55"/>
      <c r="HZD14" s="55"/>
      <c r="HZE14" s="55"/>
      <c r="HZF14" s="55"/>
      <c r="HZG14" s="55"/>
      <c r="HZH14" s="55"/>
      <c r="HZI14" s="55"/>
      <c r="HZJ14" s="55"/>
      <c r="HZK14" s="55"/>
      <c r="HZL14" s="55"/>
      <c r="HZM14" s="55"/>
      <c r="HZN14" s="55"/>
      <c r="HZO14" s="55"/>
      <c r="HZP14" s="55"/>
      <c r="HZQ14" s="55"/>
      <c r="HZR14" s="55"/>
      <c r="HZS14" s="55"/>
      <c r="HZT14" s="55"/>
      <c r="HZU14" s="55"/>
      <c r="HZV14" s="55"/>
      <c r="HZW14" s="55"/>
      <c r="HZX14" s="55"/>
      <c r="HZY14" s="55"/>
      <c r="HZZ14" s="55"/>
      <c r="IAA14" s="55"/>
      <c r="IAB14" s="55"/>
      <c r="IAC14" s="55"/>
      <c r="IAD14" s="55"/>
      <c r="IAE14" s="55"/>
      <c r="IAF14" s="55"/>
      <c r="IAG14" s="55"/>
      <c r="IAH14" s="55"/>
      <c r="IAI14" s="55"/>
      <c r="IAJ14" s="55"/>
      <c r="IAK14" s="55"/>
      <c r="IAL14" s="55"/>
      <c r="IAM14" s="55"/>
      <c r="IAN14" s="55"/>
      <c r="IAO14" s="55"/>
      <c r="IAP14" s="55"/>
      <c r="IAQ14" s="55"/>
      <c r="IAR14" s="55"/>
      <c r="IAS14" s="55"/>
      <c r="IAT14" s="55"/>
      <c r="IAU14" s="55"/>
      <c r="IAV14" s="55"/>
      <c r="IAW14" s="55"/>
      <c r="IAX14" s="55"/>
      <c r="IAY14" s="55"/>
      <c r="IAZ14" s="55"/>
      <c r="IBA14" s="55"/>
      <c r="IBB14" s="55"/>
      <c r="IBC14" s="55"/>
      <c r="IBD14" s="55"/>
      <c r="IBE14" s="55"/>
      <c r="IBF14" s="55"/>
      <c r="IBG14" s="55"/>
      <c r="IBH14" s="55"/>
      <c r="IBI14" s="55"/>
      <c r="IBJ14" s="55"/>
      <c r="IBK14" s="55"/>
      <c r="IBL14" s="55"/>
      <c r="IBM14" s="55"/>
      <c r="IBN14" s="55"/>
      <c r="IBO14" s="55"/>
      <c r="IBP14" s="55"/>
      <c r="IBQ14" s="55"/>
      <c r="IBR14" s="55"/>
      <c r="IBS14" s="55"/>
      <c r="IBT14" s="55"/>
      <c r="IBU14" s="55"/>
      <c r="IBV14" s="55"/>
      <c r="IBW14" s="55"/>
      <c r="IBX14" s="55"/>
      <c r="IBY14" s="55"/>
      <c r="IBZ14" s="55"/>
      <c r="ICA14" s="55"/>
      <c r="ICB14" s="55"/>
      <c r="ICC14" s="55"/>
      <c r="ICD14" s="55"/>
      <c r="ICE14" s="55"/>
      <c r="ICF14" s="55"/>
      <c r="ICG14" s="55"/>
      <c r="ICH14" s="55"/>
      <c r="ICI14" s="55"/>
      <c r="ICJ14" s="55"/>
      <c r="ICK14" s="55"/>
      <c r="ICL14" s="55"/>
      <c r="ICM14" s="55"/>
      <c r="ICN14" s="55"/>
      <c r="ICO14" s="55"/>
      <c r="ICP14" s="55"/>
      <c r="ICQ14" s="55"/>
      <c r="ICR14" s="55"/>
      <c r="ICS14" s="55"/>
      <c r="ICT14" s="55"/>
      <c r="ICU14" s="55"/>
      <c r="ICV14" s="55"/>
      <c r="ICW14" s="55"/>
      <c r="ICX14" s="55"/>
      <c r="ICY14" s="55"/>
      <c r="ICZ14" s="55"/>
      <c r="IDA14" s="55"/>
      <c r="IDB14" s="55"/>
      <c r="IDC14" s="55"/>
      <c r="IDD14" s="55"/>
      <c r="IDE14" s="55"/>
      <c r="IDF14" s="55"/>
      <c r="IDG14" s="55"/>
      <c r="IDH14" s="55"/>
      <c r="IDI14" s="55"/>
      <c r="IDJ14" s="55"/>
      <c r="IDK14" s="55"/>
      <c r="IDL14" s="55"/>
      <c r="IDM14" s="55"/>
      <c r="IDN14" s="55"/>
      <c r="IDO14" s="55"/>
      <c r="IDP14" s="55"/>
      <c r="IDQ14" s="55"/>
      <c r="IDR14" s="55"/>
      <c r="IDS14" s="55"/>
      <c r="IDT14" s="55"/>
      <c r="IDU14" s="55"/>
      <c r="IDV14" s="55"/>
      <c r="IDW14" s="55"/>
      <c r="IDX14" s="55"/>
      <c r="IDY14" s="55"/>
      <c r="IDZ14" s="55"/>
      <c r="IEA14" s="55"/>
      <c r="IEB14" s="55"/>
      <c r="IEC14" s="55"/>
      <c r="IED14" s="55"/>
      <c r="IEE14" s="55"/>
      <c r="IEF14" s="55"/>
      <c r="IEG14" s="55"/>
      <c r="IEH14" s="55"/>
      <c r="IEI14" s="55"/>
      <c r="IEJ14" s="55"/>
      <c r="IEK14" s="55"/>
      <c r="IEL14" s="55"/>
      <c r="IEM14" s="55"/>
      <c r="IEN14" s="55"/>
      <c r="IEO14" s="55"/>
      <c r="IEP14" s="55"/>
      <c r="IEQ14" s="55"/>
      <c r="IER14" s="55"/>
      <c r="IES14" s="55"/>
      <c r="IET14" s="55"/>
      <c r="IEU14" s="55"/>
      <c r="IEV14" s="55"/>
      <c r="IEW14" s="55"/>
      <c r="IEX14" s="55"/>
      <c r="IEY14" s="55"/>
      <c r="IEZ14" s="55"/>
      <c r="IFA14" s="55"/>
      <c r="IFB14" s="55"/>
      <c r="IFC14" s="55"/>
      <c r="IFD14" s="55"/>
      <c r="IFE14" s="55"/>
      <c r="IFF14" s="55"/>
      <c r="IFG14" s="55"/>
      <c r="IFH14" s="55"/>
      <c r="IFI14" s="55"/>
      <c r="IFJ14" s="55"/>
      <c r="IFK14" s="55"/>
      <c r="IFL14" s="55"/>
      <c r="IFM14" s="55"/>
      <c r="IFN14" s="55"/>
      <c r="IFO14" s="55"/>
      <c r="IFP14" s="55"/>
      <c r="IFQ14" s="55"/>
      <c r="IFR14" s="55"/>
      <c r="IFS14" s="55"/>
      <c r="IFT14" s="55"/>
      <c r="IFU14" s="55"/>
      <c r="IFV14" s="55"/>
      <c r="IFW14" s="55"/>
      <c r="IFX14" s="55"/>
      <c r="IFY14" s="55"/>
      <c r="IFZ14" s="55"/>
      <c r="IGA14" s="55"/>
      <c r="IGB14" s="55"/>
      <c r="IGC14" s="55"/>
      <c r="IGD14" s="55"/>
      <c r="IGE14" s="55"/>
      <c r="IGF14" s="55"/>
      <c r="IGG14" s="55"/>
      <c r="IGH14" s="55"/>
      <c r="IGI14" s="55"/>
      <c r="IGJ14" s="55"/>
      <c r="IGK14" s="55"/>
      <c r="IGL14" s="55"/>
      <c r="IGM14" s="55"/>
      <c r="IGN14" s="55"/>
      <c r="IGO14" s="55"/>
      <c r="IGP14" s="55"/>
      <c r="IGQ14" s="55"/>
      <c r="IGR14" s="55"/>
      <c r="IGS14" s="55"/>
      <c r="IGT14" s="55"/>
      <c r="IGU14" s="55"/>
      <c r="IGV14" s="55"/>
      <c r="IGW14" s="55"/>
      <c r="IGX14" s="55"/>
      <c r="IGY14" s="55"/>
      <c r="IGZ14" s="55"/>
      <c r="IHA14" s="55"/>
      <c r="IHB14" s="55"/>
      <c r="IHC14" s="55"/>
      <c r="IHD14" s="55"/>
      <c r="IHE14" s="55"/>
      <c r="IHF14" s="55"/>
      <c r="IHG14" s="55"/>
      <c r="IHH14" s="55"/>
      <c r="IHI14" s="55"/>
      <c r="IHJ14" s="55"/>
      <c r="IHK14" s="55"/>
      <c r="IHL14" s="55"/>
      <c r="IHM14" s="55"/>
      <c r="IHN14" s="55"/>
      <c r="IHO14" s="55"/>
      <c r="IHP14" s="55"/>
      <c r="IHQ14" s="55"/>
      <c r="IHR14" s="55"/>
      <c r="IHS14" s="55"/>
      <c r="IHT14" s="55"/>
      <c r="IHU14" s="55"/>
      <c r="IHV14" s="55"/>
      <c r="IHW14" s="55"/>
      <c r="IHX14" s="55"/>
      <c r="IHY14" s="55"/>
      <c r="IHZ14" s="55"/>
      <c r="IIA14" s="55"/>
      <c r="IIB14" s="55"/>
      <c r="IIC14" s="55"/>
      <c r="IID14" s="55"/>
      <c r="IIE14" s="55"/>
      <c r="IIF14" s="55"/>
      <c r="IIG14" s="55"/>
      <c r="IIH14" s="55"/>
      <c r="III14" s="55"/>
      <c r="IIJ14" s="55"/>
      <c r="IIK14" s="55"/>
      <c r="IIL14" s="55"/>
      <c r="IIM14" s="55"/>
      <c r="IIN14" s="55"/>
      <c r="IIO14" s="55"/>
      <c r="IIP14" s="55"/>
      <c r="IIQ14" s="55"/>
      <c r="IIR14" s="55"/>
      <c r="IIS14" s="55"/>
      <c r="IIT14" s="55"/>
      <c r="IIU14" s="55"/>
      <c r="IIV14" s="55"/>
      <c r="IIW14" s="55"/>
      <c r="IIX14" s="55"/>
      <c r="IIY14" s="55"/>
      <c r="IIZ14" s="55"/>
      <c r="IJA14" s="55"/>
      <c r="IJB14" s="55"/>
      <c r="IJC14" s="55"/>
      <c r="IJD14" s="55"/>
      <c r="IJE14" s="55"/>
      <c r="IJF14" s="55"/>
      <c r="IJG14" s="55"/>
      <c r="IJH14" s="55"/>
      <c r="IJI14" s="55"/>
      <c r="IJJ14" s="55"/>
      <c r="IJK14" s="55"/>
      <c r="IJL14" s="55"/>
      <c r="IJM14" s="55"/>
      <c r="IJN14" s="55"/>
      <c r="IJO14" s="55"/>
      <c r="IJP14" s="55"/>
      <c r="IJQ14" s="55"/>
      <c r="IJR14" s="55"/>
      <c r="IJS14" s="55"/>
      <c r="IJT14" s="55"/>
      <c r="IJU14" s="55"/>
      <c r="IJV14" s="55"/>
      <c r="IJW14" s="55"/>
      <c r="IJX14" s="55"/>
      <c r="IJY14" s="55"/>
      <c r="IJZ14" s="55"/>
      <c r="IKA14" s="55"/>
      <c r="IKB14" s="55"/>
      <c r="IKC14" s="55"/>
      <c r="IKD14" s="55"/>
      <c r="IKE14" s="55"/>
      <c r="IKF14" s="55"/>
      <c r="IKG14" s="55"/>
      <c r="IKH14" s="55"/>
      <c r="IKI14" s="55"/>
      <c r="IKJ14" s="55"/>
      <c r="IKK14" s="55"/>
      <c r="IKL14" s="55"/>
      <c r="IKM14" s="55"/>
      <c r="IKN14" s="55"/>
      <c r="IKO14" s="55"/>
      <c r="IKP14" s="55"/>
      <c r="IKQ14" s="55"/>
      <c r="IKR14" s="55"/>
      <c r="IKS14" s="55"/>
      <c r="IKT14" s="55"/>
      <c r="IKU14" s="55"/>
      <c r="IKV14" s="55"/>
      <c r="IKW14" s="55"/>
      <c r="IKX14" s="55"/>
      <c r="IKY14" s="55"/>
      <c r="IKZ14" s="55"/>
      <c r="ILA14" s="55"/>
      <c r="ILB14" s="55"/>
      <c r="ILC14" s="55"/>
      <c r="ILD14" s="55"/>
      <c r="ILE14" s="55"/>
      <c r="ILF14" s="55"/>
      <c r="ILG14" s="55"/>
      <c r="ILH14" s="55"/>
      <c r="ILI14" s="55"/>
      <c r="ILJ14" s="55"/>
      <c r="ILK14" s="55"/>
      <c r="ILL14" s="55"/>
      <c r="ILM14" s="55"/>
      <c r="ILN14" s="55"/>
      <c r="ILO14" s="55"/>
      <c r="ILP14" s="55"/>
      <c r="ILQ14" s="55"/>
      <c r="ILR14" s="55"/>
      <c r="ILS14" s="55"/>
      <c r="ILT14" s="55"/>
      <c r="ILU14" s="55"/>
      <c r="ILV14" s="55"/>
      <c r="ILW14" s="55"/>
      <c r="ILX14" s="55"/>
      <c r="ILY14" s="55"/>
      <c r="ILZ14" s="55"/>
      <c r="IMA14" s="55"/>
      <c r="IMB14" s="55"/>
      <c r="IMC14" s="55"/>
      <c r="IMD14" s="55"/>
      <c r="IME14" s="55"/>
      <c r="IMF14" s="55"/>
      <c r="IMG14" s="55"/>
      <c r="IMH14" s="55"/>
      <c r="IMI14" s="55"/>
      <c r="IMJ14" s="55"/>
      <c r="IMK14" s="55"/>
      <c r="IML14" s="55"/>
      <c r="IMM14" s="55"/>
      <c r="IMN14" s="55"/>
      <c r="IMO14" s="55"/>
      <c r="IMP14" s="55"/>
      <c r="IMQ14" s="55"/>
      <c r="IMR14" s="55"/>
      <c r="IMS14" s="55"/>
      <c r="IMT14" s="55"/>
      <c r="IMU14" s="55"/>
      <c r="IMV14" s="55"/>
      <c r="IMW14" s="55"/>
      <c r="IMX14" s="55"/>
      <c r="IMY14" s="55"/>
      <c r="IMZ14" s="55"/>
      <c r="INA14" s="55"/>
      <c r="INB14" s="55"/>
      <c r="INC14" s="55"/>
      <c r="IND14" s="55"/>
      <c r="INE14" s="55"/>
      <c r="INF14" s="55"/>
      <c r="ING14" s="55"/>
      <c r="INH14" s="55"/>
      <c r="INI14" s="55"/>
      <c r="INJ14" s="55"/>
      <c r="INK14" s="55"/>
      <c r="INL14" s="55"/>
      <c r="INM14" s="55"/>
      <c r="INN14" s="55"/>
      <c r="INO14" s="55"/>
      <c r="INP14" s="55"/>
      <c r="INQ14" s="55"/>
      <c r="INR14" s="55"/>
      <c r="INS14" s="55"/>
      <c r="INT14" s="55"/>
      <c r="INU14" s="55"/>
      <c r="INV14" s="55"/>
      <c r="INW14" s="55"/>
      <c r="INX14" s="55"/>
      <c r="INY14" s="55"/>
      <c r="INZ14" s="55"/>
      <c r="IOA14" s="55"/>
      <c r="IOB14" s="55"/>
      <c r="IOC14" s="55"/>
      <c r="IOD14" s="55"/>
      <c r="IOE14" s="55"/>
      <c r="IOF14" s="55"/>
      <c r="IOG14" s="55"/>
      <c r="IOH14" s="55"/>
      <c r="IOI14" s="55"/>
      <c r="IOJ14" s="55"/>
      <c r="IOK14" s="55"/>
      <c r="IOL14" s="55"/>
      <c r="IOM14" s="55"/>
      <c r="ION14" s="55"/>
      <c r="IOO14" s="55"/>
      <c r="IOP14" s="55"/>
      <c r="IOQ14" s="55"/>
      <c r="IOR14" s="55"/>
      <c r="IOS14" s="55"/>
      <c r="IOT14" s="55"/>
      <c r="IOU14" s="55"/>
      <c r="IOV14" s="55"/>
      <c r="IOW14" s="55"/>
      <c r="IOX14" s="55"/>
      <c r="IOY14" s="55"/>
      <c r="IOZ14" s="55"/>
      <c r="IPA14" s="55"/>
      <c r="IPB14" s="55"/>
      <c r="IPC14" s="55"/>
      <c r="IPD14" s="55"/>
      <c r="IPE14" s="55"/>
      <c r="IPF14" s="55"/>
      <c r="IPG14" s="55"/>
      <c r="IPH14" s="55"/>
      <c r="IPI14" s="55"/>
      <c r="IPJ14" s="55"/>
      <c r="IPK14" s="55"/>
      <c r="IPL14" s="55"/>
      <c r="IPM14" s="55"/>
      <c r="IPN14" s="55"/>
      <c r="IPO14" s="55"/>
      <c r="IPP14" s="55"/>
      <c r="IPQ14" s="55"/>
      <c r="IPR14" s="55"/>
      <c r="IPS14" s="55"/>
      <c r="IPT14" s="55"/>
      <c r="IPU14" s="55"/>
      <c r="IPV14" s="55"/>
      <c r="IPW14" s="55"/>
      <c r="IPX14" s="55"/>
      <c r="IPY14" s="55"/>
      <c r="IPZ14" s="55"/>
      <c r="IQA14" s="55"/>
      <c r="IQB14" s="55"/>
      <c r="IQC14" s="55"/>
      <c r="IQD14" s="55"/>
      <c r="IQE14" s="55"/>
      <c r="IQF14" s="55"/>
      <c r="IQG14" s="55"/>
      <c r="IQH14" s="55"/>
      <c r="IQI14" s="55"/>
      <c r="IQJ14" s="55"/>
      <c r="IQK14" s="55"/>
      <c r="IQL14" s="55"/>
      <c r="IQM14" s="55"/>
      <c r="IQN14" s="55"/>
      <c r="IQO14" s="55"/>
      <c r="IQP14" s="55"/>
      <c r="IQQ14" s="55"/>
      <c r="IQR14" s="55"/>
      <c r="IQS14" s="55"/>
      <c r="IQT14" s="55"/>
      <c r="IQU14" s="55"/>
      <c r="IQV14" s="55"/>
      <c r="IQW14" s="55"/>
      <c r="IQX14" s="55"/>
      <c r="IQY14" s="55"/>
      <c r="IQZ14" s="55"/>
      <c r="IRA14" s="55"/>
      <c r="IRB14" s="55"/>
      <c r="IRC14" s="55"/>
      <c r="IRD14" s="55"/>
      <c r="IRE14" s="55"/>
      <c r="IRF14" s="55"/>
      <c r="IRG14" s="55"/>
      <c r="IRH14" s="55"/>
      <c r="IRI14" s="55"/>
      <c r="IRJ14" s="55"/>
      <c r="IRK14" s="55"/>
      <c r="IRL14" s="55"/>
      <c r="IRM14" s="55"/>
      <c r="IRN14" s="55"/>
      <c r="IRO14" s="55"/>
      <c r="IRP14" s="55"/>
      <c r="IRQ14" s="55"/>
      <c r="IRR14" s="55"/>
      <c r="IRS14" s="55"/>
      <c r="IRT14" s="55"/>
      <c r="IRU14" s="55"/>
      <c r="IRV14" s="55"/>
      <c r="IRW14" s="55"/>
      <c r="IRX14" s="55"/>
      <c r="IRY14" s="55"/>
      <c r="IRZ14" s="55"/>
      <c r="ISA14" s="55"/>
      <c r="ISB14" s="55"/>
      <c r="ISC14" s="55"/>
      <c r="ISD14" s="55"/>
      <c r="ISE14" s="55"/>
      <c r="ISF14" s="55"/>
      <c r="ISG14" s="55"/>
      <c r="ISH14" s="55"/>
      <c r="ISI14" s="55"/>
      <c r="ISJ14" s="55"/>
      <c r="ISK14" s="55"/>
      <c r="ISL14" s="55"/>
      <c r="ISM14" s="55"/>
      <c r="ISN14" s="55"/>
      <c r="ISO14" s="55"/>
      <c r="ISP14" s="55"/>
      <c r="ISQ14" s="55"/>
      <c r="ISR14" s="55"/>
      <c r="ISS14" s="55"/>
      <c r="IST14" s="55"/>
      <c r="ISU14" s="55"/>
      <c r="ISV14" s="55"/>
      <c r="ISW14" s="55"/>
      <c r="ISX14" s="55"/>
      <c r="ISY14" s="55"/>
      <c r="ISZ14" s="55"/>
      <c r="ITA14" s="55"/>
      <c r="ITB14" s="55"/>
      <c r="ITC14" s="55"/>
      <c r="ITD14" s="55"/>
      <c r="ITE14" s="55"/>
      <c r="ITF14" s="55"/>
      <c r="ITG14" s="55"/>
      <c r="ITH14" s="55"/>
      <c r="ITI14" s="55"/>
      <c r="ITJ14" s="55"/>
      <c r="ITK14" s="55"/>
      <c r="ITL14" s="55"/>
      <c r="ITM14" s="55"/>
      <c r="ITN14" s="55"/>
      <c r="ITO14" s="55"/>
      <c r="ITP14" s="55"/>
      <c r="ITQ14" s="55"/>
      <c r="ITR14" s="55"/>
      <c r="ITS14" s="55"/>
      <c r="ITT14" s="55"/>
      <c r="ITU14" s="55"/>
      <c r="ITV14" s="55"/>
      <c r="ITW14" s="55"/>
      <c r="ITX14" s="55"/>
      <c r="ITY14" s="55"/>
      <c r="ITZ14" s="55"/>
      <c r="IUA14" s="55"/>
      <c r="IUB14" s="55"/>
      <c r="IUC14" s="55"/>
      <c r="IUD14" s="55"/>
      <c r="IUE14" s="55"/>
      <c r="IUF14" s="55"/>
      <c r="IUG14" s="55"/>
      <c r="IUH14" s="55"/>
      <c r="IUI14" s="55"/>
      <c r="IUJ14" s="55"/>
      <c r="IUK14" s="55"/>
      <c r="IUL14" s="55"/>
      <c r="IUM14" s="55"/>
      <c r="IUN14" s="55"/>
      <c r="IUO14" s="55"/>
      <c r="IUP14" s="55"/>
      <c r="IUQ14" s="55"/>
      <c r="IUR14" s="55"/>
      <c r="IUS14" s="55"/>
      <c r="IUT14" s="55"/>
      <c r="IUU14" s="55"/>
      <c r="IUV14" s="55"/>
      <c r="IUW14" s="55"/>
      <c r="IUX14" s="55"/>
      <c r="IUY14" s="55"/>
      <c r="IUZ14" s="55"/>
      <c r="IVA14" s="55"/>
      <c r="IVB14" s="55"/>
      <c r="IVC14" s="55"/>
      <c r="IVD14" s="55"/>
      <c r="IVE14" s="55"/>
      <c r="IVF14" s="55"/>
      <c r="IVG14" s="55"/>
      <c r="IVH14" s="55"/>
      <c r="IVI14" s="55"/>
      <c r="IVJ14" s="55"/>
      <c r="IVK14" s="55"/>
      <c r="IVL14" s="55"/>
      <c r="IVM14" s="55"/>
      <c r="IVN14" s="55"/>
      <c r="IVO14" s="55"/>
      <c r="IVP14" s="55"/>
      <c r="IVQ14" s="55"/>
      <c r="IVR14" s="55"/>
      <c r="IVS14" s="55"/>
      <c r="IVT14" s="55"/>
      <c r="IVU14" s="55"/>
      <c r="IVV14" s="55"/>
      <c r="IVW14" s="55"/>
      <c r="IVX14" s="55"/>
      <c r="IVY14" s="55"/>
      <c r="IVZ14" s="55"/>
      <c r="IWA14" s="55"/>
      <c r="IWB14" s="55"/>
      <c r="IWC14" s="55"/>
      <c r="IWD14" s="55"/>
      <c r="IWE14" s="55"/>
      <c r="IWF14" s="55"/>
      <c r="IWG14" s="55"/>
      <c r="IWH14" s="55"/>
      <c r="IWI14" s="55"/>
      <c r="IWJ14" s="55"/>
      <c r="IWK14" s="55"/>
      <c r="IWL14" s="55"/>
      <c r="IWM14" s="55"/>
      <c r="IWN14" s="55"/>
      <c r="IWO14" s="55"/>
      <c r="IWP14" s="55"/>
      <c r="IWQ14" s="55"/>
      <c r="IWR14" s="55"/>
      <c r="IWS14" s="55"/>
      <c r="IWT14" s="55"/>
      <c r="IWU14" s="55"/>
      <c r="IWV14" s="55"/>
      <c r="IWW14" s="55"/>
      <c r="IWX14" s="55"/>
      <c r="IWY14" s="55"/>
      <c r="IWZ14" s="55"/>
      <c r="IXA14" s="55"/>
      <c r="IXB14" s="55"/>
      <c r="IXC14" s="55"/>
      <c r="IXD14" s="55"/>
      <c r="IXE14" s="55"/>
      <c r="IXF14" s="55"/>
      <c r="IXG14" s="55"/>
      <c r="IXH14" s="55"/>
      <c r="IXI14" s="55"/>
      <c r="IXJ14" s="55"/>
      <c r="IXK14" s="55"/>
      <c r="IXL14" s="55"/>
      <c r="IXM14" s="55"/>
      <c r="IXN14" s="55"/>
      <c r="IXO14" s="55"/>
      <c r="IXP14" s="55"/>
      <c r="IXQ14" s="55"/>
      <c r="IXR14" s="55"/>
      <c r="IXS14" s="55"/>
      <c r="IXT14" s="55"/>
      <c r="IXU14" s="55"/>
      <c r="IXV14" s="55"/>
      <c r="IXW14" s="55"/>
      <c r="IXX14" s="55"/>
      <c r="IXY14" s="55"/>
      <c r="IXZ14" s="55"/>
      <c r="IYA14" s="55"/>
      <c r="IYB14" s="55"/>
      <c r="IYC14" s="55"/>
      <c r="IYD14" s="55"/>
      <c r="IYE14" s="55"/>
      <c r="IYF14" s="55"/>
      <c r="IYG14" s="55"/>
      <c r="IYH14" s="55"/>
      <c r="IYI14" s="55"/>
      <c r="IYJ14" s="55"/>
      <c r="IYK14" s="55"/>
      <c r="IYL14" s="55"/>
      <c r="IYM14" s="55"/>
      <c r="IYN14" s="55"/>
      <c r="IYO14" s="55"/>
      <c r="IYP14" s="55"/>
      <c r="IYQ14" s="55"/>
      <c r="IYR14" s="55"/>
      <c r="IYS14" s="55"/>
      <c r="IYT14" s="55"/>
      <c r="IYU14" s="55"/>
      <c r="IYV14" s="55"/>
      <c r="IYW14" s="55"/>
      <c r="IYX14" s="55"/>
      <c r="IYY14" s="55"/>
      <c r="IYZ14" s="55"/>
      <c r="IZA14" s="55"/>
      <c r="IZB14" s="55"/>
      <c r="IZC14" s="55"/>
      <c r="IZD14" s="55"/>
      <c r="IZE14" s="55"/>
      <c r="IZF14" s="55"/>
      <c r="IZG14" s="55"/>
      <c r="IZH14" s="55"/>
      <c r="IZI14" s="55"/>
      <c r="IZJ14" s="55"/>
      <c r="IZK14" s="55"/>
      <c r="IZL14" s="55"/>
      <c r="IZM14" s="55"/>
      <c r="IZN14" s="55"/>
      <c r="IZO14" s="55"/>
      <c r="IZP14" s="55"/>
      <c r="IZQ14" s="55"/>
      <c r="IZR14" s="55"/>
      <c r="IZS14" s="55"/>
      <c r="IZT14" s="55"/>
      <c r="IZU14" s="55"/>
      <c r="IZV14" s="55"/>
      <c r="IZW14" s="55"/>
      <c r="IZX14" s="55"/>
      <c r="IZY14" s="55"/>
      <c r="IZZ14" s="55"/>
      <c r="JAA14" s="55"/>
      <c r="JAB14" s="55"/>
      <c r="JAC14" s="55"/>
      <c r="JAD14" s="55"/>
      <c r="JAE14" s="55"/>
      <c r="JAF14" s="55"/>
      <c r="JAG14" s="55"/>
      <c r="JAH14" s="55"/>
      <c r="JAI14" s="55"/>
      <c r="JAJ14" s="55"/>
      <c r="JAK14" s="55"/>
      <c r="JAL14" s="55"/>
      <c r="JAM14" s="55"/>
      <c r="JAN14" s="55"/>
      <c r="JAO14" s="55"/>
      <c r="JAP14" s="55"/>
      <c r="JAQ14" s="55"/>
      <c r="JAR14" s="55"/>
      <c r="JAS14" s="55"/>
      <c r="JAT14" s="55"/>
      <c r="JAU14" s="55"/>
      <c r="JAV14" s="55"/>
      <c r="JAW14" s="55"/>
      <c r="JAX14" s="55"/>
      <c r="JAY14" s="55"/>
      <c r="JAZ14" s="55"/>
      <c r="JBA14" s="55"/>
      <c r="JBB14" s="55"/>
      <c r="JBC14" s="55"/>
      <c r="JBD14" s="55"/>
      <c r="JBE14" s="55"/>
      <c r="JBF14" s="55"/>
      <c r="JBG14" s="55"/>
      <c r="JBH14" s="55"/>
      <c r="JBI14" s="55"/>
      <c r="JBJ14" s="55"/>
      <c r="JBK14" s="55"/>
      <c r="JBL14" s="55"/>
      <c r="JBM14" s="55"/>
      <c r="JBN14" s="55"/>
      <c r="JBO14" s="55"/>
      <c r="JBP14" s="55"/>
      <c r="JBQ14" s="55"/>
      <c r="JBR14" s="55"/>
      <c r="JBS14" s="55"/>
      <c r="JBT14" s="55"/>
      <c r="JBU14" s="55"/>
      <c r="JBV14" s="55"/>
      <c r="JBW14" s="55"/>
      <c r="JBX14" s="55"/>
      <c r="JBY14" s="55"/>
      <c r="JBZ14" s="55"/>
      <c r="JCA14" s="55"/>
      <c r="JCB14" s="55"/>
      <c r="JCC14" s="55"/>
      <c r="JCD14" s="55"/>
      <c r="JCE14" s="55"/>
      <c r="JCF14" s="55"/>
      <c r="JCG14" s="55"/>
      <c r="JCH14" s="55"/>
      <c r="JCI14" s="55"/>
      <c r="JCJ14" s="55"/>
      <c r="JCK14" s="55"/>
      <c r="JCL14" s="55"/>
      <c r="JCM14" s="55"/>
      <c r="JCN14" s="55"/>
      <c r="JCO14" s="55"/>
      <c r="JCP14" s="55"/>
      <c r="JCQ14" s="55"/>
      <c r="JCR14" s="55"/>
      <c r="JCS14" s="55"/>
      <c r="JCT14" s="55"/>
      <c r="JCU14" s="55"/>
      <c r="JCV14" s="55"/>
      <c r="JCW14" s="55"/>
      <c r="JCX14" s="55"/>
      <c r="JCY14" s="55"/>
      <c r="JCZ14" s="55"/>
      <c r="JDA14" s="55"/>
      <c r="JDB14" s="55"/>
      <c r="JDC14" s="55"/>
      <c r="JDD14" s="55"/>
      <c r="JDE14" s="55"/>
      <c r="JDF14" s="55"/>
      <c r="JDG14" s="55"/>
      <c r="JDH14" s="55"/>
      <c r="JDI14" s="55"/>
      <c r="JDJ14" s="55"/>
      <c r="JDK14" s="55"/>
      <c r="JDL14" s="55"/>
      <c r="JDM14" s="55"/>
      <c r="JDN14" s="55"/>
      <c r="JDO14" s="55"/>
      <c r="JDP14" s="55"/>
      <c r="JDQ14" s="55"/>
      <c r="JDR14" s="55"/>
      <c r="JDS14" s="55"/>
      <c r="JDT14" s="55"/>
      <c r="JDU14" s="55"/>
      <c r="JDV14" s="55"/>
      <c r="JDW14" s="55"/>
      <c r="JDX14" s="55"/>
      <c r="JDY14" s="55"/>
      <c r="JDZ14" s="55"/>
      <c r="JEA14" s="55"/>
      <c r="JEB14" s="55"/>
      <c r="JEC14" s="55"/>
      <c r="JED14" s="55"/>
      <c r="JEE14" s="55"/>
      <c r="JEF14" s="55"/>
      <c r="JEG14" s="55"/>
      <c r="JEH14" s="55"/>
      <c r="JEI14" s="55"/>
      <c r="JEJ14" s="55"/>
      <c r="JEK14" s="55"/>
      <c r="JEL14" s="55"/>
      <c r="JEM14" s="55"/>
      <c r="JEN14" s="55"/>
      <c r="JEO14" s="55"/>
      <c r="JEP14" s="55"/>
      <c r="JEQ14" s="55"/>
      <c r="JER14" s="55"/>
      <c r="JES14" s="55"/>
      <c r="JET14" s="55"/>
      <c r="JEU14" s="55"/>
      <c r="JEV14" s="55"/>
      <c r="JEW14" s="55"/>
      <c r="JEX14" s="55"/>
      <c r="JEY14" s="55"/>
      <c r="JEZ14" s="55"/>
      <c r="JFA14" s="55"/>
      <c r="JFB14" s="55"/>
      <c r="JFC14" s="55"/>
      <c r="JFD14" s="55"/>
      <c r="JFE14" s="55"/>
      <c r="JFF14" s="55"/>
      <c r="JFG14" s="55"/>
      <c r="JFH14" s="55"/>
      <c r="JFI14" s="55"/>
      <c r="JFJ14" s="55"/>
      <c r="JFK14" s="55"/>
      <c r="JFL14" s="55"/>
      <c r="JFM14" s="55"/>
      <c r="JFN14" s="55"/>
      <c r="JFO14" s="55"/>
      <c r="JFP14" s="55"/>
      <c r="JFQ14" s="55"/>
      <c r="JFR14" s="55"/>
      <c r="JFS14" s="55"/>
      <c r="JFT14" s="55"/>
      <c r="JFU14" s="55"/>
      <c r="JFV14" s="55"/>
      <c r="JFW14" s="55"/>
      <c r="JFX14" s="55"/>
      <c r="JFY14" s="55"/>
      <c r="JFZ14" s="55"/>
      <c r="JGA14" s="55"/>
      <c r="JGB14" s="55"/>
      <c r="JGC14" s="55"/>
      <c r="JGD14" s="55"/>
      <c r="JGE14" s="55"/>
      <c r="JGF14" s="55"/>
      <c r="JGG14" s="55"/>
      <c r="JGH14" s="55"/>
      <c r="JGI14" s="55"/>
      <c r="JGJ14" s="55"/>
      <c r="JGK14" s="55"/>
      <c r="JGL14" s="55"/>
      <c r="JGM14" s="55"/>
      <c r="JGN14" s="55"/>
      <c r="JGO14" s="55"/>
      <c r="JGP14" s="55"/>
      <c r="JGQ14" s="55"/>
      <c r="JGR14" s="55"/>
      <c r="JGS14" s="55"/>
      <c r="JGT14" s="55"/>
      <c r="JGU14" s="55"/>
      <c r="JGV14" s="55"/>
      <c r="JGW14" s="55"/>
      <c r="JGX14" s="55"/>
      <c r="JGY14" s="55"/>
      <c r="JGZ14" s="55"/>
      <c r="JHA14" s="55"/>
      <c r="JHB14" s="55"/>
      <c r="JHC14" s="55"/>
      <c r="JHD14" s="55"/>
      <c r="JHE14" s="55"/>
      <c r="JHF14" s="55"/>
      <c r="JHG14" s="55"/>
      <c r="JHH14" s="55"/>
      <c r="JHI14" s="55"/>
      <c r="JHJ14" s="55"/>
      <c r="JHK14" s="55"/>
      <c r="JHL14" s="55"/>
      <c r="JHM14" s="55"/>
      <c r="JHN14" s="55"/>
      <c r="JHO14" s="55"/>
      <c r="JHP14" s="55"/>
      <c r="JHQ14" s="55"/>
      <c r="JHR14" s="55"/>
      <c r="JHS14" s="55"/>
      <c r="JHT14" s="55"/>
      <c r="JHU14" s="55"/>
      <c r="JHV14" s="55"/>
      <c r="JHW14" s="55"/>
      <c r="JHX14" s="55"/>
      <c r="JHY14" s="55"/>
      <c r="JHZ14" s="55"/>
      <c r="JIA14" s="55"/>
      <c r="JIB14" s="55"/>
      <c r="JIC14" s="55"/>
      <c r="JID14" s="55"/>
      <c r="JIE14" s="55"/>
      <c r="JIF14" s="55"/>
      <c r="JIG14" s="55"/>
      <c r="JIH14" s="55"/>
      <c r="JII14" s="55"/>
      <c r="JIJ14" s="55"/>
      <c r="JIK14" s="55"/>
      <c r="JIL14" s="55"/>
      <c r="JIM14" s="55"/>
      <c r="JIN14" s="55"/>
      <c r="JIO14" s="55"/>
      <c r="JIP14" s="55"/>
      <c r="JIQ14" s="55"/>
      <c r="JIR14" s="55"/>
      <c r="JIS14" s="55"/>
      <c r="JIT14" s="55"/>
      <c r="JIU14" s="55"/>
      <c r="JIV14" s="55"/>
      <c r="JIW14" s="55"/>
      <c r="JIX14" s="55"/>
      <c r="JIY14" s="55"/>
      <c r="JIZ14" s="55"/>
      <c r="JJA14" s="55"/>
      <c r="JJB14" s="55"/>
      <c r="JJC14" s="55"/>
      <c r="JJD14" s="55"/>
      <c r="JJE14" s="55"/>
      <c r="JJF14" s="55"/>
      <c r="JJG14" s="55"/>
      <c r="JJH14" s="55"/>
      <c r="JJI14" s="55"/>
      <c r="JJJ14" s="55"/>
      <c r="JJK14" s="55"/>
      <c r="JJL14" s="55"/>
      <c r="JJM14" s="55"/>
      <c r="JJN14" s="55"/>
      <c r="JJO14" s="55"/>
      <c r="JJP14" s="55"/>
      <c r="JJQ14" s="55"/>
      <c r="JJR14" s="55"/>
      <c r="JJS14" s="55"/>
      <c r="JJT14" s="55"/>
      <c r="JJU14" s="55"/>
      <c r="JJV14" s="55"/>
      <c r="JJW14" s="55"/>
      <c r="JJX14" s="55"/>
      <c r="JJY14" s="55"/>
      <c r="JJZ14" s="55"/>
      <c r="JKA14" s="55"/>
      <c r="JKB14" s="55"/>
      <c r="JKC14" s="55"/>
      <c r="JKD14" s="55"/>
      <c r="JKE14" s="55"/>
      <c r="JKF14" s="55"/>
      <c r="JKG14" s="55"/>
      <c r="JKH14" s="55"/>
      <c r="JKI14" s="55"/>
      <c r="JKJ14" s="55"/>
      <c r="JKK14" s="55"/>
      <c r="JKL14" s="55"/>
      <c r="JKM14" s="55"/>
      <c r="JKN14" s="55"/>
      <c r="JKO14" s="55"/>
      <c r="JKP14" s="55"/>
      <c r="JKQ14" s="55"/>
      <c r="JKR14" s="55"/>
      <c r="JKS14" s="55"/>
      <c r="JKT14" s="55"/>
      <c r="JKU14" s="55"/>
      <c r="JKV14" s="55"/>
      <c r="JKW14" s="55"/>
      <c r="JKX14" s="55"/>
      <c r="JKY14" s="55"/>
      <c r="JKZ14" s="55"/>
      <c r="JLA14" s="55"/>
      <c r="JLB14" s="55"/>
      <c r="JLC14" s="55"/>
      <c r="JLD14" s="55"/>
      <c r="JLE14" s="55"/>
      <c r="JLF14" s="55"/>
      <c r="JLG14" s="55"/>
      <c r="JLH14" s="55"/>
      <c r="JLI14" s="55"/>
      <c r="JLJ14" s="55"/>
      <c r="JLK14" s="55"/>
      <c r="JLL14" s="55"/>
      <c r="JLM14" s="55"/>
      <c r="JLN14" s="55"/>
      <c r="JLO14" s="55"/>
      <c r="JLP14" s="55"/>
      <c r="JLQ14" s="55"/>
      <c r="JLR14" s="55"/>
      <c r="JLS14" s="55"/>
      <c r="JLT14" s="55"/>
      <c r="JLU14" s="55"/>
      <c r="JLV14" s="55"/>
      <c r="JLW14" s="55"/>
      <c r="JLX14" s="55"/>
      <c r="JLY14" s="55"/>
      <c r="JLZ14" s="55"/>
      <c r="JMA14" s="55"/>
      <c r="JMB14" s="55"/>
      <c r="JMC14" s="55"/>
      <c r="JMD14" s="55"/>
      <c r="JME14" s="55"/>
      <c r="JMF14" s="55"/>
      <c r="JMG14" s="55"/>
      <c r="JMH14" s="55"/>
      <c r="JMI14" s="55"/>
      <c r="JMJ14" s="55"/>
      <c r="JMK14" s="55"/>
      <c r="JML14" s="55"/>
      <c r="JMM14" s="55"/>
      <c r="JMN14" s="55"/>
      <c r="JMO14" s="55"/>
      <c r="JMP14" s="55"/>
      <c r="JMQ14" s="55"/>
      <c r="JMR14" s="55"/>
      <c r="JMS14" s="55"/>
      <c r="JMT14" s="55"/>
      <c r="JMU14" s="55"/>
      <c r="JMV14" s="55"/>
      <c r="JMW14" s="55"/>
      <c r="JMX14" s="55"/>
      <c r="JMY14" s="55"/>
      <c r="JMZ14" s="55"/>
      <c r="JNA14" s="55"/>
      <c r="JNB14" s="55"/>
      <c r="JNC14" s="55"/>
      <c r="JND14" s="55"/>
      <c r="JNE14" s="55"/>
      <c r="JNF14" s="55"/>
      <c r="JNG14" s="55"/>
      <c r="JNH14" s="55"/>
      <c r="JNI14" s="55"/>
      <c r="JNJ14" s="55"/>
      <c r="JNK14" s="55"/>
      <c r="JNL14" s="55"/>
      <c r="JNM14" s="55"/>
      <c r="JNN14" s="55"/>
      <c r="JNO14" s="55"/>
      <c r="JNP14" s="55"/>
      <c r="JNQ14" s="55"/>
      <c r="JNR14" s="55"/>
      <c r="JNS14" s="55"/>
      <c r="JNT14" s="55"/>
      <c r="JNU14" s="55"/>
      <c r="JNV14" s="55"/>
      <c r="JNW14" s="55"/>
      <c r="JNX14" s="55"/>
      <c r="JNY14" s="55"/>
      <c r="JNZ14" s="55"/>
      <c r="JOA14" s="55"/>
      <c r="JOB14" s="55"/>
      <c r="JOC14" s="55"/>
      <c r="JOD14" s="55"/>
      <c r="JOE14" s="55"/>
      <c r="JOF14" s="55"/>
      <c r="JOG14" s="55"/>
      <c r="JOH14" s="55"/>
      <c r="JOI14" s="55"/>
      <c r="JOJ14" s="55"/>
      <c r="JOK14" s="55"/>
      <c r="JOL14" s="55"/>
      <c r="JOM14" s="55"/>
      <c r="JON14" s="55"/>
      <c r="JOO14" s="55"/>
      <c r="JOP14" s="55"/>
      <c r="JOQ14" s="55"/>
      <c r="JOR14" s="55"/>
      <c r="JOS14" s="55"/>
      <c r="JOT14" s="55"/>
      <c r="JOU14" s="55"/>
      <c r="JOV14" s="55"/>
      <c r="JOW14" s="55"/>
      <c r="JOX14" s="55"/>
      <c r="JOY14" s="55"/>
      <c r="JOZ14" s="55"/>
      <c r="JPA14" s="55"/>
      <c r="JPB14" s="55"/>
      <c r="JPC14" s="55"/>
      <c r="JPD14" s="55"/>
      <c r="JPE14" s="55"/>
      <c r="JPF14" s="55"/>
      <c r="JPG14" s="55"/>
      <c r="JPH14" s="55"/>
      <c r="JPI14" s="55"/>
      <c r="JPJ14" s="55"/>
      <c r="JPK14" s="55"/>
      <c r="JPL14" s="55"/>
      <c r="JPM14" s="55"/>
      <c r="JPN14" s="55"/>
      <c r="JPO14" s="55"/>
      <c r="JPP14" s="55"/>
      <c r="JPQ14" s="55"/>
      <c r="JPR14" s="55"/>
      <c r="JPS14" s="55"/>
      <c r="JPT14" s="55"/>
      <c r="JPU14" s="55"/>
      <c r="JPV14" s="55"/>
      <c r="JPW14" s="55"/>
      <c r="JPX14" s="55"/>
      <c r="JPY14" s="55"/>
      <c r="JPZ14" s="55"/>
      <c r="JQA14" s="55"/>
      <c r="JQB14" s="55"/>
      <c r="JQC14" s="55"/>
      <c r="JQD14" s="55"/>
      <c r="JQE14" s="55"/>
      <c r="JQF14" s="55"/>
      <c r="JQG14" s="55"/>
      <c r="JQH14" s="55"/>
      <c r="JQI14" s="55"/>
      <c r="JQJ14" s="55"/>
      <c r="JQK14" s="55"/>
      <c r="JQL14" s="55"/>
      <c r="JQM14" s="55"/>
      <c r="JQN14" s="55"/>
      <c r="JQO14" s="55"/>
      <c r="JQP14" s="55"/>
      <c r="JQQ14" s="55"/>
      <c r="JQR14" s="55"/>
      <c r="JQS14" s="55"/>
      <c r="JQT14" s="55"/>
      <c r="JQU14" s="55"/>
      <c r="JQV14" s="55"/>
      <c r="JQW14" s="55"/>
      <c r="JQX14" s="55"/>
      <c r="JQY14" s="55"/>
      <c r="JQZ14" s="55"/>
      <c r="JRA14" s="55"/>
      <c r="JRB14" s="55"/>
      <c r="JRC14" s="55"/>
      <c r="JRD14" s="55"/>
      <c r="JRE14" s="55"/>
      <c r="JRF14" s="55"/>
      <c r="JRG14" s="55"/>
      <c r="JRH14" s="55"/>
      <c r="JRI14" s="55"/>
      <c r="JRJ14" s="55"/>
      <c r="JRK14" s="55"/>
      <c r="JRL14" s="55"/>
      <c r="JRM14" s="55"/>
      <c r="JRN14" s="55"/>
      <c r="JRO14" s="55"/>
      <c r="JRP14" s="55"/>
      <c r="JRQ14" s="55"/>
      <c r="JRR14" s="55"/>
      <c r="JRS14" s="55"/>
      <c r="JRT14" s="55"/>
      <c r="JRU14" s="55"/>
      <c r="JRV14" s="55"/>
      <c r="JRW14" s="55"/>
      <c r="JRX14" s="55"/>
      <c r="JRY14" s="55"/>
      <c r="JRZ14" s="55"/>
      <c r="JSA14" s="55"/>
      <c r="JSB14" s="55"/>
      <c r="JSC14" s="55"/>
      <c r="JSD14" s="55"/>
      <c r="JSE14" s="55"/>
      <c r="JSF14" s="55"/>
      <c r="JSG14" s="55"/>
      <c r="JSH14" s="55"/>
      <c r="JSI14" s="55"/>
      <c r="JSJ14" s="55"/>
      <c r="JSK14" s="55"/>
      <c r="JSL14" s="55"/>
      <c r="JSM14" s="55"/>
      <c r="JSN14" s="55"/>
      <c r="JSO14" s="55"/>
      <c r="JSP14" s="55"/>
      <c r="JSQ14" s="55"/>
      <c r="JSR14" s="55"/>
      <c r="JSS14" s="55"/>
      <c r="JST14" s="55"/>
      <c r="JSU14" s="55"/>
      <c r="JSV14" s="55"/>
      <c r="JSW14" s="55"/>
      <c r="JSX14" s="55"/>
      <c r="JSY14" s="55"/>
      <c r="JSZ14" s="55"/>
      <c r="JTA14" s="55"/>
      <c r="JTB14" s="55"/>
      <c r="JTC14" s="55"/>
      <c r="JTD14" s="55"/>
      <c r="JTE14" s="55"/>
      <c r="JTF14" s="55"/>
      <c r="JTG14" s="55"/>
      <c r="JTH14" s="55"/>
      <c r="JTI14" s="55"/>
      <c r="JTJ14" s="55"/>
      <c r="JTK14" s="55"/>
      <c r="JTL14" s="55"/>
      <c r="JTM14" s="55"/>
      <c r="JTN14" s="55"/>
      <c r="JTO14" s="55"/>
      <c r="JTP14" s="55"/>
      <c r="JTQ14" s="55"/>
      <c r="JTR14" s="55"/>
      <c r="JTS14" s="55"/>
      <c r="JTT14" s="55"/>
      <c r="JTU14" s="55"/>
      <c r="JTV14" s="55"/>
      <c r="JTW14" s="55"/>
      <c r="JTX14" s="55"/>
      <c r="JTY14" s="55"/>
      <c r="JTZ14" s="55"/>
      <c r="JUA14" s="55"/>
      <c r="JUB14" s="55"/>
      <c r="JUC14" s="55"/>
      <c r="JUD14" s="55"/>
      <c r="JUE14" s="55"/>
      <c r="JUF14" s="55"/>
      <c r="JUG14" s="55"/>
      <c r="JUH14" s="55"/>
      <c r="JUI14" s="55"/>
      <c r="JUJ14" s="55"/>
      <c r="JUK14" s="55"/>
      <c r="JUL14" s="55"/>
      <c r="JUM14" s="55"/>
      <c r="JUN14" s="55"/>
      <c r="JUO14" s="55"/>
      <c r="JUP14" s="55"/>
      <c r="JUQ14" s="55"/>
      <c r="JUR14" s="55"/>
      <c r="JUS14" s="55"/>
      <c r="JUT14" s="55"/>
      <c r="JUU14" s="55"/>
      <c r="JUV14" s="55"/>
      <c r="JUW14" s="55"/>
      <c r="JUX14" s="55"/>
      <c r="JUY14" s="55"/>
      <c r="JUZ14" s="55"/>
      <c r="JVA14" s="55"/>
      <c r="JVB14" s="55"/>
      <c r="JVC14" s="55"/>
      <c r="JVD14" s="55"/>
      <c r="JVE14" s="55"/>
      <c r="JVF14" s="55"/>
      <c r="JVG14" s="55"/>
      <c r="JVH14" s="55"/>
      <c r="JVI14" s="55"/>
      <c r="JVJ14" s="55"/>
      <c r="JVK14" s="55"/>
      <c r="JVL14" s="55"/>
      <c r="JVM14" s="55"/>
      <c r="JVN14" s="55"/>
      <c r="JVO14" s="55"/>
      <c r="JVP14" s="55"/>
      <c r="JVQ14" s="55"/>
      <c r="JVR14" s="55"/>
      <c r="JVS14" s="55"/>
      <c r="JVT14" s="55"/>
      <c r="JVU14" s="55"/>
      <c r="JVV14" s="55"/>
      <c r="JVW14" s="55"/>
      <c r="JVX14" s="55"/>
      <c r="JVY14" s="55"/>
      <c r="JVZ14" s="55"/>
      <c r="JWA14" s="55"/>
      <c r="JWB14" s="55"/>
      <c r="JWC14" s="55"/>
      <c r="JWD14" s="55"/>
      <c r="JWE14" s="55"/>
      <c r="JWF14" s="55"/>
      <c r="JWG14" s="55"/>
      <c r="JWH14" s="55"/>
      <c r="JWI14" s="55"/>
      <c r="JWJ14" s="55"/>
      <c r="JWK14" s="55"/>
      <c r="JWL14" s="55"/>
      <c r="JWM14" s="55"/>
      <c r="JWN14" s="55"/>
      <c r="JWO14" s="55"/>
      <c r="JWP14" s="55"/>
      <c r="JWQ14" s="55"/>
      <c r="JWR14" s="55"/>
      <c r="JWS14" s="55"/>
      <c r="JWT14" s="55"/>
      <c r="JWU14" s="55"/>
      <c r="JWV14" s="55"/>
      <c r="JWW14" s="55"/>
      <c r="JWX14" s="55"/>
      <c r="JWY14" s="55"/>
      <c r="JWZ14" s="55"/>
      <c r="JXA14" s="55"/>
      <c r="JXB14" s="55"/>
      <c r="JXC14" s="55"/>
      <c r="JXD14" s="55"/>
      <c r="JXE14" s="55"/>
      <c r="JXF14" s="55"/>
      <c r="JXG14" s="55"/>
      <c r="JXH14" s="55"/>
      <c r="JXI14" s="55"/>
      <c r="JXJ14" s="55"/>
      <c r="JXK14" s="55"/>
      <c r="JXL14" s="55"/>
      <c r="JXM14" s="55"/>
      <c r="JXN14" s="55"/>
      <c r="JXO14" s="55"/>
      <c r="JXP14" s="55"/>
      <c r="JXQ14" s="55"/>
      <c r="JXR14" s="55"/>
      <c r="JXS14" s="55"/>
      <c r="JXT14" s="55"/>
      <c r="JXU14" s="55"/>
      <c r="JXV14" s="55"/>
      <c r="JXW14" s="55"/>
      <c r="JXX14" s="55"/>
      <c r="JXY14" s="55"/>
      <c r="JXZ14" s="55"/>
      <c r="JYA14" s="55"/>
      <c r="JYB14" s="55"/>
      <c r="JYC14" s="55"/>
      <c r="JYD14" s="55"/>
      <c r="JYE14" s="55"/>
      <c r="JYF14" s="55"/>
      <c r="JYG14" s="55"/>
      <c r="JYH14" s="55"/>
      <c r="JYI14" s="55"/>
      <c r="JYJ14" s="55"/>
      <c r="JYK14" s="55"/>
      <c r="JYL14" s="55"/>
      <c r="JYM14" s="55"/>
      <c r="JYN14" s="55"/>
      <c r="JYO14" s="55"/>
      <c r="JYP14" s="55"/>
      <c r="JYQ14" s="55"/>
      <c r="JYR14" s="55"/>
      <c r="JYS14" s="55"/>
      <c r="JYT14" s="55"/>
      <c r="JYU14" s="55"/>
      <c r="JYV14" s="55"/>
      <c r="JYW14" s="55"/>
      <c r="JYX14" s="55"/>
      <c r="JYY14" s="55"/>
      <c r="JYZ14" s="55"/>
      <c r="JZA14" s="55"/>
      <c r="JZB14" s="55"/>
      <c r="JZC14" s="55"/>
      <c r="JZD14" s="55"/>
      <c r="JZE14" s="55"/>
      <c r="JZF14" s="55"/>
      <c r="JZG14" s="55"/>
      <c r="JZH14" s="55"/>
      <c r="JZI14" s="55"/>
      <c r="JZJ14" s="55"/>
      <c r="JZK14" s="55"/>
      <c r="JZL14" s="55"/>
      <c r="JZM14" s="55"/>
      <c r="JZN14" s="55"/>
      <c r="JZO14" s="55"/>
      <c r="JZP14" s="55"/>
      <c r="JZQ14" s="55"/>
      <c r="JZR14" s="55"/>
      <c r="JZS14" s="55"/>
      <c r="JZT14" s="55"/>
      <c r="JZU14" s="55"/>
      <c r="JZV14" s="55"/>
      <c r="JZW14" s="55"/>
      <c r="JZX14" s="55"/>
      <c r="JZY14" s="55"/>
      <c r="JZZ14" s="55"/>
      <c r="KAA14" s="55"/>
      <c r="KAB14" s="55"/>
      <c r="KAC14" s="55"/>
      <c r="KAD14" s="55"/>
      <c r="KAE14" s="55"/>
      <c r="KAF14" s="55"/>
      <c r="KAG14" s="55"/>
      <c r="KAH14" s="55"/>
      <c r="KAI14" s="55"/>
      <c r="KAJ14" s="55"/>
      <c r="KAK14" s="55"/>
      <c r="KAL14" s="55"/>
      <c r="KAM14" s="55"/>
      <c r="KAN14" s="55"/>
      <c r="KAO14" s="55"/>
      <c r="KAP14" s="55"/>
      <c r="KAQ14" s="55"/>
      <c r="KAR14" s="55"/>
      <c r="KAS14" s="55"/>
      <c r="KAT14" s="55"/>
      <c r="KAU14" s="55"/>
      <c r="KAV14" s="55"/>
      <c r="KAW14" s="55"/>
      <c r="KAX14" s="55"/>
      <c r="KAY14" s="55"/>
      <c r="KAZ14" s="55"/>
      <c r="KBA14" s="55"/>
      <c r="KBB14" s="55"/>
      <c r="KBC14" s="55"/>
      <c r="KBD14" s="55"/>
      <c r="KBE14" s="55"/>
      <c r="KBF14" s="55"/>
      <c r="KBG14" s="55"/>
      <c r="KBH14" s="55"/>
      <c r="KBI14" s="55"/>
      <c r="KBJ14" s="55"/>
      <c r="KBK14" s="55"/>
      <c r="KBL14" s="55"/>
      <c r="KBM14" s="55"/>
      <c r="KBN14" s="55"/>
      <c r="KBO14" s="55"/>
      <c r="KBP14" s="55"/>
      <c r="KBQ14" s="55"/>
      <c r="KBR14" s="55"/>
      <c r="KBS14" s="55"/>
      <c r="KBT14" s="55"/>
      <c r="KBU14" s="55"/>
      <c r="KBV14" s="55"/>
      <c r="KBW14" s="55"/>
      <c r="KBX14" s="55"/>
      <c r="KBY14" s="55"/>
      <c r="KBZ14" s="55"/>
      <c r="KCA14" s="55"/>
      <c r="KCB14" s="55"/>
      <c r="KCC14" s="55"/>
      <c r="KCD14" s="55"/>
      <c r="KCE14" s="55"/>
      <c r="KCF14" s="55"/>
      <c r="KCG14" s="55"/>
      <c r="KCH14" s="55"/>
      <c r="KCI14" s="55"/>
      <c r="KCJ14" s="55"/>
      <c r="KCK14" s="55"/>
      <c r="KCL14" s="55"/>
      <c r="KCM14" s="55"/>
      <c r="KCN14" s="55"/>
      <c r="KCO14" s="55"/>
      <c r="KCP14" s="55"/>
      <c r="KCQ14" s="55"/>
      <c r="KCR14" s="55"/>
      <c r="KCS14" s="55"/>
      <c r="KCT14" s="55"/>
      <c r="KCU14" s="55"/>
      <c r="KCV14" s="55"/>
      <c r="KCW14" s="55"/>
      <c r="KCX14" s="55"/>
      <c r="KCY14" s="55"/>
      <c r="KCZ14" s="55"/>
      <c r="KDA14" s="55"/>
      <c r="KDB14" s="55"/>
      <c r="KDC14" s="55"/>
      <c r="KDD14" s="55"/>
      <c r="KDE14" s="55"/>
      <c r="KDF14" s="55"/>
      <c r="KDG14" s="55"/>
      <c r="KDH14" s="55"/>
      <c r="KDI14" s="55"/>
      <c r="KDJ14" s="55"/>
      <c r="KDK14" s="55"/>
      <c r="KDL14" s="55"/>
      <c r="KDM14" s="55"/>
      <c r="KDN14" s="55"/>
      <c r="KDO14" s="55"/>
      <c r="KDP14" s="55"/>
      <c r="KDQ14" s="55"/>
      <c r="KDR14" s="55"/>
      <c r="KDS14" s="55"/>
      <c r="KDT14" s="55"/>
      <c r="KDU14" s="55"/>
      <c r="KDV14" s="55"/>
      <c r="KDW14" s="55"/>
      <c r="KDX14" s="55"/>
      <c r="KDY14" s="55"/>
      <c r="KDZ14" s="55"/>
      <c r="KEA14" s="55"/>
      <c r="KEB14" s="55"/>
      <c r="KEC14" s="55"/>
      <c r="KED14" s="55"/>
      <c r="KEE14" s="55"/>
      <c r="KEF14" s="55"/>
      <c r="KEG14" s="55"/>
      <c r="KEH14" s="55"/>
      <c r="KEI14" s="55"/>
      <c r="KEJ14" s="55"/>
      <c r="KEK14" s="55"/>
      <c r="KEL14" s="55"/>
      <c r="KEM14" s="55"/>
      <c r="KEN14" s="55"/>
      <c r="KEO14" s="55"/>
      <c r="KEP14" s="55"/>
      <c r="KEQ14" s="55"/>
      <c r="KER14" s="55"/>
      <c r="KES14" s="55"/>
      <c r="KET14" s="55"/>
      <c r="KEU14" s="55"/>
      <c r="KEV14" s="55"/>
      <c r="KEW14" s="55"/>
      <c r="KEX14" s="55"/>
      <c r="KEY14" s="55"/>
      <c r="KEZ14" s="55"/>
      <c r="KFA14" s="55"/>
      <c r="KFB14" s="55"/>
      <c r="KFC14" s="55"/>
      <c r="KFD14" s="55"/>
      <c r="KFE14" s="55"/>
      <c r="KFF14" s="55"/>
      <c r="KFG14" s="55"/>
      <c r="KFH14" s="55"/>
      <c r="KFI14" s="55"/>
      <c r="KFJ14" s="55"/>
      <c r="KFK14" s="55"/>
      <c r="KFL14" s="55"/>
      <c r="KFM14" s="55"/>
      <c r="KFN14" s="55"/>
      <c r="KFO14" s="55"/>
      <c r="KFP14" s="55"/>
      <c r="KFQ14" s="55"/>
      <c r="KFR14" s="55"/>
      <c r="KFS14" s="55"/>
      <c r="KFT14" s="55"/>
      <c r="KFU14" s="55"/>
      <c r="KFV14" s="55"/>
      <c r="KFW14" s="55"/>
      <c r="KFX14" s="55"/>
      <c r="KFY14" s="55"/>
      <c r="KFZ14" s="55"/>
      <c r="KGA14" s="55"/>
      <c r="KGB14" s="55"/>
      <c r="KGC14" s="55"/>
      <c r="KGD14" s="55"/>
      <c r="KGE14" s="55"/>
      <c r="KGF14" s="55"/>
      <c r="KGG14" s="55"/>
      <c r="KGH14" s="55"/>
      <c r="KGI14" s="55"/>
      <c r="KGJ14" s="55"/>
      <c r="KGK14" s="55"/>
      <c r="KGL14" s="55"/>
      <c r="KGM14" s="55"/>
      <c r="KGN14" s="55"/>
      <c r="KGO14" s="55"/>
      <c r="KGP14" s="55"/>
      <c r="KGQ14" s="55"/>
      <c r="KGR14" s="55"/>
      <c r="KGS14" s="55"/>
      <c r="KGT14" s="55"/>
      <c r="KGU14" s="55"/>
      <c r="KGV14" s="55"/>
      <c r="KGW14" s="55"/>
      <c r="KGX14" s="55"/>
      <c r="KGY14" s="55"/>
      <c r="KGZ14" s="55"/>
      <c r="KHA14" s="55"/>
      <c r="KHB14" s="55"/>
      <c r="KHC14" s="55"/>
      <c r="KHD14" s="55"/>
      <c r="KHE14" s="55"/>
      <c r="KHF14" s="55"/>
      <c r="KHG14" s="55"/>
      <c r="KHH14" s="55"/>
      <c r="KHI14" s="55"/>
      <c r="KHJ14" s="55"/>
      <c r="KHK14" s="55"/>
      <c r="KHL14" s="55"/>
      <c r="KHM14" s="55"/>
      <c r="KHN14" s="55"/>
      <c r="KHO14" s="55"/>
      <c r="KHP14" s="55"/>
      <c r="KHQ14" s="55"/>
      <c r="KHR14" s="55"/>
      <c r="KHS14" s="55"/>
      <c r="KHT14" s="55"/>
      <c r="KHU14" s="55"/>
      <c r="KHV14" s="55"/>
      <c r="KHW14" s="55"/>
      <c r="KHX14" s="55"/>
      <c r="KHY14" s="55"/>
      <c r="KHZ14" s="55"/>
      <c r="KIA14" s="55"/>
      <c r="KIB14" s="55"/>
      <c r="KIC14" s="55"/>
      <c r="KID14" s="55"/>
      <c r="KIE14" s="55"/>
      <c r="KIF14" s="55"/>
      <c r="KIG14" s="55"/>
      <c r="KIH14" s="55"/>
      <c r="KII14" s="55"/>
      <c r="KIJ14" s="55"/>
      <c r="KIK14" s="55"/>
      <c r="KIL14" s="55"/>
      <c r="KIM14" s="55"/>
      <c r="KIN14" s="55"/>
      <c r="KIO14" s="55"/>
      <c r="KIP14" s="55"/>
      <c r="KIQ14" s="55"/>
      <c r="KIR14" s="55"/>
      <c r="KIS14" s="55"/>
      <c r="KIT14" s="55"/>
      <c r="KIU14" s="55"/>
      <c r="KIV14" s="55"/>
      <c r="KIW14" s="55"/>
      <c r="KIX14" s="55"/>
      <c r="KIY14" s="55"/>
      <c r="KIZ14" s="55"/>
      <c r="KJA14" s="55"/>
      <c r="KJB14" s="55"/>
      <c r="KJC14" s="55"/>
      <c r="KJD14" s="55"/>
      <c r="KJE14" s="55"/>
      <c r="KJF14" s="55"/>
      <c r="KJG14" s="55"/>
      <c r="KJH14" s="55"/>
      <c r="KJI14" s="55"/>
      <c r="KJJ14" s="55"/>
      <c r="KJK14" s="55"/>
      <c r="KJL14" s="55"/>
      <c r="KJM14" s="55"/>
      <c r="KJN14" s="55"/>
      <c r="KJO14" s="55"/>
      <c r="KJP14" s="55"/>
      <c r="KJQ14" s="55"/>
      <c r="KJR14" s="55"/>
      <c r="KJS14" s="55"/>
      <c r="KJT14" s="55"/>
      <c r="KJU14" s="55"/>
      <c r="KJV14" s="55"/>
      <c r="KJW14" s="55"/>
      <c r="KJX14" s="55"/>
      <c r="KJY14" s="55"/>
      <c r="KJZ14" s="55"/>
      <c r="KKA14" s="55"/>
      <c r="KKB14" s="55"/>
      <c r="KKC14" s="55"/>
      <c r="KKD14" s="55"/>
      <c r="KKE14" s="55"/>
      <c r="KKF14" s="55"/>
      <c r="KKG14" s="55"/>
      <c r="KKH14" s="55"/>
      <c r="KKI14" s="55"/>
      <c r="KKJ14" s="55"/>
      <c r="KKK14" s="55"/>
      <c r="KKL14" s="55"/>
      <c r="KKM14" s="55"/>
      <c r="KKN14" s="55"/>
      <c r="KKO14" s="55"/>
      <c r="KKP14" s="55"/>
      <c r="KKQ14" s="55"/>
      <c r="KKR14" s="55"/>
      <c r="KKS14" s="55"/>
      <c r="KKT14" s="55"/>
      <c r="KKU14" s="55"/>
      <c r="KKV14" s="55"/>
      <c r="KKW14" s="55"/>
      <c r="KKX14" s="55"/>
      <c r="KKY14" s="55"/>
      <c r="KKZ14" s="55"/>
      <c r="KLA14" s="55"/>
      <c r="KLB14" s="55"/>
      <c r="KLC14" s="55"/>
      <c r="KLD14" s="55"/>
      <c r="KLE14" s="55"/>
      <c r="KLF14" s="55"/>
      <c r="KLG14" s="55"/>
      <c r="KLH14" s="55"/>
      <c r="KLI14" s="55"/>
      <c r="KLJ14" s="55"/>
      <c r="KLK14" s="55"/>
      <c r="KLL14" s="55"/>
      <c r="KLM14" s="55"/>
      <c r="KLN14" s="55"/>
      <c r="KLO14" s="55"/>
      <c r="KLP14" s="55"/>
      <c r="KLQ14" s="55"/>
      <c r="KLR14" s="55"/>
      <c r="KLS14" s="55"/>
      <c r="KLT14" s="55"/>
      <c r="KLU14" s="55"/>
      <c r="KLV14" s="55"/>
      <c r="KLW14" s="55"/>
      <c r="KLX14" s="55"/>
      <c r="KLY14" s="55"/>
      <c r="KLZ14" s="55"/>
      <c r="KMA14" s="55"/>
      <c r="KMB14" s="55"/>
      <c r="KMC14" s="55"/>
      <c r="KMD14" s="55"/>
      <c r="KME14" s="55"/>
      <c r="KMF14" s="55"/>
      <c r="KMG14" s="55"/>
      <c r="KMH14" s="55"/>
      <c r="KMI14" s="55"/>
      <c r="KMJ14" s="55"/>
      <c r="KMK14" s="55"/>
      <c r="KML14" s="55"/>
      <c r="KMM14" s="55"/>
      <c r="KMN14" s="55"/>
      <c r="KMO14" s="55"/>
      <c r="KMP14" s="55"/>
      <c r="KMQ14" s="55"/>
      <c r="KMR14" s="55"/>
      <c r="KMS14" s="55"/>
      <c r="KMT14" s="55"/>
      <c r="KMU14" s="55"/>
      <c r="KMV14" s="55"/>
      <c r="KMW14" s="55"/>
      <c r="KMX14" s="55"/>
      <c r="KMY14" s="55"/>
      <c r="KMZ14" s="55"/>
      <c r="KNA14" s="55"/>
      <c r="KNB14" s="55"/>
      <c r="KNC14" s="55"/>
      <c r="KND14" s="55"/>
      <c r="KNE14" s="55"/>
      <c r="KNF14" s="55"/>
      <c r="KNG14" s="55"/>
      <c r="KNH14" s="55"/>
      <c r="KNI14" s="55"/>
      <c r="KNJ14" s="55"/>
      <c r="KNK14" s="55"/>
      <c r="KNL14" s="55"/>
      <c r="KNM14" s="55"/>
      <c r="KNN14" s="55"/>
      <c r="KNO14" s="55"/>
      <c r="KNP14" s="55"/>
      <c r="KNQ14" s="55"/>
      <c r="KNR14" s="55"/>
      <c r="KNS14" s="55"/>
      <c r="KNT14" s="55"/>
      <c r="KNU14" s="55"/>
      <c r="KNV14" s="55"/>
      <c r="KNW14" s="55"/>
      <c r="KNX14" s="55"/>
      <c r="KNY14" s="55"/>
      <c r="KNZ14" s="55"/>
      <c r="KOA14" s="55"/>
      <c r="KOB14" s="55"/>
      <c r="KOC14" s="55"/>
      <c r="KOD14" s="55"/>
      <c r="KOE14" s="55"/>
      <c r="KOF14" s="55"/>
      <c r="KOG14" s="55"/>
      <c r="KOH14" s="55"/>
      <c r="KOI14" s="55"/>
      <c r="KOJ14" s="55"/>
      <c r="KOK14" s="55"/>
      <c r="KOL14" s="55"/>
      <c r="KOM14" s="55"/>
      <c r="KON14" s="55"/>
      <c r="KOO14" s="55"/>
      <c r="KOP14" s="55"/>
      <c r="KOQ14" s="55"/>
      <c r="KOR14" s="55"/>
      <c r="KOS14" s="55"/>
      <c r="KOT14" s="55"/>
      <c r="KOU14" s="55"/>
      <c r="KOV14" s="55"/>
      <c r="KOW14" s="55"/>
      <c r="KOX14" s="55"/>
      <c r="KOY14" s="55"/>
      <c r="KOZ14" s="55"/>
      <c r="KPA14" s="55"/>
      <c r="KPB14" s="55"/>
      <c r="KPC14" s="55"/>
      <c r="KPD14" s="55"/>
      <c r="KPE14" s="55"/>
      <c r="KPF14" s="55"/>
      <c r="KPG14" s="55"/>
      <c r="KPH14" s="55"/>
      <c r="KPI14" s="55"/>
      <c r="KPJ14" s="55"/>
      <c r="KPK14" s="55"/>
      <c r="KPL14" s="55"/>
      <c r="KPM14" s="55"/>
      <c r="KPN14" s="55"/>
      <c r="KPO14" s="55"/>
      <c r="KPP14" s="55"/>
      <c r="KPQ14" s="55"/>
      <c r="KPR14" s="55"/>
      <c r="KPS14" s="55"/>
      <c r="KPT14" s="55"/>
      <c r="KPU14" s="55"/>
      <c r="KPV14" s="55"/>
      <c r="KPW14" s="55"/>
      <c r="KPX14" s="55"/>
      <c r="KPY14" s="55"/>
      <c r="KPZ14" s="55"/>
      <c r="KQA14" s="55"/>
      <c r="KQB14" s="55"/>
      <c r="KQC14" s="55"/>
      <c r="KQD14" s="55"/>
      <c r="KQE14" s="55"/>
      <c r="KQF14" s="55"/>
      <c r="KQG14" s="55"/>
      <c r="KQH14" s="55"/>
      <c r="KQI14" s="55"/>
      <c r="KQJ14" s="55"/>
      <c r="KQK14" s="55"/>
      <c r="KQL14" s="55"/>
      <c r="KQM14" s="55"/>
      <c r="KQN14" s="55"/>
      <c r="KQO14" s="55"/>
      <c r="KQP14" s="55"/>
      <c r="KQQ14" s="55"/>
      <c r="KQR14" s="55"/>
      <c r="KQS14" s="55"/>
      <c r="KQT14" s="55"/>
      <c r="KQU14" s="55"/>
      <c r="KQV14" s="55"/>
      <c r="KQW14" s="55"/>
      <c r="KQX14" s="55"/>
      <c r="KQY14" s="55"/>
      <c r="KQZ14" s="55"/>
      <c r="KRA14" s="55"/>
      <c r="KRB14" s="55"/>
      <c r="KRC14" s="55"/>
      <c r="KRD14" s="55"/>
      <c r="KRE14" s="55"/>
      <c r="KRF14" s="55"/>
      <c r="KRG14" s="55"/>
      <c r="KRH14" s="55"/>
      <c r="KRI14" s="55"/>
      <c r="KRJ14" s="55"/>
      <c r="KRK14" s="55"/>
      <c r="KRL14" s="55"/>
      <c r="KRM14" s="55"/>
      <c r="KRN14" s="55"/>
      <c r="KRO14" s="55"/>
      <c r="KRP14" s="55"/>
      <c r="KRQ14" s="55"/>
      <c r="KRR14" s="55"/>
      <c r="KRS14" s="55"/>
      <c r="KRT14" s="55"/>
      <c r="KRU14" s="55"/>
      <c r="KRV14" s="55"/>
      <c r="KRW14" s="55"/>
      <c r="KRX14" s="55"/>
      <c r="KRY14" s="55"/>
      <c r="KRZ14" s="55"/>
      <c r="KSA14" s="55"/>
      <c r="KSB14" s="55"/>
      <c r="KSC14" s="55"/>
      <c r="KSD14" s="55"/>
      <c r="KSE14" s="55"/>
      <c r="KSF14" s="55"/>
      <c r="KSG14" s="55"/>
      <c r="KSH14" s="55"/>
      <c r="KSI14" s="55"/>
      <c r="KSJ14" s="55"/>
      <c r="KSK14" s="55"/>
      <c r="KSL14" s="55"/>
      <c r="KSM14" s="55"/>
      <c r="KSN14" s="55"/>
      <c r="KSO14" s="55"/>
      <c r="KSP14" s="55"/>
      <c r="KSQ14" s="55"/>
      <c r="KSR14" s="55"/>
      <c r="KSS14" s="55"/>
      <c r="KST14" s="55"/>
      <c r="KSU14" s="55"/>
      <c r="KSV14" s="55"/>
      <c r="KSW14" s="55"/>
      <c r="KSX14" s="55"/>
      <c r="KSY14" s="55"/>
      <c r="KSZ14" s="55"/>
      <c r="KTA14" s="55"/>
      <c r="KTB14" s="55"/>
      <c r="KTC14" s="55"/>
      <c r="KTD14" s="55"/>
      <c r="KTE14" s="55"/>
      <c r="KTF14" s="55"/>
      <c r="KTG14" s="55"/>
      <c r="KTH14" s="55"/>
      <c r="KTI14" s="55"/>
      <c r="KTJ14" s="55"/>
      <c r="KTK14" s="55"/>
      <c r="KTL14" s="55"/>
      <c r="KTM14" s="55"/>
      <c r="KTN14" s="55"/>
      <c r="KTO14" s="55"/>
      <c r="KTP14" s="55"/>
      <c r="KTQ14" s="55"/>
      <c r="KTR14" s="55"/>
      <c r="KTS14" s="55"/>
      <c r="KTT14" s="55"/>
      <c r="KTU14" s="55"/>
      <c r="KTV14" s="55"/>
      <c r="KTW14" s="55"/>
      <c r="KTX14" s="55"/>
      <c r="KTY14" s="55"/>
      <c r="KTZ14" s="55"/>
      <c r="KUA14" s="55"/>
      <c r="KUB14" s="55"/>
      <c r="KUC14" s="55"/>
      <c r="KUD14" s="55"/>
      <c r="KUE14" s="55"/>
      <c r="KUF14" s="55"/>
      <c r="KUG14" s="55"/>
      <c r="KUH14" s="55"/>
      <c r="KUI14" s="55"/>
      <c r="KUJ14" s="55"/>
      <c r="KUK14" s="55"/>
      <c r="KUL14" s="55"/>
      <c r="KUM14" s="55"/>
      <c r="KUN14" s="55"/>
      <c r="KUO14" s="55"/>
      <c r="KUP14" s="55"/>
      <c r="KUQ14" s="55"/>
      <c r="KUR14" s="55"/>
      <c r="KUS14" s="55"/>
      <c r="KUT14" s="55"/>
      <c r="KUU14" s="55"/>
      <c r="KUV14" s="55"/>
      <c r="KUW14" s="55"/>
      <c r="KUX14" s="55"/>
      <c r="KUY14" s="55"/>
      <c r="KUZ14" s="55"/>
      <c r="KVA14" s="55"/>
      <c r="KVB14" s="55"/>
      <c r="KVC14" s="55"/>
      <c r="KVD14" s="55"/>
      <c r="KVE14" s="55"/>
      <c r="KVF14" s="55"/>
      <c r="KVG14" s="55"/>
      <c r="KVH14" s="55"/>
      <c r="KVI14" s="55"/>
      <c r="KVJ14" s="55"/>
      <c r="KVK14" s="55"/>
      <c r="KVL14" s="55"/>
      <c r="KVM14" s="55"/>
      <c r="KVN14" s="55"/>
      <c r="KVO14" s="55"/>
      <c r="KVP14" s="55"/>
      <c r="KVQ14" s="55"/>
      <c r="KVR14" s="55"/>
      <c r="KVS14" s="55"/>
      <c r="KVT14" s="55"/>
      <c r="KVU14" s="55"/>
      <c r="KVV14" s="55"/>
      <c r="KVW14" s="55"/>
      <c r="KVX14" s="55"/>
      <c r="KVY14" s="55"/>
      <c r="KVZ14" s="55"/>
      <c r="KWA14" s="55"/>
      <c r="KWB14" s="55"/>
      <c r="KWC14" s="55"/>
      <c r="KWD14" s="55"/>
      <c r="KWE14" s="55"/>
      <c r="KWF14" s="55"/>
      <c r="KWG14" s="55"/>
      <c r="KWH14" s="55"/>
      <c r="KWI14" s="55"/>
      <c r="KWJ14" s="55"/>
      <c r="KWK14" s="55"/>
      <c r="KWL14" s="55"/>
      <c r="KWM14" s="55"/>
      <c r="KWN14" s="55"/>
      <c r="KWO14" s="55"/>
      <c r="KWP14" s="55"/>
      <c r="KWQ14" s="55"/>
      <c r="KWR14" s="55"/>
      <c r="KWS14" s="55"/>
      <c r="KWT14" s="55"/>
      <c r="KWU14" s="55"/>
      <c r="KWV14" s="55"/>
      <c r="KWW14" s="55"/>
      <c r="KWX14" s="55"/>
      <c r="KWY14" s="55"/>
      <c r="KWZ14" s="55"/>
      <c r="KXA14" s="55"/>
      <c r="KXB14" s="55"/>
      <c r="KXC14" s="55"/>
      <c r="KXD14" s="55"/>
      <c r="KXE14" s="55"/>
      <c r="KXF14" s="55"/>
      <c r="KXG14" s="55"/>
      <c r="KXH14" s="55"/>
      <c r="KXI14" s="55"/>
      <c r="KXJ14" s="55"/>
      <c r="KXK14" s="55"/>
      <c r="KXL14" s="55"/>
      <c r="KXM14" s="55"/>
      <c r="KXN14" s="55"/>
      <c r="KXO14" s="55"/>
      <c r="KXP14" s="55"/>
      <c r="KXQ14" s="55"/>
      <c r="KXR14" s="55"/>
      <c r="KXS14" s="55"/>
      <c r="KXT14" s="55"/>
      <c r="KXU14" s="55"/>
      <c r="KXV14" s="55"/>
      <c r="KXW14" s="55"/>
      <c r="KXX14" s="55"/>
      <c r="KXY14" s="55"/>
      <c r="KXZ14" s="55"/>
      <c r="KYA14" s="55"/>
      <c r="KYB14" s="55"/>
      <c r="KYC14" s="55"/>
      <c r="KYD14" s="55"/>
      <c r="KYE14" s="55"/>
      <c r="KYF14" s="55"/>
      <c r="KYG14" s="55"/>
      <c r="KYH14" s="55"/>
      <c r="KYI14" s="55"/>
      <c r="KYJ14" s="55"/>
      <c r="KYK14" s="55"/>
      <c r="KYL14" s="55"/>
      <c r="KYM14" s="55"/>
      <c r="KYN14" s="55"/>
      <c r="KYO14" s="55"/>
      <c r="KYP14" s="55"/>
      <c r="KYQ14" s="55"/>
      <c r="KYR14" s="55"/>
      <c r="KYS14" s="55"/>
      <c r="KYT14" s="55"/>
      <c r="KYU14" s="55"/>
      <c r="KYV14" s="55"/>
      <c r="KYW14" s="55"/>
      <c r="KYX14" s="55"/>
      <c r="KYY14" s="55"/>
      <c r="KYZ14" s="55"/>
      <c r="KZA14" s="55"/>
      <c r="KZB14" s="55"/>
      <c r="KZC14" s="55"/>
      <c r="KZD14" s="55"/>
      <c r="KZE14" s="55"/>
      <c r="KZF14" s="55"/>
      <c r="KZG14" s="55"/>
      <c r="KZH14" s="55"/>
      <c r="KZI14" s="55"/>
      <c r="KZJ14" s="55"/>
      <c r="KZK14" s="55"/>
      <c r="KZL14" s="55"/>
      <c r="KZM14" s="55"/>
      <c r="KZN14" s="55"/>
      <c r="KZO14" s="55"/>
      <c r="KZP14" s="55"/>
      <c r="KZQ14" s="55"/>
      <c r="KZR14" s="55"/>
      <c r="KZS14" s="55"/>
      <c r="KZT14" s="55"/>
      <c r="KZU14" s="55"/>
      <c r="KZV14" s="55"/>
      <c r="KZW14" s="55"/>
      <c r="KZX14" s="55"/>
      <c r="KZY14" s="55"/>
      <c r="KZZ14" s="55"/>
      <c r="LAA14" s="55"/>
      <c r="LAB14" s="55"/>
      <c r="LAC14" s="55"/>
      <c r="LAD14" s="55"/>
      <c r="LAE14" s="55"/>
      <c r="LAF14" s="55"/>
      <c r="LAG14" s="55"/>
      <c r="LAH14" s="55"/>
      <c r="LAI14" s="55"/>
      <c r="LAJ14" s="55"/>
      <c r="LAK14" s="55"/>
      <c r="LAL14" s="55"/>
      <c r="LAM14" s="55"/>
      <c r="LAN14" s="55"/>
      <c r="LAO14" s="55"/>
      <c r="LAP14" s="55"/>
      <c r="LAQ14" s="55"/>
      <c r="LAR14" s="55"/>
      <c r="LAS14" s="55"/>
      <c r="LAT14" s="55"/>
      <c r="LAU14" s="55"/>
      <c r="LAV14" s="55"/>
      <c r="LAW14" s="55"/>
      <c r="LAX14" s="55"/>
      <c r="LAY14" s="55"/>
      <c r="LAZ14" s="55"/>
      <c r="LBA14" s="55"/>
      <c r="LBB14" s="55"/>
      <c r="LBC14" s="55"/>
      <c r="LBD14" s="55"/>
      <c r="LBE14" s="55"/>
      <c r="LBF14" s="55"/>
      <c r="LBG14" s="55"/>
      <c r="LBH14" s="55"/>
      <c r="LBI14" s="55"/>
      <c r="LBJ14" s="55"/>
      <c r="LBK14" s="55"/>
      <c r="LBL14" s="55"/>
      <c r="LBM14" s="55"/>
      <c r="LBN14" s="55"/>
      <c r="LBO14" s="55"/>
      <c r="LBP14" s="55"/>
      <c r="LBQ14" s="55"/>
      <c r="LBR14" s="55"/>
      <c r="LBS14" s="55"/>
      <c r="LBT14" s="55"/>
      <c r="LBU14" s="55"/>
      <c r="LBV14" s="55"/>
      <c r="LBW14" s="55"/>
      <c r="LBX14" s="55"/>
      <c r="LBY14" s="55"/>
      <c r="LBZ14" s="55"/>
      <c r="LCA14" s="55"/>
      <c r="LCB14" s="55"/>
      <c r="LCC14" s="55"/>
      <c r="LCD14" s="55"/>
      <c r="LCE14" s="55"/>
      <c r="LCF14" s="55"/>
      <c r="LCG14" s="55"/>
      <c r="LCH14" s="55"/>
      <c r="LCI14" s="55"/>
      <c r="LCJ14" s="55"/>
      <c r="LCK14" s="55"/>
      <c r="LCL14" s="55"/>
      <c r="LCM14" s="55"/>
      <c r="LCN14" s="55"/>
      <c r="LCO14" s="55"/>
      <c r="LCP14" s="55"/>
      <c r="LCQ14" s="55"/>
      <c r="LCR14" s="55"/>
      <c r="LCS14" s="55"/>
      <c r="LCT14" s="55"/>
      <c r="LCU14" s="55"/>
      <c r="LCV14" s="55"/>
      <c r="LCW14" s="55"/>
      <c r="LCX14" s="55"/>
      <c r="LCY14" s="55"/>
      <c r="LCZ14" s="55"/>
      <c r="LDA14" s="55"/>
      <c r="LDB14" s="55"/>
      <c r="LDC14" s="55"/>
      <c r="LDD14" s="55"/>
      <c r="LDE14" s="55"/>
      <c r="LDF14" s="55"/>
      <c r="LDG14" s="55"/>
      <c r="LDH14" s="55"/>
      <c r="LDI14" s="55"/>
      <c r="LDJ14" s="55"/>
      <c r="LDK14" s="55"/>
      <c r="LDL14" s="55"/>
      <c r="LDM14" s="55"/>
      <c r="LDN14" s="55"/>
      <c r="LDO14" s="55"/>
      <c r="LDP14" s="55"/>
      <c r="LDQ14" s="55"/>
      <c r="LDR14" s="55"/>
      <c r="LDS14" s="55"/>
      <c r="LDT14" s="55"/>
      <c r="LDU14" s="55"/>
      <c r="LDV14" s="55"/>
      <c r="LDW14" s="55"/>
      <c r="LDX14" s="55"/>
      <c r="LDY14" s="55"/>
      <c r="LDZ14" s="55"/>
      <c r="LEA14" s="55"/>
      <c r="LEB14" s="55"/>
      <c r="LEC14" s="55"/>
      <c r="LED14" s="55"/>
      <c r="LEE14" s="55"/>
      <c r="LEF14" s="55"/>
      <c r="LEG14" s="55"/>
      <c r="LEH14" s="55"/>
      <c r="LEI14" s="55"/>
      <c r="LEJ14" s="55"/>
      <c r="LEK14" s="55"/>
      <c r="LEL14" s="55"/>
      <c r="LEM14" s="55"/>
      <c r="LEN14" s="55"/>
      <c r="LEO14" s="55"/>
      <c r="LEP14" s="55"/>
      <c r="LEQ14" s="55"/>
      <c r="LER14" s="55"/>
      <c r="LES14" s="55"/>
      <c r="LET14" s="55"/>
      <c r="LEU14" s="55"/>
      <c r="LEV14" s="55"/>
      <c r="LEW14" s="55"/>
      <c r="LEX14" s="55"/>
      <c r="LEY14" s="55"/>
      <c r="LEZ14" s="55"/>
      <c r="LFA14" s="55"/>
      <c r="LFB14" s="55"/>
      <c r="LFC14" s="55"/>
      <c r="LFD14" s="55"/>
      <c r="LFE14" s="55"/>
      <c r="LFF14" s="55"/>
      <c r="LFG14" s="55"/>
      <c r="LFH14" s="55"/>
      <c r="LFI14" s="55"/>
      <c r="LFJ14" s="55"/>
      <c r="LFK14" s="55"/>
      <c r="LFL14" s="55"/>
      <c r="LFM14" s="55"/>
      <c r="LFN14" s="55"/>
      <c r="LFO14" s="55"/>
      <c r="LFP14" s="55"/>
      <c r="LFQ14" s="55"/>
      <c r="LFR14" s="55"/>
      <c r="LFS14" s="55"/>
      <c r="LFT14" s="55"/>
      <c r="LFU14" s="55"/>
      <c r="LFV14" s="55"/>
      <c r="LFW14" s="55"/>
      <c r="LFX14" s="55"/>
      <c r="LFY14" s="55"/>
      <c r="LFZ14" s="55"/>
      <c r="LGA14" s="55"/>
      <c r="LGB14" s="55"/>
      <c r="LGC14" s="55"/>
      <c r="LGD14" s="55"/>
      <c r="LGE14" s="55"/>
      <c r="LGF14" s="55"/>
      <c r="LGG14" s="55"/>
      <c r="LGH14" s="55"/>
      <c r="LGI14" s="55"/>
      <c r="LGJ14" s="55"/>
      <c r="LGK14" s="55"/>
      <c r="LGL14" s="55"/>
      <c r="LGM14" s="55"/>
      <c r="LGN14" s="55"/>
      <c r="LGO14" s="55"/>
      <c r="LGP14" s="55"/>
      <c r="LGQ14" s="55"/>
      <c r="LGR14" s="55"/>
      <c r="LGS14" s="55"/>
      <c r="LGT14" s="55"/>
      <c r="LGU14" s="55"/>
      <c r="LGV14" s="55"/>
      <c r="LGW14" s="55"/>
      <c r="LGX14" s="55"/>
      <c r="LGY14" s="55"/>
      <c r="LGZ14" s="55"/>
      <c r="LHA14" s="55"/>
      <c r="LHB14" s="55"/>
      <c r="LHC14" s="55"/>
      <c r="LHD14" s="55"/>
      <c r="LHE14" s="55"/>
      <c r="LHF14" s="55"/>
      <c r="LHG14" s="55"/>
      <c r="LHH14" s="55"/>
      <c r="LHI14" s="55"/>
      <c r="LHJ14" s="55"/>
      <c r="LHK14" s="55"/>
      <c r="LHL14" s="55"/>
      <c r="LHM14" s="55"/>
      <c r="LHN14" s="55"/>
      <c r="LHO14" s="55"/>
      <c r="LHP14" s="55"/>
      <c r="LHQ14" s="55"/>
      <c r="LHR14" s="55"/>
      <c r="LHS14" s="55"/>
      <c r="LHT14" s="55"/>
      <c r="LHU14" s="55"/>
      <c r="LHV14" s="55"/>
      <c r="LHW14" s="55"/>
      <c r="LHX14" s="55"/>
      <c r="LHY14" s="55"/>
      <c r="LHZ14" s="55"/>
      <c r="LIA14" s="55"/>
      <c r="LIB14" s="55"/>
      <c r="LIC14" s="55"/>
      <c r="LID14" s="55"/>
      <c r="LIE14" s="55"/>
      <c r="LIF14" s="55"/>
      <c r="LIG14" s="55"/>
      <c r="LIH14" s="55"/>
      <c r="LII14" s="55"/>
      <c r="LIJ14" s="55"/>
      <c r="LIK14" s="55"/>
      <c r="LIL14" s="55"/>
      <c r="LIM14" s="55"/>
      <c r="LIN14" s="55"/>
      <c r="LIO14" s="55"/>
      <c r="LIP14" s="55"/>
      <c r="LIQ14" s="55"/>
      <c r="LIR14" s="55"/>
      <c r="LIS14" s="55"/>
      <c r="LIT14" s="55"/>
      <c r="LIU14" s="55"/>
      <c r="LIV14" s="55"/>
      <c r="LIW14" s="55"/>
      <c r="LIX14" s="55"/>
      <c r="LIY14" s="55"/>
      <c r="LIZ14" s="55"/>
      <c r="LJA14" s="55"/>
      <c r="LJB14" s="55"/>
      <c r="LJC14" s="55"/>
      <c r="LJD14" s="55"/>
      <c r="LJE14" s="55"/>
      <c r="LJF14" s="55"/>
      <c r="LJG14" s="55"/>
      <c r="LJH14" s="55"/>
      <c r="LJI14" s="55"/>
      <c r="LJJ14" s="55"/>
      <c r="LJK14" s="55"/>
      <c r="LJL14" s="55"/>
      <c r="LJM14" s="55"/>
      <c r="LJN14" s="55"/>
      <c r="LJO14" s="55"/>
      <c r="LJP14" s="55"/>
      <c r="LJQ14" s="55"/>
      <c r="LJR14" s="55"/>
      <c r="LJS14" s="55"/>
      <c r="LJT14" s="55"/>
      <c r="LJU14" s="55"/>
      <c r="LJV14" s="55"/>
      <c r="LJW14" s="55"/>
      <c r="LJX14" s="55"/>
      <c r="LJY14" s="55"/>
      <c r="LJZ14" s="55"/>
      <c r="LKA14" s="55"/>
      <c r="LKB14" s="55"/>
      <c r="LKC14" s="55"/>
      <c r="LKD14" s="55"/>
      <c r="LKE14" s="55"/>
      <c r="LKF14" s="55"/>
      <c r="LKG14" s="55"/>
      <c r="LKH14" s="55"/>
      <c r="LKI14" s="55"/>
      <c r="LKJ14" s="55"/>
      <c r="LKK14" s="55"/>
      <c r="LKL14" s="55"/>
      <c r="LKM14" s="55"/>
      <c r="LKN14" s="55"/>
      <c r="LKO14" s="55"/>
      <c r="LKP14" s="55"/>
      <c r="LKQ14" s="55"/>
      <c r="LKR14" s="55"/>
      <c r="LKS14" s="55"/>
      <c r="LKT14" s="55"/>
      <c r="LKU14" s="55"/>
      <c r="LKV14" s="55"/>
      <c r="LKW14" s="55"/>
      <c r="LKX14" s="55"/>
      <c r="LKY14" s="55"/>
      <c r="LKZ14" s="55"/>
      <c r="LLA14" s="55"/>
      <c r="LLB14" s="55"/>
      <c r="LLC14" s="55"/>
      <c r="LLD14" s="55"/>
      <c r="LLE14" s="55"/>
      <c r="LLF14" s="55"/>
      <c r="LLG14" s="55"/>
      <c r="LLH14" s="55"/>
      <c r="LLI14" s="55"/>
      <c r="LLJ14" s="55"/>
      <c r="LLK14" s="55"/>
      <c r="LLL14" s="55"/>
      <c r="LLM14" s="55"/>
      <c r="LLN14" s="55"/>
      <c r="LLO14" s="55"/>
      <c r="LLP14" s="55"/>
      <c r="LLQ14" s="55"/>
      <c r="LLR14" s="55"/>
      <c r="LLS14" s="55"/>
      <c r="LLT14" s="55"/>
      <c r="LLU14" s="55"/>
      <c r="LLV14" s="55"/>
      <c r="LLW14" s="55"/>
      <c r="LLX14" s="55"/>
      <c r="LLY14" s="55"/>
      <c r="LLZ14" s="55"/>
      <c r="LMA14" s="55"/>
      <c r="LMB14" s="55"/>
      <c r="LMC14" s="55"/>
      <c r="LMD14" s="55"/>
      <c r="LME14" s="55"/>
      <c r="LMF14" s="55"/>
      <c r="LMG14" s="55"/>
      <c r="LMH14" s="55"/>
      <c r="LMI14" s="55"/>
      <c r="LMJ14" s="55"/>
      <c r="LMK14" s="55"/>
      <c r="LML14" s="55"/>
      <c r="LMM14" s="55"/>
      <c r="LMN14" s="55"/>
      <c r="LMO14" s="55"/>
      <c r="LMP14" s="55"/>
      <c r="LMQ14" s="55"/>
      <c r="LMR14" s="55"/>
      <c r="LMS14" s="55"/>
      <c r="LMT14" s="55"/>
      <c r="LMU14" s="55"/>
      <c r="LMV14" s="55"/>
      <c r="LMW14" s="55"/>
      <c r="LMX14" s="55"/>
      <c r="LMY14" s="55"/>
      <c r="LMZ14" s="55"/>
      <c r="LNA14" s="55"/>
      <c r="LNB14" s="55"/>
      <c r="LNC14" s="55"/>
      <c r="LND14" s="55"/>
      <c r="LNE14" s="55"/>
      <c r="LNF14" s="55"/>
      <c r="LNG14" s="55"/>
      <c r="LNH14" s="55"/>
      <c r="LNI14" s="55"/>
      <c r="LNJ14" s="55"/>
      <c r="LNK14" s="55"/>
      <c r="LNL14" s="55"/>
      <c r="LNM14" s="55"/>
      <c r="LNN14" s="55"/>
      <c r="LNO14" s="55"/>
      <c r="LNP14" s="55"/>
      <c r="LNQ14" s="55"/>
      <c r="LNR14" s="55"/>
      <c r="LNS14" s="55"/>
      <c r="LNT14" s="55"/>
      <c r="LNU14" s="55"/>
      <c r="LNV14" s="55"/>
      <c r="LNW14" s="55"/>
      <c r="LNX14" s="55"/>
      <c r="LNY14" s="55"/>
      <c r="LNZ14" s="55"/>
      <c r="LOA14" s="55"/>
      <c r="LOB14" s="55"/>
      <c r="LOC14" s="55"/>
      <c r="LOD14" s="55"/>
      <c r="LOE14" s="55"/>
      <c r="LOF14" s="55"/>
      <c r="LOG14" s="55"/>
      <c r="LOH14" s="55"/>
      <c r="LOI14" s="55"/>
      <c r="LOJ14" s="55"/>
      <c r="LOK14" s="55"/>
      <c r="LOL14" s="55"/>
      <c r="LOM14" s="55"/>
      <c r="LON14" s="55"/>
      <c r="LOO14" s="55"/>
      <c r="LOP14" s="55"/>
      <c r="LOQ14" s="55"/>
      <c r="LOR14" s="55"/>
      <c r="LOS14" s="55"/>
      <c r="LOT14" s="55"/>
      <c r="LOU14" s="55"/>
      <c r="LOV14" s="55"/>
      <c r="LOW14" s="55"/>
      <c r="LOX14" s="55"/>
      <c r="LOY14" s="55"/>
      <c r="LOZ14" s="55"/>
      <c r="LPA14" s="55"/>
      <c r="LPB14" s="55"/>
      <c r="LPC14" s="55"/>
      <c r="LPD14" s="55"/>
      <c r="LPE14" s="55"/>
      <c r="LPF14" s="55"/>
      <c r="LPG14" s="55"/>
      <c r="LPH14" s="55"/>
      <c r="LPI14" s="55"/>
      <c r="LPJ14" s="55"/>
      <c r="LPK14" s="55"/>
      <c r="LPL14" s="55"/>
      <c r="LPM14" s="55"/>
      <c r="LPN14" s="55"/>
      <c r="LPO14" s="55"/>
      <c r="LPP14" s="55"/>
      <c r="LPQ14" s="55"/>
      <c r="LPR14" s="55"/>
      <c r="LPS14" s="55"/>
      <c r="LPT14" s="55"/>
      <c r="LPU14" s="55"/>
      <c r="LPV14" s="55"/>
      <c r="LPW14" s="55"/>
      <c r="LPX14" s="55"/>
      <c r="LPY14" s="55"/>
      <c r="LPZ14" s="55"/>
      <c r="LQA14" s="55"/>
      <c r="LQB14" s="55"/>
      <c r="LQC14" s="55"/>
      <c r="LQD14" s="55"/>
      <c r="LQE14" s="55"/>
      <c r="LQF14" s="55"/>
      <c r="LQG14" s="55"/>
      <c r="LQH14" s="55"/>
      <c r="LQI14" s="55"/>
      <c r="LQJ14" s="55"/>
      <c r="LQK14" s="55"/>
      <c r="LQL14" s="55"/>
      <c r="LQM14" s="55"/>
      <c r="LQN14" s="55"/>
      <c r="LQO14" s="55"/>
      <c r="LQP14" s="55"/>
      <c r="LQQ14" s="55"/>
      <c r="LQR14" s="55"/>
      <c r="LQS14" s="55"/>
      <c r="LQT14" s="55"/>
      <c r="LQU14" s="55"/>
      <c r="LQV14" s="55"/>
      <c r="LQW14" s="55"/>
      <c r="LQX14" s="55"/>
      <c r="LQY14" s="55"/>
      <c r="LQZ14" s="55"/>
      <c r="LRA14" s="55"/>
      <c r="LRB14" s="55"/>
      <c r="LRC14" s="55"/>
      <c r="LRD14" s="55"/>
      <c r="LRE14" s="55"/>
      <c r="LRF14" s="55"/>
      <c r="LRG14" s="55"/>
      <c r="LRH14" s="55"/>
      <c r="LRI14" s="55"/>
      <c r="LRJ14" s="55"/>
      <c r="LRK14" s="55"/>
      <c r="LRL14" s="55"/>
      <c r="LRM14" s="55"/>
      <c r="LRN14" s="55"/>
      <c r="LRO14" s="55"/>
      <c r="LRP14" s="55"/>
      <c r="LRQ14" s="55"/>
      <c r="LRR14" s="55"/>
      <c r="LRS14" s="55"/>
      <c r="LRT14" s="55"/>
      <c r="LRU14" s="55"/>
      <c r="LRV14" s="55"/>
      <c r="LRW14" s="55"/>
      <c r="LRX14" s="55"/>
      <c r="LRY14" s="55"/>
      <c r="LRZ14" s="55"/>
      <c r="LSA14" s="55"/>
      <c r="LSB14" s="55"/>
      <c r="LSC14" s="55"/>
      <c r="LSD14" s="55"/>
      <c r="LSE14" s="55"/>
      <c r="LSF14" s="55"/>
      <c r="LSG14" s="55"/>
      <c r="LSH14" s="55"/>
      <c r="LSI14" s="55"/>
      <c r="LSJ14" s="55"/>
      <c r="LSK14" s="55"/>
      <c r="LSL14" s="55"/>
      <c r="LSM14" s="55"/>
      <c r="LSN14" s="55"/>
      <c r="LSO14" s="55"/>
      <c r="LSP14" s="55"/>
      <c r="LSQ14" s="55"/>
      <c r="LSR14" s="55"/>
      <c r="LSS14" s="55"/>
      <c r="LST14" s="55"/>
      <c r="LSU14" s="55"/>
      <c r="LSV14" s="55"/>
      <c r="LSW14" s="55"/>
      <c r="LSX14" s="55"/>
      <c r="LSY14" s="55"/>
      <c r="LSZ14" s="55"/>
      <c r="LTA14" s="55"/>
      <c r="LTB14" s="55"/>
      <c r="LTC14" s="55"/>
      <c r="LTD14" s="55"/>
      <c r="LTE14" s="55"/>
      <c r="LTF14" s="55"/>
      <c r="LTG14" s="55"/>
      <c r="LTH14" s="55"/>
      <c r="LTI14" s="55"/>
      <c r="LTJ14" s="55"/>
      <c r="LTK14" s="55"/>
      <c r="LTL14" s="55"/>
      <c r="LTM14" s="55"/>
      <c r="LTN14" s="55"/>
      <c r="LTO14" s="55"/>
      <c r="LTP14" s="55"/>
      <c r="LTQ14" s="55"/>
      <c r="LTR14" s="55"/>
      <c r="LTS14" s="55"/>
      <c r="LTT14" s="55"/>
      <c r="LTU14" s="55"/>
      <c r="LTV14" s="55"/>
      <c r="LTW14" s="55"/>
      <c r="LTX14" s="55"/>
      <c r="LTY14" s="55"/>
      <c r="LTZ14" s="55"/>
      <c r="LUA14" s="55"/>
      <c r="LUB14" s="55"/>
      <c r="LUC14" s="55"/>
      <c r="LUD14" s="55"/>
      <c r="LUE14" s="55"/>
      <c r="LUF14" s="55"/>
      <c r="LUG14" s="55"/>
      <c r="LUH14" s="55"/>
      <c r="LUI14" s="55"/>
      <c r="LUJ14" s="55"/>
      <c r="LUK14" s="55"/>
      <c r="LUL14" s="55"/>
      <c r="LUM14" s="55"/>
      <c r="LUN14" s="55"/>
      <c r="LUO14" s="55"/>
      <c r="LUP14" s="55"/>
      <c r="LUQ14" s="55"/>
      <c r="LUR14" s="55"/>
      <c r="LUS14" s="55"/>
      <c r="LUT14" s="55"/>
      <c r="LUU14" s="55"/>
      <c r="LUV14" s="55"/>
      <c r="LUW14" s="55"/>
      <c r="LUX14" s="55"/>
      <c r="LUY14" s="55"/>
      <c r="LUZ14" s="55"/>
      <c r="LVA14" s="55"/>
      <c r="LVB14" s="55"/>
      <c r="LVC14" s="55"/>
      <c r="LVD14" s="55"/>
      <c r="LVE14" s="55"/>
      <c r="LVF14" s="55"/>
      <c r="LVG14" s="55"/>
      <c r="LVH14" s="55"/>
      <c r="LVI14" s="55"/>
      <c r="LVJ14" s="55"/>
      <c r="LVK14" s="55"/>
      <c r="LVL14" s="55"/>
      <c r="LVM14" s="55"/>
      <c r="LVN14" s="55"/>
      <c r="LVO14" s="55"/>
      <c r="LVP14" s="55"/>
      <c r="LVQ14" s="55"/>
      <c r="LVR14" s="55"/>
      <c r="LVS14" s="55"/>
      <c r="LVT14" s="55"/>
      <c r="LVU14" s="55"/>
      <c r="LVV14" s="55"/>
      <c r="LVW14" s="55"/>
      <c r="LVX14" s="55"/>
      <c r="LVY14" s="55"/>
      <c r="LVZ14" s="55"/>
      <c r="LWA14" s="55"/>
      <c r="LWB14" s="55"/>
      <c r="LWC14" s="55"/>
      <c r="LWD14" s="55"/>
      <c r="LWE14" s="55"/>
      <c r="LWF14" s="55"/>
      <c r="LWG14" s="55"/>
      <c r="LWH14" s="55"/>
      <c r="LWI14" s="55"/>
      <c r="LWJ14" s="55"/>
      <c r="LWK14" s="55"/>
      <c r="LWL14" s="55"/>
      <c r="LWM14" s="55"/>
      <c r="LWN14" s="55"/>
      <c r="LWO14" s="55"/>
      <c r="LWP14" s="55"/>
      <c r="LWQ14" s="55"/>
      <c r="LWR14" s="55"/>
      <c r="LWS14" s="55"/>
      <c r="LWT14" s="55"/>
      <c r="LWU14" s="55"/>
      <c r="LWV14" s="55"/>
      <c r="LWW14" s="55"/>
      <c r="LWX14" s="55"/>
      <c r="LWY14" s="55"/>
      <c r="LWZ14" s="55"/>
      <c r="LXA14" s="55"/>
      <c r="LXB14" s="55"/>
      <c r="LXC14" s="55"/>
      <c r="LXD14" s="55"/>
      <c r="LXE14" s="55"/>
      <c r="LXF14" s="55"/>
      <c r="LXG14" s="55"/>
      <c r="LXH14" s="55"/>
      <c r="LXI14" s="55"/>
      <c r="LXJ14" s="55"/>
      <c r="LXK14" s="55"/>
      <c r="LXL14" s="55"/>
      <c r="LXM14" s="55"/>
      <c r="LXN14" s="55"/>
      <c r="LXO14" s="55"/>
      <c r="LXP14" s="55"/>
      <c r="LXQ14" s="55"/>
      <c r="LXR14" s="55"/>
      <c r="LXS14" s="55"/>
      <c r="LXT14" s="55"/>
      <c r="LXU14" s="55"/>
      <c r="LXV14" s="55"/>
      <c r="LXW14" s="55"/>
      <c r="LXX14" s="55"/>
      <c r="LXY14" s="55"/>
      <c r="LXZ14" s="55"/>
      <c r="LYA14" s="55"/>
      <c r="LYB14" s="55"/>
      <c r="LYC14" s="55"/>
      <c r="LYD14" s="55"/>
      <c r="LYE14" s="55"/>
      <c r="LYF14" s="55"/>
      <c r="LYG14" s="55"/>
      <c r="LYH14" s="55"/>
      <c r="LYI14" s="55"/>
      <c r="LYJ14" s="55"/>
      <c r="LYK14" s="55"/>
      <c r="LYL14" s="55"/>
      <c r="LYM14" s="55"/>
      <c r="LYN14" s="55"/>
      <c r="LYO14" s="55"/>
      <c r="LYP14" s="55"/>
      <c r="LYQ14" s="55"/>
      <c r="LYR14" s="55"/>
      <c r="LYS14" s="55"/>
      <c r="LYT14" s="55"/>
      <c r="LYU14" s="55"/>
      <c r="LYV14" s="55"/>
      <c r="LYW14" s="55"/>
      <c r="LYX14" s="55"/>
      <c r="LYY14" s="55"/>
      <c r="LYZ14" s="55"/>
      <c r="LZA14" s="55"/>
      <c r="LZB14" s="55"/>
      <c r="LZC14" s="55"/>
      <c r="LZD14" s="55"/>
      <c r="LZE14" s="55"/>
      <c r="LZF14" s="55"/>
      <c r="LZG14" s="55"/>
      <c r="LZH14" s="55"/>
      <c r="LZI14" s="55"/>
      <c r="LZJ14" s="55"/>
      <c r="LZK14" s="55"/>
      <c r="LZL14" s="55"/>
      <c r="LZM14" s="55"/>
      <c r="LZN14" s="55"/>
      <c r="LZO14" s="55"/>
      <c r="LZP14" s="55"/>
      <c r="LZQ14" s="55"/>
      <c r="LZR14" s="55"/>
      <c r="LZS14" s="55"/>
      <c r="LZT14" s="55"/>
      <c r="LZU14" s="55"/>
      <c r="LZV14" s="55"/>
      <c r="LZW14" s="55"/>
      <c r="LZX14" s="55"/>
      <c r="LZY14" s="55"/>
      <c r="LZZ14" s="55"/>
      <c r="MAA14" s="55"/>
      <c r="MAB14" s="55"/>
      <c r="MAC14" s="55"/>
      <c r="MAD14" s="55"/>
      <c r="MAE14" s="55"/>
      <c r="MAF14" s="55"/>
      <c r="MAG14" s="55"/>
      <c r="MAH14" s="55"/>
      <c r="MAI14" s="55"/>
      <c r="MAJ14" s="55"/>
      <c r="MAK14" s="55"/>
      <c r="MAL14" s="55"/>
      <c r="MAM14" s="55"/>
      <c r="MAN14" s="55"/>
      <c r="MAO14" s="55"/>
      <c r="MAP14" s="55"/>
      <c r="MAQ14" s="55"/>
      <c r="MAR14" s="55"/>
      <c r="MAS14" s="55"/>
      <c r="MAT14" s="55"/>
      <c r="MAU14" s="55"/>
      <c r="MAV14" s="55"/>
      <c r="MAW14" s="55"/>
      <c r="MAX14" s="55"/>
      <c r="MAY14" s="55"/>
      <c r="MAZ14" s="55"/>
      <c r="MBA14" s="55"/>
      <c r="MBB14" s="55"/>
      <c r="MBC14" s="55"/>
      <c r="MBD14" s="55"/>
      <c r="MBE14" s="55"/>
      <c r="MBF14" s="55"/>
      <c r="MBG14" s="55"/>
      <c r="MBH14" s="55"/>
      <c r="MBI14" s="55"/>
      <c r="MBJ14" s="55"/>
      <c r="MBK14" s="55"/>
      <c r="MBL14" s="55"/>
      <c r="MBM14" s="55"/>
      <c r="MBN14" s="55"/>
      <c r="MBO14" s="55"/>
      <c r="MBP14" s="55"/>
      <c r="MBQ14" s="55"/>
      <c r="MBR14" s="55"/>
      <c r="MBS14" s="55"/>
      <c r="MBT14" s="55"/>
      <c r="MBU14" s="55"/>
      <c r="MBV14" s="55"/>
      <c r="MBW14" s="55"/>
      <c r="MBX14" s="55"/>
      <c r="MBY14" s="55"/>
      <c r="MBZ14" s="55"/>
      <c r="MCA14" s="55"/>
      <c r="MCB14" s="55"/>
      <c r="MCC14" s="55"/>
      <c r="MCD14" s="55"/>
      <c r="MCE14" s="55"/>
      <c r="MCF14" s="55"/>
      <c r="MCG14" s="55"/>
      <c r="MCH14" s="55"/>
      <c r="MCI14" s="55"/>
      <c r="MCJ14" s="55"/>
      <c r="MCK14" s="55"/>
      <c r="MCL14" s="55"/>
      <c r="MCM14" s="55"/>
      <c r="MCN14" s="55"/>
      <c r="MCO14" s="55"/>
      <c r="MCP14" s="55"/>
      <c r="MCQ14" s="55"/>
      <c r="MCR14" s="55"/>
      <c r="MCS14" s="55"/>
      <c r="MCT14" s="55"/>
      <c r="MCU14" s="55"/>
      <c r="MCV14" s="55"/>
      <c r="MCW14" s="55"/>
      <c r="MCX14" s="55"/>
      <c r="MCY14" s="55"/>
      <c r="MCZ14" s="55"/>
      <c r="MDA14" s="55"/>
      <c r="MDB14" s="55"/>
      <c r="MDC14" s="55"/>
      <c r="MDD14" s="55"/>
      <c r="MDE14" s="55"/>
      <c r="MDF14" s="55"/>
      <c r="MDG14" s="55"/>
      <c r="MDH14" s="55"/>
      <c r="MDI14" s="55"/>
      <c r="MDJ14" s="55"/>
      <c r="MDK14" s="55"/>
      <c r="MDL14" s="55"/>
      <c r="MDM14" s="55"/>
      <c r="MDN14" s="55"/>
      <c r="MDO14" s="55"/>
      <c r="MDP14" s="55"/>
      <c r="MDQ14" s="55"/>
      <c r="MDR14" s="55"/>
      <c r="MDS14" s="55"/>
      <c r="MDT14" s="55"/>
      <c r="MDU14" s="55"/>
      <c r="MDV14" s="55"/>
      <c r="MDW14" s="55"/>
      <c r="MDX14" s="55"/>
      <c r="MDY14" s="55"/>
      <c r="MDZ14" s="55"/>
      <c r="MEA14" s="55"/>
      <c r="MEB14" s="55"/>
      <c r="MEC14" s="55"/>
      <c r="MED14" s="55"/>
      <c r="MEE14" s="55"/>
      <c r="MEF14" s="55"/>
      <c r="MEG14" s="55"/>
      <c r="MEH14" s="55"/>
      <c r="MEI14" s="55"/>
      <c r="MEJ14" s="55"/>
      <c r="MEK14" s="55"/>
      <c r="MEL14" s="55"/>
      <c r="MEM14" s="55"/>
      <c r="MEN14" s="55"/>
      <c r="MEO14" s="55"/>
      <c r="MEP14" s="55"/>
      <c r="MEQ14" s="55"/>
      <c r="MER14" s="55"/>
      <c r="MES14" s="55"/>
      <c r="MET14" s="55"/>
      <c r="MEU14" s="55"/>
      <c r="MEV14" s="55"/>
      <c r="MEW14" s="55"/>
      <c r="MEX14" s="55"/>
      <c r="MEY14" s="55"/>
      <c r="MEZ14" s="55"/>
      <c r="MFA14" s="55"/>
      <c r="MFB14" s="55"/>
      <c r="MFC14" s="55"/>
      <c r="MFD14" s="55"/>
      <c r="MFE14" s="55"/>
      <c r="MFF14" s="55"/>
      <c r="MFG14" s="55"/>
      <c r="MFH14" s="55"/>
      <c r="MFI14" s="55"/>
      <c r="MFJ14" s="55"/>
      <c r="MFK14" s="55"/>
      <c r="MFL14" s="55"/>
      <c r="MFM14" s="55"/>
      <c r="MFN14" s="55"/>
      <c r="MFO14" s="55"/>
      <c r="MFP14" s="55"/>
      <c r="MFQ14" s="55"/>
      <c r="MFR14" s="55"/>
      <c r="MFS14" s="55"/>
      <c r="MFT14" s="55"/>
      <c r="MFU14" s="55"/>
      <c r="MFV14" s="55"/>
      <c r="MFW14" s="55"/>
      <c r="MFX14" s="55"/>
      <c r="MFY14" s="55"/>
      <c r="MFZ14" s="55"/>
      <c r="MGA14" s="55"/>
      <c r="MGB14" s="55"/>
      <c r="MGC14" s="55"/>
      <c r="MGD14" s="55"/>
      <c r="MGE14" s="55"/>
      <c r="MGF14" s="55"/>
      <c r="MGG14" s="55"/>
      <c r="MGH14" s="55"/>
      <c r="MGI14" s="55"/>
      <c r="MGJ14" s="55"/>
      <c r="MGK14" s="55"/>
      <c r="MGL14" s="55"/>
      <c r="MGM14" s="55"/>
      <c r="MGN14" s="55"/>
      <c r="MGO14" s="55"/>
      <c r="MGP14" s="55"/>
      <c r="MGQ14" s="55"/>
      <c r="MGR14" s="55"/>
      <c r="MGS14" s="55"/>
      <c r="MGT14" s="55"/>
      <c r="MGU14" s="55"/>
      <c r="MGV14" s="55"/>
      <c r="MGW14" s="55"/>
      <c r="MGX14" s="55"/>
      <c r="MGY14" s="55"/>
      <c r="MGZ14" s="55"/>
      <c r="MHA14" s="55"/>
      <c r="MHB14" s="55"/>
      <c r="MHC14" s="55"/>
      <c r="MHD14" s="55"/>
      <c r="MHE14" s="55"/>
      <c r="MHF14" s="55"/>
      <c r="MHG14" s="55"/>
      <c r="MHH14" s="55"/>
      <c r="MHI14" s="55"/>
      <c r="MHJ14" s="55"/>
      <c r="MHK14" s="55"/>
      <c r="MHL14" s="55"/>
      <c r="MHM14" s="55"/>
      <c r="MHN14" s="55"/>
      <c r="MHO14" s="55"/>
      <c r="MHP14" s="55"/>
      <c r="MHQ14" s="55"/>
      <c r="MHR14" s="55"/>
      <c r="MHS14" s="55"/>
      <c r="MHT14" s="55"/>
      <c r="MHU14" s="55"/>
      <c r="MHV14" s="55"/>
      <c r="MHW14" s="55"/>
      <c r="MHX14" s="55"/>
      <c r="MHY14" s="55"/>
      <c r="MHZ14" s="55"/>
      <c r="MIA14" s="55"/>
      <c r="MIB14" s="55"/>
      <c r="MIC14" s="55"/>
      <c r="MID14" s="55"/>
      <c r="MIE14" s="55"/>
      <c r="MIF14" s="55"/>
      <c r="MIG14" s="55"/>
      <c r="MIH14" s="55"/>
      <c r="MII14" s="55"/>
      <c r="MIJ14" s="55"/>
      <c r="MIK14" s="55"/>
      <c r="MIL14" s="55"/>
      <c r="MIM14" s="55"/>
      <c r="MIN14" s="55"/>
      <c r="MIO14" s="55"/>
      <c r="MIP14" s="55"/>
      <c r="MIQ14" s="55"/>
      <c r="MIR14" s="55"/>
      <c r="MIS14" s="55"/>
      <c r="MIT14" s="55"/>
      <c r="MIU14" s="55"/>
      <c r="MIV14" s="55"/>
      <c r="MIW14" s="55"/>
      <c r="MIX14" s="55"/>
      <c r="MIY14" s="55"/>
      <c r="MIZ14" s="55"/>
      <c r="MJA14" s="55"/>
      <c r="MJB14" s="55"/>
      <c r="MJC14" s="55"/>
      <c r="MJD14" s="55"/>
      <c r="MJE14" s="55"/>
      <c r="MJF14" s="55"/>
      <c r="MJG14" s="55"/>
      <c r="MJH14" s="55"/>
      <c r="MJI14" s="55"/>
      <c r="MJJ14" s="55"/>
      <c r="MJK14" s="55"/>
      <c r="MJL14" s="55"/>
      <c r="MJM14" s="55"/>
      <c r="MJN14" s="55"/>
      <c r="MJO14" s="55"/>
      <c r="MJP14" s="55"/>
      <c r="MJQ14" s="55"/>
      <c r="MJR14" s="55"/>
      <c r="MJS14" s="55"/>
      <c r="MJT14" s="55"/>
      <c r="MJU14" s="55"/>
      <c r="MJV14" s="55"/>
      <c r="MJW14" s="55"/>
      <c r="MJX14" s="55"/>
      <c r="MJY14" s="55"/>
      <c r="MJZ14" s="55"/>
      <c r="MKA14" s="55"/>
      <c r="MKB14" s="55"/>
      <c r="MKC14" s="55"/>
      <c r="MKD14" s="55"/>
      <c r="MKE14" s="55"/>
      <c r="MKF14" s="55"/>
      <c r="MKG14" s="55"/>
      <c r="MKH14" s="55"/>
      <c r="MKI14" s="55"/>
      <c r="MKJ14" s="55"/>
      <c r="MKK14" s="55"/>
      <c r="MKL14" s="55"/>
      <c r="MKM14" s="55"/>
      <c r="MKN14" s="55"/>
      <c r="MKO14" s="55"/>
      <c r="MKP14" s="55"/>
      <c r="MKQ14" s="55"/>
      <c r="MKR14" s="55"/>
      <c r="MKS14" s="55"/>
      <c r="MKT14" s="55"/>
      <c r="MKU14" s="55"/>
      <c r="MKV14" s="55"/>
      <c r="MKW14" s="55"/>
      <c r="MKX14" s="55"/>
      <c r="MKY14" s="55"/>
      <c r="MKZ14" s="55"/>
      <c r="MLA14" s="55"/>
      <c r="MLB14" s="55"/>
      <c r="MLC14" s="55"/>
      <c r="MLD14" s="55"/>
      <c r="MLE14" s="55"/>
      <c r="MLF14" s="55"/>
      <c r="MLG14" s="55"/>
      <c r="MLH14" s="55"/>
      <c r="MLI14" s="55"/>
      <c r="MLJ14" s="55"/>
      <c r="MLK14" s="55"/>
      <c r="MLL14" s="55"/>
      <c r="MLM14" s="55"/>
      <c r="MLN14" s="55"/>
      <c r="MLO14" s="55"/>
      <c r="MLP14" s="55"/>
      <c r="MLQ14" s="55"/>
      <c r="MLR14" s="55"/>
      <c r="MLS14" s="55"/>
      <c r="MLT14" s="55"/>
      <c r="MLU14" s="55"/>
      <c r="MLV14" s="55"/>
      <c r="MLW14" s="55"/>
      <c r="MLX14" s="55"/>
      <c r="MLY14" s="55"/>
      <c r="MLZ14" s="55"/>
      <c r="MMA14" s="55"/>
      <c r="MMB14" s="55"/>
      <c r="MMC14" s="55"/>
      <c r="MMD14" s="55"/>
      <c r="MME14" s="55"/>
      <c r="MMF14" s="55"/>
      <c r="MMG14" s="55"/>
      <c r="MMH14" s="55"/>
      <c r="MMI14" s="55"/>
      <c r="MMJ14" s="55"/>
      <c r="MMK14" s="55"/>
      <c r="MML14" s="55"/>
      <c r="MMM14" s="55"/>
      <c r="MMN14" s="55"/>
      <c r="MMO14" s="55"/>
      <c r="MMP14" s="55"/>
      <c r="MMQ14" s="55"/>
      <c r="MMR14" s="55"/>
      <c r="MMS14" s="55"/>
      <c r="MMT14" s="55"/>
      <c r="MMU14" s="55"/>
      <c r="MMV14" s="55"/>
      <c r="MMW14" s="55"/>
      <c r="MMX14" s="55"/>
      <c r="MMY14" s="55"/>
      <c r="MMZ14" s="55"/>
      <c r="MNA14" s="55"/>
      <c r="MNB14" s="55"/>
      <c r="MNC14" s="55"/>
      <c r="MND14" s="55"/>
      <c r="MNE14" s="55"/>
      <c r="MNF14" s="55"/>
      <c r="MNG14" s="55"/>
      <c r="MNH14" s="55"/>
      <c r="MNI14" s="55"/>
      <c r="MNJ14" s="55"/>
      <c r="MNK14" s="55"/>
      <c r="MNL14" s="55"/>
      <c r="MNM14" s="55"/>
      <c r="MNN14" s="55"/>
      <c r="MNO14" s="55"/>
      <c r="MNP14" s="55"/>
      <c r="MNQ14" s="55"/>
      <c r="MNR14" s="55"/>
      <c r="MNS14" s="55"/>
      <c r="MNT14" s="55"/>
      <c r="MNU14" s="55"/>
      <c r="MNV14" s="55"/>
      <c r="MNW14" s="55"/>
      <c r="MNX14" s="55"/>
      <c r="MNY14" s="55"/>
      <c r="MNZ14" s="55"/>
      <c r="MOA14" s="55"/>
      <c r="MOB14" s="55"/>
      <c r="MOC14" s="55"/>
      <c r="MOD14" s="55"/>
      <c r="MOE14" s="55"/>
      <c r="MOF14" s="55"/>
      <c r="MOG14" s="55"/>
      <c r="MOH14" s="55"/>
      <c r="MOI14" s="55"/>
      <c r="MOJ14" s="55"/>
      <c r="MOK14" s="55"/>
      <c r="MOL14" s="55"/>
      <c r="MOM14" s="55"/>
      <c r="MON14" s="55"/>
      <c r="MOO14" s="55"/>
      <c r="MOP14" s="55"/>
      <c r="MOQ14" s="55"/>
      <c r="MOR14" s="55"/>
      <c r="MOS14" s="55"/>
      <c r="MOT14" s="55"/>
      <c r="MOU14" s="55"/>
      <c r="MOV14" s="55"/>
      <c r="MOW14" s="55"/>
      <c r="MOX14" s="55"/>
      <c r="MOY14" s="55"/>
      <c r="MOZ14" s="55"/>
      <c r="MPA14" s="55"/>
      <c r="MPB14" s="55"/>
      <c r="MPC14" s="55"/>
      <c r="MPD14" s="55"/>
      <c r="MPE14" s="55"/>
      <c r="MPF14" s="55"/>
      <c r="MPG14" s="55"/>
      <c r="MPH14" s="55"/>
      <c r="MPI14" s="55"/>
      <c r="MPJ14" s="55"/>
      <c r="MPK14" s="55"/>
      <c r="MPL14" s="55"/>
      <c r="MPM14" s="55"/>
      <c r="MPN14" s="55"/>
      <c r="MPO14" s="55"/>
      <c r="MPP14" s="55"/>
      <c r="MPQ14" s="55"/>
      <c r="MPR14" s="55"/>
      <c r="MPS14" s="55"/>
      <c r="MPT14" s="55"/>
      <c r="MPU14" s="55"/>
      <c r="MPV14" s="55"/>
      <c r="MPW14" s="55"/>
      <c r="MPX14" s="55"/>
      <c r="MPY14" s="55"/>
      <c r="MPZ14" s="55"/>
      <c r="MQA14" s="55"/>
      <c r="MQB14" s="55"/>
      <c r="MQC14" s="55"/>
      <c r="MQD14" s="55"/>
      <c r="MQE14" s="55"/>
      <c r="MQF14" s="55"/>
      <c r="MQG14" s="55"/>
      <c r="MQH14" s="55"/>
      <c r="MQI14" s="55"/>
      <c r="MQJ14" s="55"/>
      <c r="MQK14" s="55"/>
      <c r="MQL14" s="55"/>
      <c r="MQM14" s="55"/>
      <c r="MQN14" s="55"/>
      <c r="MQO14" s="55"/>
      <c r="MQP14" s="55"/>
      <c r="MQQ14" s="55"/>
      <c r="MQR14" s="55"/>
      <c r="MQS14" s="55"/>
      <c r="MQT14" s="55"/>
      <c r="MQU14" s="55"/>
      <c r="MQV14" s="55"/>
      <c r="MQW14" s="55"/>
      <c r="MQX14" s="55"/>
      <c r="MQY14" s="55"/>
      <c r="MQZ14" s="55"/>
      <c r="MRA14" s="55"/>
      <c r="MRB14" s="55"/>
      <c r="MRC14" s="55"/>
      <c r="MRD14" s="55"/>
      <c r="MRE14" s="55"/>
      <c r="MRF14" s="55"/>
      <c r="MRG14" s="55"/>
      <c r="MRH14" s="55"/>
      <c r="MRI14" s="55"/>
      <c r="MRJ14" s="55"/>
      <c r="MRK14" s="55"/>
      <c r="MRL14" s="55"/>
      <c r="MRM14" s="55"/>
      <c r="MRN14" s="55"/>
      <c r="MRO14" s="55"/>
      <c r="MRP14" s="55"/>
      <c r="MRQ14" s="55"/>
      <c r="MRR14" s="55"/>
      <c r="MRS14" s="55"/>
      <c r="MRT14" s="55"/>
      <c r="MRU14" s="55"/>
      <c r="MRV14" s="55"/>
      <c r="MRW14" s="55"/>
      <c r="MRX14" s="55"/>
      <c r="MRY14" s="55"/>
      <c r="MRZ14" s="55"/>
      <c r="MSA14" s="55"/>
      <c r="MSB14" s="55"/>
      <c r="MSC14" s="55"/>
      <c r="MSD14" s="55"/>
      <c r="MSE14" s="55"/>
      <c r="MSF14" s="55"/>
      <c r="MSG14" s="55"/>
      <c r="MSH14" s="55"/>
      <c r="MSI14" s="55"/>
      <c r="MSJ14" s="55"/>
      <c r="MSK14" s="55"/>
      <c r="MSL14" s="55"/>
      <c r="MSM14" s="55"/>
      <c r="MSN14" s="55"/>
      <c r="MSO14" s="55"/>
      <c r="MSP14" s="55"/>
      <c r="MSQ14" s="55"/>
      <c r="MSR14" s="55"/>
      <c r="MSS14" s="55"/>
      <c r="MST14" s="55"/>
      <c r="MSU14" s="55"/>
      <c r="MSV14" s="55"/>
      <c r="MSW14" s="55"/>
      <c r="MSX14" s="55"/>
      <c r="MSY14" s="55"/>
      <c r="MSZ14" s="55"/>
      <c r="MTA14" s="55"/>
      <c r="MTB14" s="55"/>
      <c r="MTC14" s="55"/>
      <c r="MTD14" s="55"/>
      <c r="MTE14" s="55"/>
      <c r="MTF14" s="55"/>
      <c r="MTG14" s="55"/>
      <c r="MTH14" s="55"/>
      <c r="MTI14" s="55"/>
      <c r="MTJ14" s="55"/>
      <c r="MTK14" s="55"/>
      <c r="MTL14" s="55"/>
      <c r="MTM14" s="55"/>
      <c r="MTN14" s="55"/>
      <c r="MTO14" s="55"/>
      <c r="MTP14" s="55"/>
      <c r="MTQ14" s="55"/>
      <c r="MTR14" s="55"/>
      <c r="MTS14" s="55"/>
      <c r="MTT14" s="55"/>
      <c r="MTU14" s="55"/>
      <c r="MTV14" s="55"/>
      <c r="MTW14" s="55"/>
      <c r="MTX14" s="55"/>
      <c r="MTY14" s="55"/>
      <c r="MTZ14" s="55"/>
      <c r="MUA14" s="55"/>
      <c r="MUB14" s="55"/>
      <c r="MUC14" s="55"/>
      <c r="MUD14" s="55"/>
      <c r="MUE14" s="55"/>
      <c r="MUF14" s="55"/>
      <c r="MUG14" s="55"/>
      <c r="MUH14" s="55"/>
      <c r="MUI14" s="55"/>
      <c r="MUJ14" s="55"/>
      <c r="MUK14" s="55"/>
      <c r="MUL14" s="55"/>
      <c r="MUM14" s="55"/>
      <c r="MUN14" s="55"/>
      <c r="MUO14" s="55"/>
      <c r="MUP14" s="55"/>
      <c r="MUQ14" s="55"/>
      <c r="MUR14" s="55"/>
      <c r="MUS14" s="55"/>
      <c r="MUT14" s="55"/>
      <c r="MUU14" s="55"/>
      <c r="MUV14" s="55"/>
      <c r="MUW14" s="55"/>
      <c r="MUX14" s="55"/>
      <c r="MUY14" s="55"/>
      <c r="MUZ14" s="55"/>
      <c r="MVA14" s="55"/>
      <c r="MVB14" s="55"/>
      <c r="MVC14" s="55"/>
      <c r="MVD14" s="55"/>
      <c r="MVE14" s="55"/>
      <c r="MVF14" s="55"/>
      <c r="MVG14" s="55"/>
      <c r="MVH14" s="55"/>
      <c r="MVI14" s="55"/>
      <c r="MVJ14" s="55"/>
      <c r="MVK14" s="55"/>
      <c r="MVL14" s="55"/>
      <c r="MVM14" s="55"/>
      <c r="MVN14" s="55"/>
      <c r="MVO14" s="55"/>
      <c r="MVP14" s="55"/>
      <c r="MVQ14" s="55"/>
      <c r="MVR14" s="55"/>
      <c r="MVS14" s="55"/>
      <c r="MVT14" s="55"/>
      <c r="MVU14" s="55"/>
      <c r="MVV14" s="55"/>
      <c r="MVW14" s="55"/>
      <c r="MVX14" s="55"/>
      <c r="MVY14" s="55"/>
      <c r="MVZ14" s="55"/>
      <c r="MWA14" s="55"/>
      <c r="MWB14" s="55"/>
      <c r="MWC14" s="55"/>
      <c r="MWD14" s="55"/>
      <c r="MWE14" s="55"/>
      <c r="MWF14" s="55"/>
      <c r="MWG14" s="55"/>
      <c r="MWH14" s="55"/>
      <c r="MWI14" s="55"/>
      <c r="MWJ14" s="55"/>
      <c r="MWK14" s="55"/>
      <c r="MWL14" s="55"/>
      <c r="MWM14" s="55"/>
      <c r="MWN14" s="55"/>
      <c r="MWO14" s="55"/>
      <c r="MWP14" s="55"/>
      <c r="MWQ14" s="55"/>
      <c r="MWR14" s="55"/>
      <c r="MWS14" s="55"/>
      <c r="MWT14" s="55"/>
      <c r="MWU14" s="55"/>
      <c r="MWV14" s="55"/>
      <c r="MWW14" s="55"/>
      <c r="MWX14" s="55"/>
      <c r="MWY14" s="55"/>
      <c r="MWZ14" s="55"/>
      <c r="MXA14" s="55"/>
      <c r="MXB14" s="55"/>
      <c r="MXC14" s="55"/>
      <c r="MXD14" s="55"/>
      <c r="MXE14" s="55"/>
      <c r="MXF14" s="55"/>
      <c r="MXG14" s="55"/>
      <c r="MXH14" s="55"/>
      <c r="MXI14" s="55"/>
      <c r="MXJ14" s="55"/>
      <c r="MXK14" s="55"/>
      <c r="MXL14" s="55"/>
      <c r="MXM14" s="55"/>
      <c r="MXN14" s="55"/>
      <c r="MXO14" s="55"/>
      <c r="MXP14" s="55"/>
      <c r="MXQ14" s="55"/>
      <c r="MXR14" s="55"/>
      <c r="MXS14" s="55"/>
      <c r="MXT14" s="55"/>
      <c r="MXU14" s="55"/>
      <c r="MXV14" s="55"/>
      <c r="MXW14" s="55"/>
      <c r="MXX14" s="55"/>
      <c r="MXY14" s="55"/>
      <c r="MXZ14" s="55"/>
      <c r="MYA14" s="55"/>
      <c r="MYB14" s="55"/>
      <c r="MYC14" s="55"/>
      <c r="MYD14" s="55"/>
      <c r="MYE14" s="55"/>
      <c r="MYF14" s="55"/>
      <c r="MYG14" s="55"/>
      <c r="MYH14" s="55"/>
      <c r="MYI14" s="55"/>
      <c r="MYJ14" s="55"/>
      <c r="MYK14" s="55"/>
      <c r="MYL14" s="55"/>
      <c r="MYM14" s="55"/>
      <c r="MYN14" s="55"/>
      <c r="MYO14" s="55"/>
      <c r="MYP14" s="55"/>
      <c r="MYQ14" s="55"/>
      <c r="MYR14" s="55"/>
      <c r="MYS14" s="55"/>
      <c r="MYT14" s="55"/>
      <c r="MYU14" s="55"/>
      <c r="MYV14" s="55"/>
      <c r="MYW14" s="55"/>
      <c r="MYX14" s="55"/>
      <c r="MYY14" s="55"/>
      <c r="MYZ14" s="55"/>
      <c r="MZA14" s="55"/>
      <c r="MZB14" s="55"/>
      <c r="MZC14" s="55"/>
      <c r="MZD14" s="55"/>
      <c r="MZE14" s="55"/>
      <c r="MZF14" s="55"/>
      <c r="MZG14" s="55"/>
      <c r="MZH14" s="55"/>
      <c r="MZI14" s="55"/>
      <c r="MZJ14" s="55"/>
      <c r="MZK14" s="55"/>
      <c r="MZL14" s="55"/>
      <c r="MZM14" s="55"/>
      <c r="MZN14" s="55"/>
      <c r="MZO14" s="55"/>
      <c r="MZP14" s="55"/>
      <c r="MZQ14" s="55"/>
      <c r="MZR14" s="55"/>
      <c r="MZS14" s="55"/>
      <c r="MZT14" s="55"/>
      <c r="MZU14" s="55"/>
      <c r="MZV14" s="55"/>
      <c r="MZW14" s="55"/>
      <c r="MZX14" s="55"/>
      <c r="MZY14" s="55"/>
      <c r="MZZ14" s="55"/>
      <c r="NAA14" s="55"/>
      <c r="NAB14" s="55"/>
      <c r="NAC14" s="55"/>
      <c r="NAD14" s="55"/>
      <c r="NAE14" s="55"/>
      <c r="NAF14" s="55"/>
      <c r="NAG14" s="55"/>
      <c r="NAH14" s="55"/>
      <c r="NAI14" s="55"/>
      <c r="NAJ14" s="55"/>
      <c r="NAK14" s="55"/>
      <c r="NAL14" s="55"/>
      <c r="NAM14" s="55"/>
      <c r="NAN14" s="55"/>
      <c r="NAO14" s="55"/>
      <c r="NAP14" s="55"/>
      <c r="NAQ14" s="55"/>
      <c r="NAR14" s="55"/>
      <c r="NAS14" s="55"/>
      <c r="NAT14" s="55"/>
      <c r="NAU14" s="55"/>
      <c r="NAV14" s="55"/>
      <c r="NAW14" s="55"/>
      <c r="NAX14" s="55"/>
      <c r="NAY14" s="55"/>
      <c r="NAZ14" s="55"/>
      <c r="NBA14" s="55"/>
      <c r="NBB14" s="55"/>
      <c r="NBC14" s="55"/>
      <c r="NBD14" s="55"/>
      <c r="NBE14" s="55"/>
      <c r="NBF14" s="55"/>
      <c r="NBG14" s="55"/>
      <c r="NBH14" s="55"/>
      <c r="NBI14" s="55"/>
      <c r="NBJ14" s="55"/>
      <c r="NBK14" s="55"/>
      <c r="NBL14" s="55"/>
      <c r="NBM14" s="55"/>
      <c r="NBN14" s="55"/>
      <c r="NBO14" s="55"/>
      <c r="NBP14" s="55"/>
      <c r="NBQ14" s="55"/>
      <c r="NBR14" s="55"/>
      <c r="NBS14" s="55"/>
      <c r="NBT14" s="55"/>
      <c r="NBU14" s="55"/>
      <c r="NBV14" s="55"/>
      <c r="NBW14" s="55"/>
      <c r="NBX14" s="55"/>
      <c r="NBY14" s="55"/>
      <c r="NBZ14" s="55"/>
      <c r="NCA14" s="55"/>
      <c r="NCB14" s="55"/>
      <c r="NCC14" s="55"/>
      <c r="NCD14" s="55"/>
      <c r="NCE14" s="55"/>
      <c r="NCF14" s="55"/>
      <c r="NCG14" s="55"/>
      <c r="NCH14" s="55"/>
      <c r="NCI14" s="55"/>
      <c r="NCJ14" s="55"/>
      <c r="NCK14" s="55"/>
      <c r="NCL14" s="55"/>
      <c r="NCM14" s="55"/>
      <c r="NCN14" s="55"/>
      <c r="NCO14" s="55"/>
      <c r="NCP14" s="55"/>
      <c r="NCQ14" s="55"/>
      <c r="NCR14" s="55"/>
      <c r="NCS14" s="55"/>
      <c r="NCT14" s="55"/>
      <c r="NCU14" s="55"/>
      <c r="NCV14" s="55"/>
      <c r="NCW14" s="55"/>
      <c r="NCX14" s="55"/>
      <c r="NCY14" s="55"/>
      <c r="NCZ14" s="55"/>
      <c r="NDA14" s="55"/>
      <c r="NDB14" s="55"/>
      <c r="NDC14" s="55"/>
      <c r="NDD14" s="55"/>
      <c r="NDE14" s="55"/>
      <c r="NDF14" s="55"/>
      <c r="NDG14" s="55"/>
      <c r="NDH14" s="55"/>
      <c r="NDI14" s="55"/>
      <c r="NDJ14" s="55"/>
      <c r="NDK14" s="55"/>
      <c r="NDL14" s="55"/>
      <c r="NDM14" s="55"/>
      <c r="NDN14" s="55"/>
      <c r="NDO14" s="55"/>
      <c r="NDP14" s="55"/>
      <c r="NDQ14" s="55"/>
      <c r="NDR14" s="55"/>
      <c r="NDS14" s="55"/>
      <c r="NDT14" s="55"/>
      <c r="NDU14" s="55"/>
      <c r="NDV14" s="55"/>
      <c r="NDW14" s="55"/>
      <c r="NDX14" s="55"/>
      <c r="NDY14" s="55"/>
      <c r="NDZ14" s="55"/>
      <c r="NEA14" s="55"/>
      <c r="NEB14" s="55"/>
      <c r="NEC14" s="55"/>
      <c r="NED14" s="55"/>
      <c r="NEE14" s="55"/>
      <c r="NEF14" s="55"/>
      <c r="NEG14" s="55"/>
      <c r="NEH14" s="55"/>
      <c r="NEI14" s="55"/>
      <c r="NEJ14" s="55"/>
      <c r="NEK14" s="55"/>
      <c r="NEL14" s="55"/>
      <c r="NEM14" s="55"/>
      <c r="NEN14" s="55"/>
      <c r="NEO14" s="55"/>
      <c r="NEP14" s="55"/>
      <c r="NEQ14" s="55"/>
      <c r="NER14" s="55"/>
      <c r="NES14" s="55"/>
      <c r="NET14" s="55"/>
      <c r="NEU14" s="55"/>
      <c r="NEV14" s="55"/>
      <c r="NEW14" s="55"/>
      <c r="NEX14" s="55"/>
      <c r="NEY14" s="55"/>
      <c r="NEZ14" s="55"/>
      <c r="NFA14" s="55"/>
      <c r="NFB14" s="55"/>
      <c r="NFC14" s="55"/>
      <c r="NFD14" s="55"/>
      <c r="NFE14" s="55"/>
      <c r="NFF14" s="55"/>
      <c r="NFG14" s="55"/>
      <c r="NFH14" s="55"/>
      <c r="NFI14" s="55"/>
      <c r="NFJ14" s="55"/>
      <c r="NFK14" s="55"/>
      <c r="NFL14" s="55"/>
      <c r="NFM14" s="55"/>
      <c r="NFN14" s="55"/>
      <c r="NFO14" s="55"/>
      <c r="NFP14" s="55"/>
      <c r="NFQ14" s="55"/>
      <c r="NFR14" s="55"/>
      <c r="NFS14" s="55"/>
      <c r="NFT14" s="55"/>
      <c r="NFU14" s="55"/>
      <c r="NFV14" s="55"/>
      <c r="NFW14" s="55"/>
      <c r="NFX14" s="55"/>
      <c r="NFY14" s="55"/>
      <c r="NFZ14" s="55"/>
      <c r="NGA14" s="55"/>
      <c r="NGB14" s="55"/>
      <c r="NGC14" s="55"/>
      <c r="NGD14" s="55"/>
      <c r="NGE14" s="55"/>
      <c r="NGF14" s="55"/>
      <c r="NGG14" s="55"/>
      <c r="NGH14" s="55"/>
      <c r="NGI14" s="55"/>
      <c r="NGJ14" s="55"/>
      <c r="NGK14" s="55"/>
      <c r="NGL14" s="55"/>
      <c r="NGM14" s="55"/>
      <c r="NGN14" s="55"/>
      <c r="NGO14" s="55"/>
      <c r="NGP14" s="55"/>
      <c r="NGQ14" s="55"/>
      <c r="NGR14" s="55"/>
      <c r="NGS14" s="55"/>
      <c r="NGT14" s="55"/>
      <c r="NGU14" s="55"/>
      <c r="NGV14" s="55"/>
      <c r="NGW14" s="55"/>
      <c r="NGX14" s="55"/>
      <c r="NGY14" s="55"/>
      <c r="NGZ14" s="55"/>
      <c r="NHA14" s="55"/>
      <c r="NHB14" s="55"/>
      <c r="NHC14" s="55"/>
      <c r="NHD14" s="55"/>
      <c r="NHE14" s="55"/>
      <c r="NHF14" s="55"/>
      <c r="NHG14" s="55"/>
      <c r="NHH14" s="55"/>
      <c r="NHI14" s="55"/>
      <c r="NHJ14" s="55"/>
      <c r="NHK14" s="55"/>
      <c r="NHL14" s="55"/>
      <c r="NHM14" s="55"/>
      <c r="NHN14" s="55"/>
      <c r="NHO14" s="55"/>
      <c r="NHP14" s="55"/>
      <c r="NHQ14" s="55"/>
      <c r="NHR14" s="55"/>
      <c r="NHS14" s="55"/>
      <c r="NHT14" s="55"/>
      <c r="NHU14" s="55"/>
      <c r="NHV14" s="55"/>
      <c r="NHW14" s="55"/>
      <c r="NHX14" s="55"/>
      <c r="NHY14" s="55"/>
      <c r="NHZ14" s="55"/>
      <c r="NIA14" s="55"/>
      <c r="NIB14" s="55"/>
      <c r="NIC14" s="55"/>
      <c r="NID14" s="55"/>
      <c r="NIE14" s="55"/>
      <c r="NIF14" s="55"/>
      <c r="NIG14" s="55"/>
      <c r="NIH14" s="55"/>
      <c r="NII14" s="55"/>
      <c r="NIJ14" s="55"/>
      <c r="NIK14" s="55"/>
      <c r="NIL14" s="55"/>
      <c r="NIM14" s="55"/>
      <c r="NIN14" s="55"/>
      <c r="NIO14" s="55"/>
      <c r="NIP14" s="55"/>
      <c r="NIQ14" s="55"/>
      <c r="NIR14" s="55"/>
      <c r="NIS14" s="55"/>
      <c r="NIT14" s="55"/>
      <c r="NIU14" s="55"/>
      <c r="NIV14" s="55"/>
      <c r="NIW14" s="55"/>
      <c r="NIX14" s="55"/>
      <c r="NIY14" s="55"/>
      <c r="NIZ14" s="55"/>
      <c r="NJA14" s="55"/>
      <c r="NJB14" s="55"/>
      <c r="NJC14" s="55"/>
      <c r="NJD14" s="55"/>
      <c r="NJE14" s="55"/>
      <c r="NJF14" s="55"/>
      <c r="NJG14" s="55"/>
      <c r="NJH14" s="55"/>
      <c r="NJI14" s="55"/>
      <c r="NJJ14" s="55"/>
      <c r="NJK14" s="55"/>
      <c r="NJL14" s="55"/>
      <c r="NJM14" s="55"/>
      <c r="NJN14" s="55"/>
      <c r="NJO14" s="55"/>
      <c r="NJP14" s="55"/>
      <c r="NJQ14" s="55"/>
      <c r="NJR14" s="55"/>
      <c r="NJS14" s="55"/>
      <c r="NJT14" s="55"/>
      <c r="NJU14" s="55"/>
      <c r="NJV14" s="55"/>
      <c r="NJW14" s="55"/>
      <c r="NJX14" s="55"/>
      <c r="NJY14" s="55"/>
      <c r="NJZ14" s="55"/>
      <c r="NKA14" s="55"/>
      <c r="NKB14" s="55"/>
      <c r="NKC14" s="55"/>
      <c r="NKD14" s="55"/>
      <c r="NKE14" s="55"/>
      <c r="NKF14" s="55"/>
      <c r="NKG14" s="55"/>
      <c r="NKH14" s="55"/>
      <c r="NKI14" s="55"/>
      <c r="NKJ14" s="55"/>
      <c r="NKK14" s="55"/>
      <c r="NKL14" s="55"/>
      <c r="NKM14" s="55"/>
      <c r="NKN14" s="55"/>
      <c r="NKO14" s="55"/>
      <c r="NKP14" s="55"/>
      <c r="NKQ14" s="55"/>
      <c r="NKR14" s="55"/>
      <c r="NKS14" s="55"/>
      <c r="NKT14" s="55"/>
      <c r="NKU14" s="55"/>
      <c r="NKV14" s="55"/>
      <c r="NKW14" s="55"/>
      <c r="NKX14" s="55"/>
      <c r="NKY14" s="55"/>
      <c r="NKZ14" s="55"/>
      <c r="NLA14" s="55"/>
      <c r="NLB14" s="55"/>
      <c r="NLC14" s="55"/>
      <c r="NLD14" s="55"/>
      <c r="NLE14" s="55"/>
      <c r="NLF14" s="55"/>
      <c r="NLG14" s="55"/>
      <c r="NLH14" s="55"/>
      <c r="NLI14" s="55"/>
      <c r="NLJ14" s="55"/>
      <c r="NLK14" s="55"/>
      <c r="NLL14" s="55"/>
      <c r="NLM14" s="55"/>
      <c r="NLN14" s="55"/>
      <c r="NLO14" s="55"/>
      <c r="NLP14" s="55"/>
      <c r="NLQ14" s="55"/>
      <c r="NLR14" s="55"/>
      <c r="NLS14" s="55"/>
      <c r="NLT14" s="55"/>
      <c r="NLU14" s="55"/>
      <c r="NLV14" s="55"/>
      <c r="NLW14" s="55"/>
      <c r="NLX14" s="55"/>
      <c r="NLY14" s="55"/>
      <c r="NLZ14" s="55"/>
      <c r="NMA14" s="55"/>
      <c r="NMB14" s="55"/>
      <c r="NMC14" s="55"/>
      <c r="NMD14" s="55"/>
      <c r="NME14" s="55"/>
      <c r="NMF14" s="55"/>
      <c r="NMG14" s="55"/>
      <c r="NMH14" s="55"/>
      <c r="NMI14" s="55"/>
      <c r="NMJ14" s="55"/>
      <c r="NMK14" s="55"/>
      <c r="NML14" s="55"/>
      <c r="NMM14" s="55"/>
      <c r="NMN14" s="55"/>
      <c r="NMO14" s="55"/>
      <c r="NMP14" s="55"/>
      <c r="NMQ14" s="55"/>
      <c r="NMR14" s="55"/>
      <c r="NMS14" s="55"/>
      <c r="NMT14" s="55"/>
      <c r="NMU14" s="55"/>
      <c r="NMV14" s="55"/>
      <c r="NMW14" s="55"/>
      <c r="NMX14" s="55"/>
      <c r="NMY14" s="55"/>
      <c r="NMZ14" s="55"/>
      <c r="NNA14" s="55"/>
      <c r="NNB14" s="55"/>
      <c r="NNC14" s="55"/>
      <c r="NND14" s="55"/>
      <c r="NNE14" s="55"/>
      <c r="NNF14" s="55"/>
      <c r="NNG14" s="55"/>
      <c r="NNH14" s="55"/>
      <c r="NNI14" s="55"/>
      <c r="NNJ14" s="55"/>
      <c r="NNK14" s="55"/>
      <c r="NNL14" s="55"/>
      <c r="NNM14" s="55"/>
      <c r="NNN14" s="55"/>
      <c r="NNO14" s="55"/>
      <c r="NNP14" s="55"/>
      <c r="NNQ14" s="55"/>
      <c r="NNR14" s="55"/>
      <c r="NNS14" s="55"/>
      <c r="NNT14" s="55"/>
      <c r="NNU14" s="55"/>
      <c r="NNV14" s="55"/>
      <c r="NNW14" s="55"/>
      <c r="NNX14" s="55"/>
      <c r="NNY14" s="55"/>
      <c r="NNZ14" s="55"/>
      <c r="NOA14" s="55"/>
      <c r="NOB14" s="55"/>
      <c r="NOC14" s="55"/>
      <c r="NOD14" s="55"/>
      <c r="NOE14" s="55"/>
      <c r="NOF14" s="55"/>
      <c r="NOG14" s="55"/>
      <c r="NOH14" s="55"/>
      <c r="NOI14" s="55"/>
      <c r="NOJ14" s="55"/>
      <c r="NOK14" s="55"/>
      <c r="NOL14" s="55"/>
      <c r="NOM14" s="55"/>
      <c r="NON14" s="55"/>
      <c r="NOO14" s="55"/>
      <c r="NOP14" s="55"/>
      <c r="NOQ14" s="55"/>
      <c r="NOR14" s="55"/>
      <c r="NOS14" s="55"/>
      <c r="NOT14" s="55"/>
      <c r="NOU14" s="55"/>
      <c r="NOV14" s="55"/>
      <c r="NOW14" s="55"/>
      <c r="NOX14" s="55"/>
      <c r="NOY14" s="55"/>
      <c r="NOZ14" s="55"/>
      <c r="NPA14" s="55"/>
      <c r="NPB14" s="55"/>
      <c r="NPC14" s="55"/>
      <c r="NPD14" s="55"/>
      <c r="NPE14" s="55"/>
      <c r="NPF14" s="55"/>
      <c r="NPG14" s="55"/>
      <c r="NPH14" s="55"/>
      <c r="NPI14" s="55"/>
      <c r="NPJ14" s="55"/>
      <c r="NPK14" s="55"/>
      <c r="NPL14" s="55"/>
      <c r="NPM14" s="55"/>
      <c r="NPN14" s="55"/>
      <c r="NPO14" s="55"/>
      <c r="NPP14" s="55"/>
      <c r="NPQ14" s="55"/>
      <c r="NPR14" s="55"/>
      <c r="NPS14" s="55"/>
      <c r="NPT14" s="55"/>
      <c r="NPU14" s="55"/>
      <c r="NPV14" s="55"/>
      <c r="NPW14" s="55"/>
      <c r="NPX14" s="55"/>
      <c r="NPY14" s="55"/>
      <c r="NPZ14" s="55"/>
      <c r="NQA14" s="55"/>
      <c r="NQB14" s="55"/>
      <c r="NQC14" s="55"/>
      <c r="NQD14" s="55"/>
      <c r="NQE14" s="55"/>
      <c r="NQF14" s="55"/>
      <c r="NQG14" s="55"/>
      <c r="NQH14" s="55"/>
      <c r="NQI14" s="55"/>
      <c r="NQJ14" s="55"/>
      <c r="NQK14" s="55"/>
      <c r="NQL14" s="55"/>
      <c r="NQM14" s="55"/>
      <c r="NQN14" s="55"/>
      <c r="NQO14" s="55"/>
      <c r="NQP14" s="55"/>
      <c r="NQQ14" s="55"/>
      <c r="NQR14" s="55"/>
      <c r="NQS14" s="55"/>
      <c r="NQT14" s="55"/>
      <c r="NQU14" s="55"/>
      <c r="NQV14" s="55"/>
      <c r="NQW14" s="55"/>
      <c r="NQX14" s="55"/>
      <c r="NQY14" s="55"/>
      <c r="NQZ14" s="55"/>
      <c r="NRA14" s="55"/>
      <c r="NRB14" s="55"/>
      <c r="NRC14" s="55"/>
      <c r="NRD14" s="55"/>
      <c r="NRE14" s="55"/>
      <c r="NRF14" s="55"/>
      <c r="NRG14" s="55"/>
      <c r="NRH14" s="55"/>
      <c r="NRI14" s="55"/>
      <c r="NRJ14" s="55"/>
      <c r="NRK14" s="55"/>
      <c r="NRL14" s="55"/>
      <c r="NRM14" s="55"/>
      <c r="NRN14" s="55"/>
      <c r="NRO14" s="55"/>
      <c r="NRP14" s="55"/>
      <c r="NRQ14" s="55"/>
      <c r="NRR14" s="55"/>
      <c r="NRS14" s="55"/>
      <c r="NRT14" s="55"/>
      <c r="NRU14" s="55"/>
      <c r="NRV14" s="55"/>
      <c r="NRW14" s="55"/>
      <c r="NRX14" s="55"/>
      <c r="NRY14" s="55"/>
      <c r="NRZ14" s="55"/>
      <c r="NSA14" s="55"/>
      <c r="NSB14" s="55"/>
      <c r="NSC14" s="55"/>
      <c r="NSD14" s="55"/>
      <c r="NSE14" s="55"/>
      <c r="NSF14" s="55"/>
      <c r="NSG14" s="55"/>
      <c r="NSH14" s="55"/>
      <c r="NSI14" s="55"/>
      <c r="NSJ14" s="55"/>
      <c r="NSK14" s="55"/>
      <c r="NSL14" s="55"/>
      <c r="NSM14" s="55"/>
      <c r="NSN14" s="55"/>
      <c r="NSO14" s="55"/>
      <c r="NSP14" s="55"/>
      <c r="NSQ14" s="55"/>
      <c r="NSR14" s="55"/>
      <c r="NSS14" s="55"/>
      <c r="NST14" s="55"/>
      <c r="NSU14" s="55"/>
      <c r="NSV14" s="55"/>
      <c r="NSW14" s="55"/>
      <c r="NSX14" s="55"/>
      <c r="NSY14" s="55"/>
      <c r="NSZ14" s="55"/>
      <c r="NTA14" s="55"/>
      <c r="NTB14" s="55"/>
      <c r="NTC14" s="55"/>
      <c r="NTD14" s="55"/>
      <c r="NTE14" s="55"/>
      <c r="NTF14" s="55"/>
      <c r="NTG14" s="55"/>
      <c r="NTH14" s="55"/>
      <c r="NTI14" s="55"/>
      <c r="NTJ14" s="55"/>
      <c r="NTK14" s="55"/>
      <c r="NTL14" s="55"/>
      <c r="NTM14" s="55"/>
      <c r="NTN14" s="55"/>
      <c r="NTO14" s="55"/>
      <c r="NTP14" s="55"/>
      <c r="NTQ14" s="55"/>
      <c r="NTR14" s="55"/>
      <c r="NTS14" s="55"/>
      <c r="NTT14" s="55"/>
      <c r="NTU14" s="55"/>
      <c r="NTV14" s="55"/>
      <c r="NTW14" s="55"/>
      <c r="NTX14" s="55"/>
      <c r="NTY14" s="55"/>
      <c r="NTZ14" s="55"/>
      <c r="NUA14" s="55"/>
      <c r="NUB14" s="55"/>
      <c r="NUC14" s="55"/>
      <c r="NUD14" s="55"/>
      <c r="NUE14" s="55"/>
      <c r="NUF14" s="55"/>
      <c r="NUG14" s="55"/>
      <c r="NUH14" s="55"/>
      <c r="NUI14" s="55"/>
      <c r="NUJ14" s="55"/>
      <c r="NUK14" s="55"/>
      <c r="NUL14" s="55"/>
      <c r="NUM14" s="55"/>
      <c r="NUN14" s="55"/>
      <c r="NUO14" s="55"/>
      <c r="NUP14" s="55"/>
      <c r="NUQ14" s="55"/>
      <c r="NUR14" s="55"/>
      <c r="NUS14" s="55"/>
      <c r="NUT14" s="55"/>
      <c r="NUU14" s="55"/>
      <c r="NUV14" s="55"/>
      <c r="NUW14" s="55"/>
      <c r="NUX14" s="55"/>
      <c r="NUY14" s="55"/>
      <c r="NUZ14" s="55"/>
      <c r="NVA14" s="55"/>
      <c r="NVB14" s="55"/>
      <c r="NVC14" s="55"/>
      <c r="NVD14" s="55"/>
      <c r="NVE14" s="55"/>
      <c r="NVF14" s="55"/>
      <c r="NVG14" s="55"/>
      <c r="NVH14" s="55"/>
      <c r="NVI14" s="55"/>
      <c r="NVJ14" s="55"/>
      <c r="NVK14" s="55"/>
      <c r="NVL14" s="55"/>
      <c r="NVM14" s="55"/>
      <c r="NVN14" s="55"/>
      <c r="NVO14" s="55"/>
      <c r="NVP14" s="55"/>
      <c r="NVQ14" s="55"/>
      <c r="NVR14" s="55"/>
      <c r="NVS14" s="55"/>
      <c r="NVT14" s="55"/>
      <c r="NVU14" s="55"/>
      <c r="NVV14" s="55"/>
      <c r="NVW14" s="55"/>
      <c r="NVX14" s="55"/>
      <c r="NVY14" s="55"/>
      <c r="NVZ14" s="55"/>
      <c r="NWA14" s="55"/>
      <c r="NWB14" s="55"/>
      <c r="NWC14" s="55"/>
      <c r="NWD14" s="55"/>
      <c r="NWE14" s="55"/>
      <c r="NWF14" s="55"/>
      <c r="NWG14" s="55"/>
      <c r="NWH14" s="55"/>
      <c r="NWI14" s="55"/>
      <c r="NWJ14" s="55"/>
      <c r="NWK14" s="55"/>
      <c r="NWL14" s="55"/>
      <c r="NWM14" s="55"/>
      <c r="NWN14" s="55"/>
      <c r="NWO14" s="55"/>
      <c r="NWP14" s="55"/>
      <c r="NWQ14" s="55"/>
      <c r="NWR14" s="55"/>
      <c r="NWS14" s="55"/>
      <c r="NWT14" s="55"/>
      <c r="NWU14" s="55"/>
      <c r="NWV14" s="55"/>
      <c r="NWW14" s="55"/>
      <c r="NWX14" s="55"/>
      <c r="NWY14" s="55"/>
      <c r="NWZ14" s="55"/>
      <c r="NXA14" s="55"/>
      <c r="NXB14" s="55"/>
      <c r="NXC14" s="55"/>
      <c r="NXD14" s="55"/>
      <c r="NXE14" s="55"/>
      <c r="NXF14" s="55"/>
      <c r="NXG14" s="55"/>
      <c r="NXH14" s="55"/>
      <c r="NXI14" s="55"/>
      <c r="NXJ14" s="55"/>
      <c r="NXK14" s="55"/>
      <c r="NXL14" s="55"/>
      <c r="NXM14" s="55"/>
      <c r="NXN14" s="55"/>
      <c r="NXO14" s="55"/>
      <c r="NXP14" s="55"/>
      <c r="NXQ14" s="55"/>
      <c r="NXR14" s="55"/>
      <c r="NXS14" s="55"/>
      <c r="NXT14" s="55"/>
      <c r="NXU14" s="55"/>
      <c r="NXV14" s="55"/>
      <c r="NXW14" s="55"/>
      <c r="NXX14" s="55"/>
      <c r="NXY14" s="55"/>
      <c r="NXZ14" s="55"/>
      <c r="NYA14" s="55"/>
      <c r="NYB14" s="55"/>
      <c r="NYC14" s="55"/>
      <c r="NYD14" s="55"/>
      <c r="NYE14" s="55"/>
      <c r="NYF14" s="55"/>
      <c r="NYG14" s="55"/>
      <c r="NYH14" s="55"/>
      <c r="NYI14" s="55"/>
      <c r="NYJ14" s="55"/>
      <c r="NYK14" s="55"/>
      <c r="NYL14" s="55"/>
      <c r="NYM14" s="55"/>
      <c r="NYN14" s="55"/>
      <c r="NYO14" s="55"/>
      <c r="NYP14" s="55"/>
      <c r="NYQ14" s="55"/>
      <c r="NYR14" s="55"/>
      <c r="NYS14" s="55"/>
      <c r="NYT14" s="55"/>
      <c r="NYU14" s="55"/>
      <c r="NYV14" s="55"/>
      <c r="NYW14" s="55"/>
      <c r="NYX14" s="55"/>
      <c r="NYY14" s="55"/>
      <c r="NYZ14" s="55"/>
      <c r="NZA14" s="55"/>
      <c r="NZB14" s="55"/>
      <c r="NZC14" s="55"/>
      <c r="NZD14" s="55"/>
      <c r="NZE14" s="55"/>
      <c r="NZF14" s="55"/>
      <c r="NZG14" s="55"/>
      <c r="NZH14" s="55"/>
      <c r="NZI14" s="55"/>
      <c r="NZJ14" s="55"/>
      <c r="NZK14" s="55"/>
      <c r="NZL14" s="55"/>
      <c r="NZM14" s="55"/>
      <c r="NZN14" s="55"/>
      <c r="NZO14" s="55"/>
      <c r="NZP14" s="55"/>
      <c r="NZQ14" s="55"/>
      <c r="NZR14" s="55"/>
      <c r="NZS14" s="55"/>
      <c r="NZT14" s="55"/>
      <c r="NZU14" s="55"/>
      <c r="NZV14" s="55"/>
      <c r="NZW14" s="55"/>
      <c r="NZX14" s="55"/>
      <c r="NZY14" s="55"/>
      <c r="NZZ14" s="55"/>
      <c r="OAA14" s="55"/>
      <c r="OAB14" s="55"/>
      <c r="OAC14" s="55"/>
      <c r="OAD14" s="55"/>
      <c r="OAE14" s="55"/>
      <c r="OAF14" s="55"/>
      <c r="OAG14" s="55"/>
      <c r="OAH14" s="55"/>
      <c r="OAI14" s="55"/>
      <c r="OAJ14" s="55"/>
      <c r="OAK14" s="55"/>
      <c r="OAL14" s="55"/>
      <c r="OAM14" s="55"/>
      <c r="OAN14" s="55"/>
      <c r="OAO14" s="55"/>
      <c r="OAP14" s="55"/>
      <c r="OAQ14" s="55"/>
      <c r="OAR14" s="55"/>
      <c r="OAS14" s="55"/>
      <c r="OAT14" s="55"/>
      <c r="OAU14" s="55"/>
      <c r="OAV14" s="55"/>
      <c r="OAW14" s="55"/>
      <c r="OAX14" s="55"/>
      <c r="OAY14" s="55"/>
      <c r="OAZ14" s="55"/>
      <c r="OBA14" s="55"/>
      <c r="OBB14" s="55"/>
      <c r="OBC14" s="55"/>
      <c r="OBD14" s="55"/>
      <c r="OBE14" s="55"/>
      <c r="OBF14" s="55"/>
      <c r="OBG14" s="55"/>
      <c r="OBH14" s="55"/>
      <c r="OBI14" s="55"/>
      <c r="OBJ14" s="55"/>
      <c r="OBK14" s="55"/>
      <c r="OBL14" s="55"/>
      <c r="OBM14" s="55"/>
      <c r="OBN14" s="55"/>
      <c r="OBO14" s="55"/>
      <c r="OBP14" s="55"/>
      <c r="OBQ14" s="55"/>
      <c r="OBR14" s="55"/>
      <c r="OBS14" s="55"/>
      <c r="OBT14" s="55"/>
      <c r="OBU14" s="55"/>
      <c r="OBV14" s="55"/>
      <c r="OBW14" s="55"/>
      <c r="OBX14" s="55"/>
      <c r="OBY14" s="55"/>
      <c r="OBZ14" s="55"/>
      <c r="OCA14" s="55"/>
      <c r="OCB14" s="55"/>
      <c r="OCC14" s="55"/>
      <c r="OCD14" s="55"/>
      <c r="OCE14" s="55"/>
      <c r="OCF14" s="55"/>
      <c r="OCG14" s="55"/>
      <c r="OCH14" s="55"/>
      <c r="OCI14" s="55"/>
      <c r="OCJ14" s="55"/>
      <c r="OCK14" s="55"/>
      <c r="OCL14" s="55"/>
      <c r="OCM14" s="55"/>
      <c r="OCN14" s="55"/>
      <c r="OCO14" s="55"/>
      <c r="OCP14" s="55"/>
      <c r="OCQ14" s="55"/>
      <c r="OCR14" s="55"/>
      <c r="OCS14" s="55"/>
      <c r="OCT14" s="55"/>
      <c r="OCU14" s="55"/>
      <c r="OCV14" s="55"/>
      <c r="OCW14" s="55"/>
      <c r="OCX14" s="55"/>
      <c r="OCY14" s="55"/>
      <c r="OCZ14" s="55"/>
      <c r="ODA14" s="55"/>
      <c r="ODB14" s="55"/>
      <c r="ODC14" s="55"/>
      <c r="ODD14" s="55"/>
      <c r="ODE14" s="55"/>
      <c r="ODF14" s="55"/>
      <c r="ODG14" s="55"/>
      <c r="ODH14" s="55"/>
      <c r="ODI14" s="55"/>
      <c r="ODJ14" s="55"/>
      <c r="ODK14" s="55"/>
      <c r="ODL14" s="55"/>
      <c r="ODM14" s="55"/>
      <c r="ODN14" s="55"/>
      <c r="ODO14" s="55"/>
      <c r="ODP14" s="55"/>
      <c r="ODQ14" s="55"/>
      <c r="ODR14" s="55"/>
      <c r="ODS14" s="55"/>
      <c r="ODT14" s="55"/>
      <c r="ODU14" s="55"/>
      <c r="ODV14" s="55"/>
      <c r="ODW14" s="55"/>
      <c r="ODX14" s="55"/>
      <c r="ODY14" s="55"/>
      <c r="ODZ14" s="55"/>
      <c r="OEA14" s="55"/>
      <c r="OEB14" s="55"/>
      <c r="OEC14" s="55"/>
      <c r="OED14" s="55"/>
      <c r="OEE14" s="55"/>
      <c r="OEF14" s="55"/>
      <c r="OEG14" s="55"/>
      <c r="OEH14" s="55"/>
      <c r="OEI14" s="55"/>
      <c r="OEJ14" s="55"/>
      <c r="OEK14" s="55"/>
      <c r="OEL14" s="55"/>
      <c r="OEM14" s="55"/>
      <c r="OEN14" s="55"/>
      <c r="OEO14" s="55"/>
      <c r="OEP14" s="55"/>
      <c r="OEQ14" s="55"/>
      <c r="OER14" s="55"/>
      <c r="OES14" s="55"/>
      <c r="OET14" s="55"/>
      <c r="OEU14" s="55"/>
      <c r="OEV14" s="55"/>
      <c r="OEW14" s="55"/>
      <c r="OEX14" s="55"/>
      <c r="OEY14" s="55"/>
      <c r="OEZ14" s="55"/>
      <c r="OFA14" s="55"/>
      <c r="OFB14" s="55"/>
      <c r="OFC14" s="55"/>
      <c r="OFD14" s="55"/>
      <c r="OFE14" s="55"/>
      <c r="OFF14" s="55"/>
      <c r="OFG14" s="55"/>
      <c r="OFH14" s="55"/>
      <c r="OFI14" s="55"/>
      <c r="OFJ14" s="55"/>
      <c r="OFK14" s="55"/>
      <c r="OFL14" s="55"/>
      <c r="OFM14" s="55"/>
      <c r="OFN14" s="55"/>
      <c r="OFO14" s="55"/>
      <c r="OFP14" s="55"/>
      <c r="OFQ14" s="55"/>
      <c r="OFR14" s="55"/>
      <c r="OFS14" s="55"/>
      <c r="OFT14" s="55"/>
      <c r="OFU14" s="55"/>
      <c r="OFV14" s="55"/>
      <c r="OFW14" s="55"/>
      <c r="OFX14" s="55"/>
      <c r="OFY14" s="55"/>
      <c r="OFZ14" s="55"/>
      <c r="OGA14" s="55"/>
      <c r="OGB14" s="55"/>
      <c r="OGC14" s="55"/>
      <c r="OGD14" s="55"/>
      <c r="OGE14" s="55"/>
      <c r="OGF14" s="55"/>
      <c r="OGG14" s="55"/>
      <c r="OGH14" s="55"/>
      <c r="OGI14" s="55"/>
      <c r="OGJ14" s="55"/>
      <c r="OGK14" s="55"/>
      <c r="OGL14" s="55"/>
      <c r="OGM14" s="55"/>
      <c r="OGN14" s="55"/>
      <c r="OGO14" s="55"/>
      <c r="OGP14" s="55"/>
      <c r="OGQ14" s="55"/>
      <c r="OGR14" s="55"/>
      <c r="OGS14" s="55"/>
      <c r="OGT14" s="55"/>
      <c r="OGU14" s="55"/>
      <c r="OGV14" s="55"/>
      <c r="OGW14" s="55"/>
      <c r="OGX14" s="55"/>
      <c r="OGY14" s="55"/>
      <c r="OGZ14" s="55"/>
      <c r="OHA14" s="55"/>
      <c r="OHB14" s="55"/>
      <c r="OHC14" s="55"/>
      <c r="OHD14" s="55"/>
      <c r="OHE14" s="55"/>
      <c r="OHF14" s="55"/>
      <c r="OHG14" s="55"/>
      <c r="OHH14" s="55"/>
      <c r="OHI14" s="55"/>
      <c r="OHJ14" s="55"/>
      <c r="OHK14" s="55"/>
      <c r="OHL14" s="55"/>
      <c r="OHM14" s="55"/>
      <c r="OHN14" s="55"/>
      <c r="OHO14" s="55"/>
      <c r="OHP14" s="55"/>
      <c r="OHQ14" s="55"/>
      <c r="OHR14" s="55"/>
      <c r="OHS14" s="55"/>
      <c r="OHT14" s="55"/>
      <c r="OHU14" s="55"/>
      <c r="OHV14" s="55"/>
      <c r="OHW14" s="55"/>
      <c r="OHX14" s="55"/>
      <c r="OHY14" s="55"/>
      <c r="OHZ14" s="55"/>
      <c r="OIA14" s="55"/>
      <c r="OIB14" s="55"/>
      <c r="OIC14" s="55"/>
      <c r="OID14" s="55"/>
      <c r="OIE14" s="55"/>
      <c r="OIF14" s="55"/>
      <c r="OIG14" s="55"/>
      <c r="OIH14" s="55"/>
      <c r="OII14" s="55"/>
      <c r="OIJ14" s="55"/>
      <c r="OIK14" s="55"/>
      <c r="OIL14" s="55"/>
      <c r="OIM14" s="55"/>
      <c r="OIN14" s="55"/>
      <c r="OIO14" s="55"/>
      <c r="OIP14" s="55"/>
      <c r="OIQ14" s="55"/>
      <c r="OIR14" s="55"/>
      <c r="OIS14" s="55"/>
      <c r="OIT14" s="55"/>
      <c r="OIU14" s="55"/>
      <c r="OIV14" s="55"/>
      <c r="OIW14" s="55"/>
      <c r="OIX14" s="55"/>
      <c r="OIY14" s="55"/>
      <c r="OIZ14" s="55"/>
      <c r="OJA14" s="55"/>
      <c r="OJB14" s="55"/>
      <c r="OJC14" s="55"/>
      <c r="OJD14" s="55"/>
      <c r="OJE14" s="55"/>
      <c r="OJF14" s="55"/>
      <c r="OJG14" s="55"/>
      <c r="OJH14" s="55"/>
      <c r="OJI14" s="55"/>
      <c r="OJJ14" s="55"/>
      <c r="OJK14" s="55"/>
      <c r="OJL14" s="55"/>
      <c r="OJM14" s="55"/>
      <c r="OJN14" s="55"/>
      <c r="OJO14" s="55"/>
      <c r="OJP14" s="55"/>
      <c r="OJQ14" s="55"/>
      <c r="OJR14" s="55"/>
      <c r="OJS14" s="55"/>
      <c r="OJT14" s="55"/>
      <c r="OJU14" s="55"/>
      <c r="OJV14" s="55"/>
      <c r="OJW14" s="55"/>
      <c r="OJX14" s="55"/>
      <c r="OJY14" s="55"/>
      <c r="OJZ14" s="55"/>
      <c r="OKA14" s="55"/>
      <c r="OKB14" s="55"/>
      <c r="OKC14" s="55"/>
      <c r="OKD14" s="55"/>
      <c r="OKE14" s="55"/>
      <c r="OKF14" s="55"/>
      <c r="OKG14" s="55"/>
      <c r="OKH14" s="55"/>
      <c r="OKI14" s="55"/>
      <c r="OKJ14" s="55"/>
      <c r="OKK14" s="55"/>
      <c r="OKL14" s="55"/>
      <c r="OKM14" s="55"/>
      <c r="OKN14" s="55"/>
      <c r="OKO14" s="55"/>
      <c r="OKP14" s="55"/>
      <c r="OKQ14" s="55"/>
      <c r="OKR14" s="55"/>
      <c r="OKS14" s="55"/>
      <c r="OKT14" s="55"/>
      <c r="OKU14" s="55"/>
      <c r="OKV14" s="55"/>
      <c r="OKW14" s="55"/>
      <c r="OKX14" s="55"/>
      <c r="OKY14" s="55"/>
      <c r="OKZ14" s="55"/>
      <c r="OLA14" s="55"/>
      <c r="OLB14" s="55"/>
      <c r="OLC14" s="55"/>
      <c r="OLD14" s="55"/>
      <c r="OLE14" s="55"/>
      <c r="OLF14" s="55"/>
      <c r="OLG14" s="55"/>
      <c r="OLH14" s="55"/>
      <c r="OLI14" s="55"/>
      <c r="OLJ14" s="55"/>
      <c r="OLK14" s="55"/>
      <c r="OLL14" s="55"/>
      <c r="OLM14" s="55"/>
      <c r="OLN14" s="55"/>
      <c r="OLO14" s="55"/>
      <c r="OLP14" s="55"/>
      <c r="OLQ14" s="55"/>
      <c r="OLR14" s="55"/>
      <c r="OLS14" s="55"/>
      <c r="OLT14" s="55"/>
      <c r="OLU14" s="55"/>
      <c r="OLV14" s="55"/>
      <c r="OLW14" s="55"/>
      <c r="OLX14" s="55"/>
      <c r="OLY14" s="55"/>
      <c r="OLZ14" s="55"/>
      <c r="OMA14" s="55"/>
      <c r="OMB14" s="55"/>
      <c r="OMC14" s="55"/>
      <c r="OMD14" s="55"/>
      <c r="OME14" s="55"/>
      <c r="OMF14" s="55"/>
      <c r="OMG14" s="55"/>
      <c r="OMH14" s="55"/>
      <c r="OMI14" s="55"/>
      <c r="OMJ14" s="55"/>
      <c r="OMK14" s="55"/>
      <c r="OML14" s="55"/>
      <c r="OMM14" s="55"/>
      <c r="OMN14" s="55"/>
      <c r="OMO14" s="55"/>
      <c r="OMP14" s="55"/>
      <c r="OMQ14" s="55"/>
      <c r="OMR14" s="55"/>
      <c r="OMS14" s="55"/>
      <c r="OMT14" s="55"/>
      <c r="OMU14" s="55"/>
      <c r="OMV14" s="55"/>
      <c r="OMW14" s="55"/>
      <c r="OMX14" s="55"/>
      <c r="OMY14" s="55"/>
      <c r="OMZ14" s="55"/>
      <c r="ONA14" s="55"/>
      <c r="ONB14" s="55"/>
      <c r="ONC14" s="55"/>
      <c r="OND14" s="55"/>
      <c r="ONE14" s="55"/>
      <c r="ONF14" s="55"/>
      <c r="ONG14" s="55"/>
      <c r="ONH14" s="55"/>
      <c r="ONI14" s="55"/>
      <c r="ONJ14" s="55"/>
      <c r="ONK14" s="55"/>
      <c r="ONL14" s="55"/>
      <c r="ONM14" s="55"/>
      <c r="ONN14" s="55"/>
      <c r="ONO14" s="55"/>
      <c r="ONP14" s="55"/>
      <c r="ONQ14" s="55"/>
      <c r="ONR14" s="55"/>
      <c r="ONS14" s="55"/>
      <c r="ONT14" s="55"/>
      <c r="ONU14" s="55"/>
      <c r="ONV14" s="55"/>
      <c r="ONW14" s="55"/>
      <c r="ONX14" s="55"/>
      <c r="ONY14" s="55"/>
      <c r="ONZ14" s="55"/>
      <c r="OOA14" s="55"/>
      <c r="OOB14" s="55"/>
      <c r="OOC14" s="55"/>
      <c r="OOD14" s="55"/>
      <c r="OOE14" s="55"/>
      <c r="OOF14" s="55"/>
      <c r="OOG14" s="55"/>
      <c r="OOH14" s="55"/>
      <c r="OOI14" s="55"/>
      <c r="OOJ14" s="55"/>
      <c r="OOK14" s="55"/>
      <c r="OOL14" s="55"/>
      <c r="OOM14" s="55"/>
      <c r="OON14" s="55"/>
      <c r="OOO14" s="55"/>
      <c r="OOP14" s="55"/>
      <c r="OOQ14" s="55"/>
      <c r="OOR14" s="55"/>
      <c r="OOS14" s="55"/>
      <c r="OOT14" s="55"/>
      <c r="OOU14" s="55"/>
      <c r="OOV14" s="55"/>
      <c r="OOW14" s="55"/>
      <c r="OOX14" s="55"/>
      <c r="OOY14" s="55"/>
      <c r="OOZ14" s="55"/>
      <c r="OPA14" s="55"/>
      <c r="OPB14" s="55"/>
      <c r="OPC14" s="55"/>
      <c r="OPD14" s="55"/>
      <c r="OPE14" s="55"/>
      <c r="OPF14" s="55"/>
      <c r="OPG14" s="55"/>
      <c r="OPH14" s="55"/>
      <c r="OPI14" s="55"/>
      <c r="OPJ14" s="55"/>
      <c r="OPK14" s="55"/>
      <c r="OPL14" s="55"/>
      <c r="OPM14" s="55"/>
      <c r="OPN14" s="55"/>
      <c r="OPO14" s="55"/>
      <c r="OPP14" s="55"/>
      <c r="OPQ14" s="55"/>
      <c r="OPR14" s="55"/>
      <c r="OPS14" s="55"/>
      <c r="OPT14" s="55"/>
      <c r="OPU14" s="55"/>
      <c r="OPV14" s="55"/>
      <c r="OPW14" s="55"/>
      <c r="OPX14" s="55"/>
      <c r="OPY14" s="55"/>
      <c r="OPZ14" s="55"/>
      <c r="OQA14" s="55"/>
      <c r="OQB14" s="55"/>
      <c r="OQC14" s="55"/>
      <c r="OQD14" s="55"/>
      <c r="OQE14" s="55"/>
      <c r="OQF14" s="55"/>
      <c r="OQG14" s="55"/>
      <c r="OQH14" s="55"/>
      <c r="OQI14" s="55"/>
      <c r="OQJ14" s="55"/>
      <c r="OQK14" s="55"/>
      <c r="OQL14" s="55"/>
      <c r="OQM14" s="55"/>
      <c r="OQN14" s="55"/>
      <c r="OQO14" s="55"/>
      <c r="OQP14" s="55"/>
      <c r="OQQ14" s="55"/>
      <c r="OQR14" s="55"/>
      <c r="OQS14" s="55"/>
      <c r="OQT14" s="55"/>
      <c r="OQU14" s="55"/>
      <c r="OQV14" s="55"/>
      <c r="OQW14" s="55"/>
      <c r="OQX14" s="55"/>
      <c r="OQY14" s="55"/>
      <c r="OQZ14" s="55"/>
      <c r="ORA14" s="55"/>
      <c r="ORB14" s="55"/>
      <c r="ORC14" s="55"/>
      <c r="ORD14" s="55"/>
      <c r="ORE14" s="55"/>
      <c r="ORF14" s="55"/>
      <c r="ORG14" s="55"/>
      <c r="ORH14" s="55"/>
      <c r="ORI14" s="55"/>
      <c r="ORJ14" s="55"/>
      <c r="ORK14" s="55"/>
      <c r="ORL14" s="55"/>
      <c r="ORM14" s="55"/>
      <c r="ORN14" s="55"/>
      <c r="ORO14" s="55"/>
      <c r="ORP14" s="55"/>
      <c r="ORQ14" s="55"/>
      <c r="ORR14" s="55"/>
      <c r="ORS14" s="55"/>
      <c r="ORT14" s="55"/>
      <c r="ORU14" s="55"/>
      <c r="ORV14" s="55"/>
      <c r="ORW14" s="55"/>
      <c r="ORX14" s="55"/>
      <c r="ORY14" s="55"/>
      <c r="ORZ14" s="55"/>
      <c r="OSA14" s="55"/>
      <c r="OSB14" s="55"/>
      <c r="OSC14" s="55"/>
      <c r="OSD14" s="55"/>
      <c r="OSE14" s="55"/>
      <c r="OSF14" s="55"/>
      <c r="OSG14" s="55"/>
      <c r="OSH14" s="55"/>
      <c r="OSI14" s="55"/>
      <c r="OSJ14" s="55"/>
      <c r="OSK14" s="55"/>
      <c r="OSL14" s="55"/>
      <c r="OSM14" s="55"/>
      <c r="OSN14" s="55"/>
      <c r="OSO14" s="55"/>
      <c r="OSP14" s="55"/>
      <c r="OSQ14" s="55"/>
      <c r="OSR14" s="55"/>
      <c r="OSS14" s="55"/>
      <c r="OST14" s="55"/>
      <c r="OSU14" s="55"/>
      <c r="OSV14" s="55"/>
      <c r="OSW14" s="55"/>
      <c r="OSX14" s="55"/>
      <c r="OSY14" s="55"/>
      <c r="OSZ14" s="55"/>
      <c r="OTA14" s="55"/>
      <c r="OTB14" s="55"/>
      <c r="OTC14" s="55"/>
      <c r="OTD14" s="55"/>
      <c r="OTE14" s="55"/>
      <c r="OTF14" s="55"/>
      <c r="OTG14" s="55"/>
      <c r="OTH14" s="55"/>
      <c r="OTI14" s="55"/>
      <c r="OTJ14" s="55"/>
      <c r="OTK14" s="55"/>
      <c r="OTL14" s="55"/>
      <c r="OTM14" s="55"/>
      <c r="OTN14" s="55"/>
      <c r="OTO14" s="55"/>
      <c r="OTP14" s="55"/>
      <c r="OTQ14" s="55"/>
      <c r="OTR14" s="55"/>
      <c r="OTS14" s="55"/>
      <c r="OTT14" s="55"/>
      <c r="OTU14" s="55"/>
      <c r="OTV14" s="55"/>
      <c r="OTW14" s="55"/>
      <c r="OTX14" s="55"/>
      <c r="OTY14" s="55"/>
      <c r="OTZ14" s="55"/>
      <c r="OUA14" s="55"/>
      <c r="OUB14" s="55"/>
      <c r="OUC14" s="55"/>
      <c r="OUD14" s="55"/>
      <c r="OUE14" s="55"/>
      <c r="OUF14" s="55"/>
      <c r="OUG14" s="55"/>
      <c r="OUH14" s="55"/>
      <c r="OUI14" s="55"/>
      <c r="OUJ14" s="55"/>
      <c r="OUK14" s="55"/>
      <c r="OUL14" s="55"/>
      <c r="OUM14" s="55"/>
      <c r="OUN14" s="55"/>
      <c r="OUO14" s="55"/>
      <c r="OUP14" s="55"/>
      <c r="OUQ14" s="55"/>
      <c r="OUR14" s="55"/>
      <c r="OUS14" s="55"/>
      <c r="OUT14" s="55"/>
      <c r="OUU14" s="55"/>
      <c r="OUV14" s="55"/>
      <c r="OUW14" s="55"/>
      <c r="OUX14" s="55"/>
      <c r="OUY14" s="55"/>
      <c r="OUZ14" s="55"/>
      <c r="OVA14" s="55"/>
      <c r="OVB14" s="55"/>
      <c r="OVC14" s="55"/>
      <c r="OVD14" s="55"/>
      <c r="OVE14" s="55"/>
      <c r="OVF14" s="55"/>
      <c r="OVG14" s="55"/>
      <c r="OVH14" s="55"/>
      <c r="OVI14" s="55"/>
      <c r="OVJ14" s="55"/>
      <c r="OVK14" s="55"/>
      <c r="OVL14" s="55"/>
      <c r="OVM14" s="55"/>
      <c r="OVN14" s="55"/>
      <c r="OVO14" s="55"/>
      <c r="OVP14" s="55"/>
      <c r="OVQ14" s="55"/>
      <c r="OVR14" s="55"/>
      <c r="OVS14" s="55"/>
      <c r="OVT14" s="55"/>
      <c r="OVU14" s="55"/>
      <c r="OVV14" s="55"/>
      <c r="OVW14" s="55"/>
      <c r="OVX14" s="55"/>
      <c r="OVY14" s="55"/>
      <c r="OVZ14" s="55"/>
      <c r="OWA14" s="55"/>
      <c r="OWB14" s="55"/>
      <c r="OWC14" s="55"/>
      <c r="OWD14" s="55"/>
      <c r="OWE14" s="55"/>
      <c r="OWF14" s="55"/>
      <c r="OWG14" s="55"/>
      <c r="OWH14" s="55"/>
      <c r="OWI14" s="55"/>
      <c r="OWJ14" s="55"/>
      <c r="OWK14" s="55"/>
      <c r="OWL14" s="55"/>
      <c r="OWM14" s="55"/>
      <c r="OWN14" s="55"/>
      <c r="OWO14" s="55"/>
      <c r="OWP14" s="55"/>
      <c r="OWQ14" s="55"/>
      <c r="OWR14" s="55"/>
      <c r="OWS14" s="55"/>
      <c r="OWT14" s="55"/>
      <c r="OWU14" s="55"/>
      <c r="OWV14" s="55"/>
      <c r="OWW14" s="55"/>
      <c r="OWX14" s="55"/>
      <c r="OWY14" s="55"/>
      <c r="OWZ14" s="55"/>
      <c r="OXA14" s="55"/>
      <c r="OXB14" s="55"/>
      <c r="OXC14" s="55"/>
      <c r="OXD14" s="55"/>
      <c r="OXE14" s="55"/>
      <c r="OXF14" s="55"/>
      <c r="OXG14" s="55"/>
      <c r="OXH14" s="55"/>
      <c r="OXI14" s="55"/>
      <c r="OXJ14" s="55"/>
      <c r="OXK14" s="55"/>
      <c r="OXL14" s="55"/>
      <c r="OXM14" s="55"/>
      <c r="OXN14" s="55"/>
      <c r="OXO14" s="55"/>
      <c r="OXP14" s="55"/>
      <c r="OXQ14" s="55"/>
      <c r="OXR14" s="55"/>
      <c r="OXS14" s="55"/>
      <c r="OXT14" s="55"/>
      <c r="OXU14" s="55"/>
      <c r="OXV14" s="55"/>
      <c r="OXW14" s="55"/>
      <c r="OXX14" s="55"/>
      <c r="OXY14" s="55"/>
      <c r="OXZ14" s="55"/>
      <c r="OYA14" s="55"/>
      <c r="OYB14" s="55"/>
      <c r="OYC14" s="55"/>
      <c r="OYD14" s="55"/>
      <c r="OYE14" s="55"/>
      <c r="OYF14" s="55"/>
      <c r="OYG14" s="55"/>
      <c r="OYH14" s="55"/>
      <c r="OYI14" s="55"/>
      <c r="OYJ14" s="55"/>
      <c r="OYK14" s="55"/>
      <c r="OYL14" s="55"/>
      <c r="OYM14" s="55"/>
      <c r="OYN14" s="55"/>
      <c r="OYO14" s="55"/>
      <c r="OYP14" s="55"/>
      <c r="OYQ14" s="55"/>
      <c r="OYR14" s="55"/>
      <c r="OYS14" s="55"/>
      <c r="OYT14" s="55"/>
      <c r="OYU14" s="55"/>
      <c r="OYV14" s="55"/>
      <c r="OYW14" s="55"/>
      <c r="OYX14" s="55"/>
      <c r="OYY14" s="55"/>
      <c r="OYZ14" s="55"/>
      <c r="OZA14" s="55"/>
      <c r="OZB14" s="55"/>
      <c r="OZC14" s="55"/>
      <c r="OZD14" s="55"/>
      <c r="OZE14" s="55"/>
      <c r="OZF14" s="55"/>
      <c r="OZG14" s="55"/>
      <c r="OZH14" s="55"/>
      <c r="OZI14" s="55"/>
      <c r="OZJ14" s="55"/>
      <c r="OZK14" s="55"/>
      <c r="OZL14" s="55"/>
      <c r="OZM14" s="55"/>
      <c r="OZN14" s="55"/>
      <c r="OZO14" s="55"/>
      <c r="OZP14" s="55"/>
      <c r="OZQ14" s="55"/>
      <c r="OZR14" s="55"/>
      <c r="OZS14" s="55"/>
      <c r="OZT14" s="55"/>
      <c r="OZU14" s="55"/>
      <c r="OZV14" s="55"/>
      <c r="OZW14" s="55"/>
      <c r="OZX14" s="55"/>
      <c r="OZY14" s="55"/>
      <c r="OZZ14" s="55"/>
      <c r="PAA14" s="55"/>
      <c r="PAB14" s="55"/>
      <c r="PAC14" s="55"/>
      <c r="PAD14" s="55"/>
      <c r="PAE14" s="55"/>
      <c r="PAF14" s="55"/>
      <c r="PAG14" s="55"/>
      <c r="PAH14" s="55"/>
      <c r="PAI14" s="55"/>
      <c r="PAJ14" s="55"/>
      <c r="PAK14" s="55"/>
      <c r="PAL14" s="55"/>
      <c r="PAM14" s="55"/>
      <c r="PAN14" s="55"/>
      <c r="PAO14" s="55"/>
      <c r="PAP14" s="55"/>
      <c r="PAQ14" s="55"/>
      <c r="PAR14" s="55"/>
      <c r="PAS14" s="55"/>
      <c r="PAT14" s="55"/>
      <c r="PAU14" s="55"/>
      <c r="PAV14" s="55"/>
      <c r="PAW14" s="55"/>
      <c r="PAX14" s="55"/>
      <c r="PAY14" s="55"/>
      <c r="PAZ14" s="55"/>
      <c r="PBA14" s="55"/>
      <c r="PBB14" s="55"/>
      <c r="PBC14" s="55"/>
      <c r="PBD14" s="55"/>
      <c r="PBE14" s="55"/>
      <c r="PBF14" s="55"/>
      <c r="PBG14" s="55"/>
      <c r="PBH14" s="55"/>
      <c r="PBI14" s="55"/>
      <c r="PBJ14" s="55"/>
      <c r="PBK14" s="55"/>
      <c r="PBL14" s="55"/>
      <c r="PBM14" s="55"/>
      <c r="PBN14" s="55"/>
      <c r="PBO14" s="55"/>
      <c r="PBP14" s="55"/>
      <c r="PBQ14" s="55"/>
      <c r="PBR14" s="55"/>
      <c r="PBS14" s="55"/>
      <c r="PBT14" s="55"/>
      <c r="PBU14" s="55"/>
      <c r="PBV14" s="55"/>
      <c r="PBW14" s="55"/>
      <c r="PBX14" s="55"/>
      <c r="PBY14" s="55"/>
      <c r="PBZ14" s="55"/>
      <c r="PCA14" s="55"/>
      <c r="PCB14" s="55"/>
      <c r="PCC14" s="55"/>
      <c r="PCD14" s="55"/>
      <c r="PCE14" s="55"/>
      <c r="PCF14" s="55"/>
      <c r="PCG14" s="55"/>
      <c r="PCH14" s="55"/>
      <c r="PCI14" s="55"/>
      <c r="PCJ14" s="55"/>
      <c r="PCK14" s="55"/>
      <c r="PCL14" s="55"/>
      <c r="PCM14" s="55"/>
      <c r="PCN14" s="55"/>
      <c r="PCO14" s="55"/>
      <c r="PCP14" s="55"/>
      <c r="PCQ14" s="55"/>
      <c r="PCR14" s="55"/>
      <c r="PCS14" s="55"/>
      <c r="PCT14" s="55"/>
      <c r="PCU14" s="55"/>
      <c r="PCV14" s="55"/>
      <c r="PCW14" s="55"/>
      <c r="PCX14" s="55"/>
      <c r="PCY14" s="55"/>
      <c r="PCZ14" s="55"/>
      <c r="PDA14" s="55"/>
      <c r="PDB14" s="55"/>
      <c r="PDC14" s="55"/>
      <c r="PDD14" s="55"/>
      <c r="PDE14" s="55"/>
      <c r="PDF14" s="55"/>
      <c r="PDG14" s="55"/>
      <c r="PDH14" s="55"/>
      <c r="PDI14" s="55"/>
      <c r="PDJ14" s="55"/>
      <c r="PDK14" s="55"/>
      <c r="PDL14" s="55"/>
      <c r="PDM14" s="55"/>
      <c r="PDN14" s="55"/>
      <c r="PDO14" s="55"/>
      <c r="PDP14" s="55"/>
      <c r="PDQ14" s="55"/>
      <c r="PDR14" s="55"/>
      <c r="PDS14" s="55"/>
      <c r="PDT14" s="55"/>
      <c r="PDU14" s="55"/>
      <c r="PDV14" s="55"/>
      <c r="PDW14" s="55"/>
      <c r="PDX14" s="55"/>
      <c r="PDY14" s="55"/>
      <c r="PDZ14" s="55"/>
      <c r="PEA14" s="55"/>
      <c r="PEB14" s="55"/>
      <c r="PEC14" s="55"/>
      <c r="PED14" s="55"/>
      <c r="PEE14" s="55"/>
      <c r="PEF14" s="55"/>
      <c r="PEG14" s="55"/>
      <c r="PEH14" s="55"/>
      <c r="PEI14" s="55"/>
      <c r="PEJ14" s="55"/>
      <c r="PEK14" s="55"/>
      <c r="PEL14" s="55"/>
      <c r="PEM14" s="55"/>
      <c r="PEN14" s="55"/>
      <c r="PEO14" s="55"/>
      <c r="PEP14" s="55"/>
      <c r="PEQ14" s="55"/>
      <c r="PER14" s="55"/>
      <c r="PES14" s="55"/>
      <c r="PET14" s="55"/>
      <c r="PEU14" s="55"/>
      <c r="PEV14" s="55"/>
      <c r="PEW14" s="55"/>
      <c r="PEX14" s="55"/>
      <c r="PEY14" s="55"/>
      <c r="PEZ14" s="55"/>
      <c r="PFA14" s="55"/>
      <c r="PFB14" s="55"/>
      <c r="PFC14" s="55"/>
      <c r="PFD14" s="55"/>
      <c r="PFE14" s="55"/>
      <c r="PFF14" s="55"/>
      <c r="PFG14" s="55"/>
      <c r="PFH14" s="55"/>
      <c r="PFI14" s="55"/>
      <c r="PFJ14" s="55"/>
      <c r="PFK14" s="55"/>
      <c r="PFL14" s="55"/>
      <c r="PFM14" s="55"/>
      <c r="PFN14" s="55"/>
      <c r="PFO14" s="55"/>
      <c r="PFP14" s="55"/>
      <c r="PFQ14" s="55"/>
      <c r="PFR14" s="55"/>
      <c r="PFS14" s="55"/>
      <c r="PFT14" s="55"/>
      <c r="PFU14" s="55"/>
      <c r="PFV14" s="55"/>
      <c r="PFW14" s="55"/>
      <c r="PFX14" s="55"/>
      <c r="PFY14" s="55"/>
      <c r="PFZ14" s="55"/>
      <c r="PGA14" s="55"/>
      <c r="PGB14" s="55"/>
      <c r="PGC14" s="55"/>
      <c r="PGD14" s="55"/>
      <c r="PGE14" s="55"/>
      <c r="PGF14" s="55"/>
      <c r="PGG14" s="55"/>
      <c r="PGH14" s="55"/>
      <c r="PGI14" s="55"/>
      <c r="PGJ14" s="55"/>
      <c r="PGK14" s="55"/>
      <c r="PGL14" s="55"/>
      <c r="PGM14" s="55"/>
      <c r="PGN14" s="55"/>
      <c r="PGO14" s="55"/>
      <c r="PGP14" s="55"/>
      <c r="PGQ14" s="55"/>
      <c r="PGR14" s="55"/>
      <c r="PGS14" s="55"/>
      <c r="PGT14" s="55"/>
      <c r="PGU14" s="55"/>
      <c r="PGV14" s="55"/>
      <c r="PGW14" s="55"/>
      <c r="PGX14" s="55"/>
      <c r="PGY14" s="55"/>
      <c r="PGZ14" s="55"/>
      <c r="PHA14" s="55"/>
      <c r="PHB14" s="55"/>
      <c r="PHC14" s="55"/>
      <c r="PHD14" s="55"/>
      <c r="PHE14" s="55"/>
      <c r="PHF14" s="55"/>
      <c r="PHG14" s="55"/>
      <c r="PHH14" s="55"/>
      <c r="PHI14" s="55"/>
      <c r="PHJ14" s="55"/>
      <c r="PHK14" s="55"/>
      <c r="PHL14" s="55"/>
      <c r="PHM14" s="55"/>
      <c r="PHN14" s="55"/>
      <c r="PHO14" s="55"/>
      <c r="PHP14" s="55"/>
      <c r="PHQ14" s="55"/>
      <c r="PHR14" s="55"/>
      <c r="PHS14" s="55"/>
      <c r="PHT14" s="55"/>
      <c r="PHU14" s="55"/>
      <c r="PHV14" s="55"/>
      <c r="PHW14" s="55"/>
      <c r="PHX14" s="55"/>
      <c r="PHY14" s="55"/>
      <c r="PHZ14" s="55"/>
      <c r="PIA14" s="55"/>
      <c r="PIB14" s="55"/>
      <c r="PIC14" s="55"/>
      <c r="PID14" s="55"/>
      <c r="PIE14" s="55"/>
      <c r="PIF14" s="55"/>
      <c r="PIG14" s="55"/>
      <c r="PIH14" s="55"/>
      <c r="PII14" s="55"/>
      <c r="PIJ14" s="55"/>
      <c r="PIK14" s="55"/>
      <c r="PIL14" s="55"/>
      <c r="PIM14" s="55"/>
      <c r="PIN14" s="55"/>
      <c r="PIO14" s="55"/>
      <c r="PIP14" s="55"/>
      <c r="PIQ14" s="55"/>
      <c r="PIR14" s="55"/>
      <c r="PIS14" s="55"/>
      <c r="PIT14" s="55"/>
      <c r="PIU14" s="55"/>
      <c r="PIV14" s="55"/>
      <c r="PIW14" s="55"/>
      <c r="PIX14" s="55"/>
      <c r="PIY14" s="55"/>
      <c r="PIZ14" s="55"/>
      <c r="PJA14" s="55"/>
      <c r="PJB14" s="55"/>
      <c r="PJC14" s="55"/>
      <c r="PJD14" s="55"/>
      <c r="PJE14" s="55"/>
      <c r="PJF14" s="55"/>
      <c r="PJG14" s="55"/>
      <c r="PJH14" s="55"/>
      <c r="PJI14" s="55"/>
      <c r="PJJ14" s="55"/>
      <c r="PJK14" s="55"/>
      <c r="PJL14" s="55"/>
      <c r="PJM14" s="55"/>
      <c r="PJN14" s="55"/>
      <c r="PJO14" s="55"/>
      <c r="PJP14" s="55"/>
      <c r="PJQ14" s="55"/>
      <c r="PJR14" s="55"/>
      <c r="PJS14" s="55"/>
      <c r="PJT14" s="55"/>
      <c r="PJU14" s="55"/>
      <c r="PJV14" s="55"/>
      <c r="PJW14" s="55"/>
      <c r="PJX14" s="55"/>
      <c r="PJY14" s="55"/>
      <c r="PJZ14" s="55"/>
      <c r="PKA14" s="55"/>
      <c r="PKB14" s="55"/>
      <c r="PKC14" s="55"/>
      <c r="PKD14" s="55"/>
      <c r="PKE14" s="55"/>
      <c r="PKF14" s="55"/>
      <c r="PKG14" s="55"/>
      <c r="PKH14" s="55"/>
      <c r="PKI14" s="55"/>
      <c r="PKJ14" s="55"/>
      <c r="PKK14" s="55"/>
      <c r="PKL14" s="55"/>
      <c r="PKM14" s="55"/>
      <c r="PKN14" s="55"/>
      <c r="PKO14" s="55"/>
      <c r="PKP14" s="55"/>
      <c r="PKQ14" s="55"/>
      <c r="PKR14" s="55"/>
      <c r="PKS14" s="55"/>
      <c r="PKT14" s="55"/>
      <c r="PKU14" s="55"/>
      <c r="PKV14" s="55"/>
      <c r="PKW14" s="55"/>
      <c r="PKX14" s="55"/>
      <c r="PKY14" s="55"/>
      <c r="PKZ14" s="55"/>
      <c r="PLA14" s="55"/>
      <c r="PLB14" s="55"/>
      <c r="PLC14" s="55"/>
      <c r="PLD14" s="55"/>
      <c r="PLE14" s="55"/>
      <c r="PLF14" s="55"/>
      <c r="PLG14" s="55"/>
      <c r="PLH14" s="55"/>
      <c r="PLI14" s="55"/>
      <c r="PLJ14" s="55"/>
      <c r="PLK14" s="55"/>
      <c r="PLL14" s="55"/>
      <c r="PLM14" s="55"/>
      <c r="PLN14" s="55"/>
      <c r="PLO14" s="55"/>
      <c r="PLP14" s="55"/>
      <c r="PLQ14" s="55"/>
      <c r="PLR14" s="55"/>
      <c r="PLS14" s="55"/>
      <c r="PLT14" s="55"/>
      <c r="PLU14" s="55"/>
      <c r="PLV14" s="55"/>
      <c r="PLW14" s="55"/>
      <c r="PLX14" s="55"/>
      <c r="PLY14" s="55"/>
      <c r="PLZ14" s="55"/>
      <c r="PMA14" s="55"/>
      <c r="PMB14" s="55"/>
      <c r="PMC14" s="55"/>
      <c r="PMD14" s="55"/>
      <c r="PME14" s="55"/>
      <c r="PMF14" s="55"/>
      <c r="PMG14" s="55"/>
      <c r="PMH14" s="55"/>
      <c r="PMI14" s="55"/>
      <c r="PMJ14" s="55"/>
      <c r="PMK14" s="55"/>
      <c r="PML14" s="55"/>
      <c r="PMM14" s="55"/>
      <c r="PMN14" s="55"/>
      <c r="PMO14" s="55"/>
      <c r="PMP14" s="55"/>
      <c r="PMQ14" s="55"/>
      <c r="PMR14" s="55"/>
      <c r="PMS14" s="55"/>
      <c r="PMT14" s="55"/>
      <c r="PMU14" s="55"/>
      <c r="PMV14" s="55"/>
      <c r="PMW14" s="55"/>
      <c r="PMX14" s="55"/>
      <c r="PMY14" s="55"/>
      <c r="PMZ14" s="55"/>
      <c r="PNA14" s="55"/>
      <c r="PNB14" s="55"/>
      <c r="PNC14" s="55"/>
      <c r="PND14" s="55"/>
      <c r="PNE14" s="55"/>
      <c r="PNF14" s="55"/>
      <c r="PNG14" s="55"/>
      <c r="PNH14" s="55"/>
      <c r="PNI14" s="55"/>
      <c r="PNJ14" s="55"/>
      <c r="PNK14" s="55"/>
      <c r="PNL14" s="55"/>
      <c r="PNM14" s="55"/>
      <c r="PNN14" s="55"/>
      <c r="PNO14" s="55"/>
      <c r="PNP14" s="55"/>
      <c r="PNQ14" s="55"/>
      <c r="PNR14" s="55"/>
      <c r="PNS14" s="55"/>
      <c r="PNT14" s="55"/>
      <c r="PNU14" s="55"/>
      <c r="PNV14" s="55"/>
      <c r="PNW14" s="55"/>
      <c r="PNX14" s="55"/>
      <c r="PNY14" s="55"/>
      <c r="PNZ14" s="55"/>
      <c r="POA14" s="55"/>
      <c r="POB14" s="55"/>
      <c r="POC14" s="55"/>
      <c r="POD14" s="55"/>
      <c r="POE14" s="55"/>
      <c r="POF14" s="55"/>
      <c r="POG14" s="55"/>
      <c r="POH14" s="55"/>
      <c r="POI14" s="55"/>
      <c r="POJ14" s="55"/>
      <c r="POK14" s="55"/>
      <c r="POL14" s="55"/>
      <c r="POM14" s="55"/>
      <c r="PON14" s="55"/>
      <c r="POO14" s="55"/>
      <c r="POP14" s="55"/>
      <c r="POQ14" s="55"/>
      <c r="POR14" s="55"/>
      <c r="POS14" s="55"/>
      <c r="POT14" s="55"/>
      <c r="POU14" s="55"/>
      <c r="POV14" s="55"/>
      <c r="POW14" s="55"/>
      <c r="POX14" s="55"/>
      <c r="POY14" s="55"/>
      <c r="POZ14" s="55"/>
      <c r="PPA14" s="55"/>
      <c r="PPB14" s="55"/>
      <c r="PPC14" s="55"/>
      <c r="PPD14" s="55"/>
      <c r="PPE14" s="55"/>
      <c r="PPF14" s="55"/>
      <c r="PPG14" s="55"/>
      <c r="PPH14" s="55"/>
      <c r="PPI14" s="55"/>
      <c r="PPJ14" s="55"/>
      <c r="PPK14" s="55"/>
      <c r="PPL14" s="55"/>
      <c r="PPM14" s="55"/>
      <c r="PPN14" s="55"/>
      <c r="PPO14" s="55"/>
      <c r="PPP14" s="55"/>
      <c r="PPQ14" s="55"/>
      <c r="PPR14" s="55"/>
      <c r="PPS14" s="55"/>
      <c r="PPT14" s="55"/>
      <c r="PPU14" s="55"/>
      <c r="PPV14" s="55"/>
      <c r="PPW14" s="55"/>
      <c r="PPX14" s="55"/>
      <c r="PPY14" s="55"/>
      <c r="PPZ14" s="55"/>
      <c r="PQA14" s="55"/>
      <c r="PQB14" s="55"/>
      <c r="PQC14" s="55"/>
      <c r="PQD14" s="55"/>
      <c r="PQE14" s="55"/>
      <c r="PQF14" s="55"/>
      <c r="PQG14" s="55"/>
      <c r="PQH14" s="55"/>
      <c r="PQI14" s="55"/>
      <c r="PQJ14" s="55"/>
      <c r="PQK14" s="55"/>
      <c r="PQL14" s="55"/>
      <c r="PQM14" s="55"/>
      <c r="PQN14" s="55"/>
      <c r="PQO14" s="55"/>
      <c r="PQP14" s="55"/>
      <c r="PQQ14" s="55"/>
      <c r="PQR14" s="55"/>
      <c r="PQS14" s="55"/>
      <c r="PQT14" s="55"/>
      <c r="PQU14" s="55"/>
      <c r="PQV14" s="55"/>
      <c r="PQW14" s="55"/>
      <c r="PQX14" s="55"/>
      <c r="PQY14" s="55"/>
      <c r="PQZ14" s="55"/>
      <c r="PRA14" s="55"/>
      <c r="PRB14" s="55"/>
      <c r="PRC14" s="55"/>
      <c r="PRD14" s="55"/>
      <c r="PRE14" s="55"/>
      <c r="PRF14" s="55"/>
      <c r="PRG14" s="55"/>
      <c r="PRH14" s="55"/>
      <c r="PRI14" s="55"/>
      <c r="PRJ14" s="55"/>
      <c r="PRK14" s="55"/>
      <c r="PRL14" s="55"/>
      <c r="PRM14" s="55"/>
      <c r="PRN14" s="55"/>
      <c r="PRO14" s="55"/>
      <c r="PRP14" s="55"/>
      <c r="PRQ14" s="55"/>
      <c r="PRR14" s="55"/>
      <c r="PRS14" s="55"/>
      <c r="PRT14" s="55"/>
      <c r="PRU14" s="55"/>
      <c r="PRV14" s="55"/>
      <c r="PRW14" s="55"/>
      <c r="PRX14" s="55"/>
      <c r="PRY14" s="55"/>
      <c r="PRZ14" s="55"/>
      <c r="PSA14" s="55"/>
      <c r="PSB14" s="55"/>
      <c r="PSC14" s="55"/>
      <c r="PSD14" s="55"/>
      <c r="PSE14" s="55"/>
      <c r="PSF14" s="55"/>
      <c r="PSG14" s="55"/>
      <c r="PSH14" s="55"/>
      <c r="PSI14" s="55"/>
      <c r="PSJ14" s="55"/>
      <c r="PSK14" s="55"/>
      <c r="PSL14" s="55"/>
      <c r="PSM14" s="55"/>
      <c r="PSN14" s="55"/>
      <c r="PSO14" s="55"/>
      <c r="PSP14" s="55"/>
      <c r="PSQ14" s="55"/>
      <c r="PSR14" s="55"/>
      <c r="PSS14" s="55"/>
      <c r="PST14" s="55"/>
      <c r="PSU14" s="55"/>
      <c r="PSV14" s="55"/>
      <c r="PSW14" s="55"/>
      <c r="PSX14" s="55"/>
      <c r="PSY14" s="55"/>
      <c r="PSZ14" s="55"/>
      <c r="PTA14" s="55"/>
      <c r="PTB14" s="55"/>
      <c r="PTC14" s="55"/>
      <c r="PTD14" s="55"/>
      <c r="PTE14" s="55"/>
      <c r="PTF14" s="55"/>
      <c r="PTG14" s="55"/>
      <c r="PTH14" s="55"/>
      <c r="PTI14" s="55"/>
      <c r="PTJ14" s="55"/>
      <c r="PTK14" s="55"/>
      <c r="PTL14" s="55"/>
      <c r="PTM14" s="55"/>
      <c r="PTN14" s="55"/>
      <c r="PTO14" s="55"/>
      <c r="PTP14" s="55"/>
      <c r="PTQ14" s="55"/>
      <c r="PTR14" s="55"/>
      <c r="PTS14" s="55"/>
      <c r="PTT14" s="55"/>
      <c r="PTU14" s="55"/>
      <c r="PTV14" s="55"/>
      <c r="PTW14" s="55"/>
      <c r="PTX14" s="55"/>
      <c r="PTY14" s="55"/>
      <c r="PTZ14" s="55"/>
      <c r="PUA14" s="55"/>
      <c r="PUB14" s="55"/>
      <c r="PUC14" s="55"/>
      <c r="PUD14" s="55"/>
      <c r="PUE14" s="55"/>
      <c r="PUF14" s="55"/>
      <c r="PUG14" s="55"/>
      <c r="PUH14" s="55"/>
      <c r="PUI14" s="55"/>
      <c r="PUJ14" s="55"/>
      <c r="PUK14" s="55"/>
      <c r="PUL14" s="55"/>
      <c r="PUM14" s="55"/>
      <c r="PUN14" s="55"/>
      <c r="PUO14" s="55"/>
      <c r="PUP14" s="55"/>
      <c r="PUQ14" s="55"/>
      <c r="PUR14" s="55"/>
      <c r="PUS14" s="55"/>
      <c r="PUT14" s="55"/>
      <c r="PUU14" s="55"/>
      <c r="PUV14" s="55"/>
      <c r="PUW14" s="55"/>
      <c r="PUX14" s="55"/>
      <c r="PUY14" s="55"/>
      <c r="PUZ14" s="55"/>
      <c r="PVA14" s="55"/>
      <c r="PVB14" s="55"/>
      <c r="PVC14" s="55"/>
      <c r="PVD14" s="55"/>
      <c r="PVE14" s="55"/>
      <c r="PVF14" s="55"/>
      <c r="PVG14" s="55"/>
      <c r="PVH14" s="55"/>
      <c r="PVI14" s="55"/>
      <c r="PVJ14" s="55"/>
      <c r="PVK14" s="55"/>
      <c r="PVL14" s="55"/>
      <c r="PVM14" s="55"/>
      <c r="PVN14" s="55"/>
      <c r="PVO14" s="55"/>
      <c r="PVP14" s="55"/>
      <c r="PVQ14" s="55"/>
      <c r="PVR14" s="55"/>
      <c r="PVS14" s="55"/>
      <c r="PVT14" s="55"/>
      <c r="PVU14" s="55"/>
      <c r="PVV14" s="55"/>
      <c r="PVW14" s="55"/>
      <c r="PVX14" s="55"/>
      <c r="PVY14" s="55"/>
      <c r="PVZ14" s="55"/>
      <c r="PWA14" s="55"/>
      <c r="PWB14" s="55"/>
      <c r="PWC14" s="55"/>
      <c r="PWD14" s="55"/>
      <c r="PWE14" s="55"/>
      <c r="PWF14" s="55"/>
      <c r="PWG14" s="55"/>
      <c r="PWH14" s="55"/>
      <c r="PWI14" s="55"/>
      <c r="PWJ14" s="55"/>
      <c r="PWK14" s="55"/>
      <c r="PWL14" s="55"/>
      <c r="PWM14" s="55"/>
      <c r="PWN14" s="55"/>
      <c r="PWO14" s="55"/>
      <c r="PWP14" s="55"/>
      <c r="PWQ14" s="55"/>
      <c r="PWR14" s="55"/>
      <c r="PWS14" s="55"/>
      <c r="PWT14" s="55"/>
      <c r="PWU14" s="55"/>
      <c r="PWV14" s="55"/>
      <c r="PWW14" s="55"/>
      <c r="PWX14" s="55"/>
      <c r="PWY14" s="55"/>
      <c r="PWZ14" s="55"/>
      <c r="PXA14" s="55"/>
      <c r="PXB14" s="55"/>
      <c r="PXC14" s="55"/>
      <c r="PXD14" s="55"/>
      <c r="PXE14" s="55"/>
      <c r="PXF14" s="55"/>
      <c r="PXG14" s="55"/>
      <c r="PXH14" s="55"/>
      <c r="PXI14" s="55"/>
      <c r="PXJ14" s="55"/>
      <c r="PXK14" s="55"/>
      <c r="PXL14" s="55"/>
      <c r="PXM14" s="55"/>
      <c r="PXN14" s="55"/>
      <c r="PXO14" s="55"/>
      <c r="PXP14" s="55"/>
      <c r="PXQ14" s="55"/>
      <c r="PXR14" s="55"/>
      <c r="PXS14" s="55"/>
      <c r="PXT14" s="55"/>
      <c r="PXU14" s="55"/>
      <c r="PXV14" s="55"/>
      <c r="PXW14" s="55"/>
      <c r="PXX14" s="55"/>
      <c r="PXY14" s="55"/>
      <c r="PXZ14" s="55"/>
      <c r="PYA14" s="55"/>
      <c r="PYB14" s="55"/>
      <c r="PYC14" s="55"/>
      <c r="PYD14" s="55"/>
      <c r="PYE14" s="55"/>
      <c r="PYF14" s="55"/>
      <c r="PYG14" s="55"/>
      <c r="PYH14" s="55"/>
      <c r="PYI14" s="55"/>
      <c r="PYJ14" s="55"/>
      <c r="PYK14" s="55"/>
      <c r="PYL14" s="55"/>
      <c r="PYM14" s="55"/>
      <c r="PYN14" s="55"/>
      <c r="PYO14" s="55"/>
      <c r="PYP14" s="55"/>
      <c r="PYQ14" s="55"/>
      <c r="PYR14" s="55"/>
      <c r="PYS14" s="55"/>
      <c r="PYT14" s="55"/>
      <c r="PYU14" s="55"/>
      <c r="PYV14" s="55"/>
      <c r="PYW14" s="55"/>
      <c r="PYX14" s="55"/>
      <c r="PYY14" s="55"/>
      <c r="PYZ14" s="55"/>
      <c r="PZA14" s="55"/>
      <c r="PZB14" s="55"/>
      <c r="PZC14" s="55"/>
      <c r="PZD14" s="55"/>
      <c r="PZE14" s="55"/>
      <c r="PZF14" s="55"/>
      <c r="PZG14" s="55"/>
      <c r="PZH14" s="55"/>
      <c r="PZI14" s="55"/>
      <c r="PZJ14" s="55"/>
      <c r="PZK14" s="55"/>
      <c r="PZL14" s="55"/>
      <c r="PZM14" s="55"/>
      <c r="PZN14" s="55"/>
      <c r="PZO14" s="55"/>
      <c r="PZP14" s="55"/>
      <c r="PZQ14" s="55"/>
      <c r="PZR14" s="55"/>
      <c r="PZS14" s="55"/>
      <c r="PZT14" s="55"/>
      <c r="PZU14" s="55"/>
      <c r="PZV14" s="55"/>
      <c r="PZW14" s="55"/>
      <c r="PZX14" s="55"/>
      <c r="PZY14" s="55"/>
      <c r="PZZ14" s="55"/>
      <c r="QAA14" s="55"/>
      <c r="QAB14" s="55"/>
      <c r="QAC14" s="55"/>
      <c r="QAD14" s="55"/>
      <c r="QAE14" s="55"/>
      <c r="QAF14" s="55"/>
      <c r="QAG14" s="55"/>
      <c r="QAH14" s="55"/>
      <c r="QAI14" s="55"/>
      <c r="QAJ14" s="55"/>
      <c r="QAK14" s="55"/>
      <c r="QAL14" s="55"/>
      <c r="QAM14" s="55"/>
      <c r="QAN14" s="55"/>
      <c r="QAO14" s="55"/>
      <c r="QAP14" s="55"/>
      <c r="QAQ14" s="55"/>
      <c r="QAR14" s="55"/>
      <c r="QAS14" s="55"/>
      <c r="QAT14" s="55"/>
      <c r="QAU14" s="55"/>
      <c r="QAV14" s="55"/>
      <c r="QAW14" s="55"/>
      <c r="QAX14" s="55"/>
      <c r="QAY14" s="55"/>
      <c r="QAZ14" s="55"/>
      <c r="QBA14" s="55"/>
      <c r="QBB14" s="55"/>
      <c r="QBC14" s="55"/>
      <c r="QBD14" s="55"/>
      <c r="QBE14" s="55"/>
      <c r="QBF14" s="55"/>
      <c r="QBG14" s="55"/>
      <c r="QBH14" s="55"/>
      <c r="QBI14" s="55"/>
      <c r="QBJ14" s="55"/>
      <c r="QBK14" s="55"/>
      <c r="QBL14" s="55"/>
      <c r="QBM14" s="55"/>
      <c r="QBN14" s="55"/>
      <c r="QBO14" s="55"/>
      <c r="QBP14" s="55"/>
      <c r="QBQ14" s="55"/>
      <c r="QBR14" s="55"/>
      <c r="QBS14" s="55"/>
      <c r="QBT14" s="55"/>
      <c r="QBU14" s="55"/>
      <c r="QBV14" s="55"/>
      <c r="QBW14" s="55"/>
      <c r="QBX14" s="55"/>
      <c r="QBY14" s="55"/>
      <c r="QBZ14" s="55"/>
      <c r="QCA14" s="55"/>
      <c r="QCB14" s="55"/>
      <c r="QCC14" s="55"/>
      <c r="QCD14" s="55"/>
      <c r="QCE14" s="55"/>
      <c r="QCF14" s="55"/>
      <c r="QCG14" s="55"/>
      <c r="QCH14" s="55"/>
      <c r="QCI14" s="55"/>
      <c r="QCJ14" s="55"/>
      <c r="QCK14" s="55"/>
      <c r="QCL14" s="55"/>
      <c r="QCM14" s="55"/>
      <c r="QCN14" s="55"/>
      <c r="QCO14" s="55"/>
      <c r="QCP14" s="55"/>
      <c r="QCQ14" s="55"/>
      <c r="QCR14" s="55"/>
      <c r="QCS14" s="55"/>
      <c r="QCT14" s="55"/>
      <c r="QCU14" s="55"/>
      <c r="QCV14" s="55"/>
      <c r="QCW14" s="55"/>
      <c r="QCX14" s="55"/>
      <c r="QCY14" s="55"/>
      <c r="QCZ14" s="55"/>
      <c r="QDA14" s="55"/>
      <c r="QDB14" s="55"/>
      <c r="QDC14" s="55"/>
      <c r="QDD14" s="55"/>
      <c r="QDE14" s="55"/>
      <c r="QDF14" s="55"/>
      <c r="QDG14" s="55"/>
      <c r="QDH14" s="55"/>
      <c r="QDI14" s="55"/>
      <c r="QDJ14" s="55"/>
      <c r="QDK14" s="55"/>
      <c r="QDL14" s="55"/>
      <c r="QDM14" s="55"/>
      <c r="QDN14" s="55"/>
      <c r="QDO14" s="55"/>
      <c r="QDP14" s="55"/>
      <c r="QDQ14" s="55"/>
      <c r="QDR14" s="55"/>
      <c r="QDS14" s="55"/>
      <c r="QDT14" s="55"/>
      <c r="QDU14" s="55"/>
      <c r="QDV14" s="55"/>
      <c r="QDW14" s="55"/>
      <c r="QDX14" s="55"/>
      <c r="QDY14" s="55"/>
      <c r="QDZ14" s="55"/>
      <c r="QEA14" s="55"/>
      <c r="QEB14" s="55"/>
      <c r="QEC14" s="55"/>
      <c r="QED14" s="55"/>
      <c r="QEE14" s="55"/>
      <c r="QEF14" s="55"/>
      <c r="QEG14" s="55"/>
      <c r="QEH14" s="55"/>
      <c r="QEI14" s="55"/>
      <c r="QEJ14" s="55"/>
      <c r="QEK14" s="55"/>
      <c r="QEL14" s="55"/>
      <c r="QEM14" s="55"/>
      <c r="QEN14" s="55"/>
      <c r="QEO14" s="55"/>
      <c r="QEP14" s="55"/>
      <c r="QEQ14" s="55"/>
      <c r="QER14" s="55"/>
      <c r="QES14" s="55"/>
      <c r="QET14" s="55"/>
      <c r="QEU14" s="55"/>
      <c r="QEV14" s="55"/>
      <c r="QEW14" s="55"/>
      <c r="QEX14" s="55"/>
      <c r="QEY14" s="55"/>
      <c r="QEZ14" s="55"/>
      <c r="QFA14" s="55"/>
      <c r="QFB14" s="55"/>
      <c r="QFC14" s="55"/>
      <c r="QFD14" s="55"/>
      <c r="QFE14" s="55"/>
      <c r="QFF14" s="55"/>
      <c r="QFG14" s="55"/>
      <c r="QFH14" s="55"/>
      <c r="QFI14" s="55"/>
      <c r="QFJ14" s="55"/>
      <c r="QFK14" s="55"/>
      <c r="QFL14" s="55"/>
      <c r="QFM14" s="55"/>
      <c r="QFN14" s="55"/>
      <c r="QFO14" s="55"/>
      <c r="QFP14" s="55"/>
      <c r="QFQ14" s="55"/>
      <c r="QFR14" s="55"/>
      <c r="QFS14" s="55"/>
      <c r="QFT14" s="55"/>
      <c r="QFU14" s="55"/>
      <c r="QFV14" s="55"/>
      <c r="QFW14" s="55"/>
      <c r="QFX14" s="55"/>
      <c r="QFY14" s="55"/>
      <c r="QFZ14" s="55"/>
      <c r="QGA14" s="55"/>
      <c r="QGB14" s="55"/>
      <c r="QGC14" s="55"/>
      <c r="QGD14" s="55"/>
      <c r="QGE14" s="55"/>
      <c r="QGF14" s="55"/>
      <c r="QGG14" s="55"/>
      <c r="QGH14" s="55"/>
      <c r="QGI14" s="55"/>
      <c r="QGJ14" s="55"/>
      <c r="QGK14" s="55"/>
      <c r="QGL14" s="55"/>
      <c r="QGM14" s="55"/>
      <c r="QGN14" s="55"/>
      <c r="QGO14" s="55"/>
      <c r="QGP14" s="55"/>
      <c r="QGQ14" s="55"/>
      <c r="QGR14" s="55"/>
      <c r="QGS14" s="55"/>
      <c r="QGT14" s="55"/>
      <c r="QGU14" s="55"/>
      <c r="QGV14" s="55"/>
      <c r="QGW14" s="55"/>
      <c r="QGX14" s="55"/>
      <c r="QGY14" s="55"/>
      <c r="QGZ14" s="55"/>
      <c r="QHA14" s="55"/>
      <c r="QHB14" s="55"/>
      <c r="QHC14" s="55"/>
      <c r="QHD14" s="55"/>
      <c r="QHE14" s="55"/>
      <c r="QHF14" s="55"/>
      <c r="QHG14" s="55"/>
      <c r="QHH14" s="55"/>
      <c r="QHI14" s="55"/>
      <c r="QHJ14" s="55"/>
      <c r="QHK14" s="55"/>
      <c r="QHL14" s="55"/>
      <c r="QHM14" s="55"/>
      <c r="QHN14" s="55"/>
      <c r="QHO14" s="55"/>
      <c r="QHP14" s="55"/>
      <c r="QHQ14" s="55"/>
      <c r="QHR14" s="55"/>
      <c r="QHS14" s="55"/>
      <c r="QHT14" s="55"/>
      <c r="QHU14" s="55"/>
      <c r="QHV14" s="55"/>
      <c r="QHW14" s="55"/>
      <c r="QHX14" s="55"/>
      <c r="QHY14" s="55"/>
      <c r="QHZ14" s="55"/>
      <c r="QIA14" s="55"/>
      <c r="QIB14" s="55"/>
      <c r="QIC14" s="55"/>
      <c r="QID14" s="55"/>
      <c r="QIE14" s="55"/>
      <c r="QIF14" s="55"/>
      <c r="QIG14" s="55"/>
      <c r="QIH14" s="55"/>
      <c r="QII14" s="55"/>
      <c r="QIJ14" s="55"/>
      <c r="QIK14" s="55"/>
      <c r="QIL14" s="55"/>
      <c r="QIM14" s="55"/>
      <c r="QIN14" s="55"/>
      <c r="QIO14" s="55"/>
      <c r="QIP14" s="55"/>
      <c r="QIQ14" s="55"/>
      <c r="QIR14" s="55"/>
      <c r="QIS14" s="55"/>
      <c r="QIT14" s="55"/>
      <c r="QIU14" s="55"/>
      <c r="QIV14" s="55"/>
      <c r="QIW14" s="55"/>
      <c r="QIX14" s="55"/>
      <c r="QIY14" s="55"/>
      <c r="QIZ14" s="55"/>
      <c r="QJA14" s="55"/>
      <c r="QJB14" s="55"/>
      <c r="QJC14" s="55"/>
      <c r="QJD14" s="55"/>
      <c r="QJE14" s="55"/>
      <c r="QJF14" s="55"/>
      <c r="QJG14" s="55"/>
      <c r="QJH14" s="55"/>
      <c r="QJI14" s="55"/>
      <c r="QJJ14" s="55"/>
      <c r="QJK14" s="55"/>
      <c r="QJL14" s="55"/>
      <c r="QJM14" s="55"/>
      <c r="QJN14" s="55"/>
      <c r="QJO14" s="55"/>
      <c r="QJP14" s="55"/>
      <c r="QJQ14" s="55"/>
      <c r="QJR14" s="55"/>
      <c r="QJS14" s="55"/>
      <c r="QJT14" s="55"/>
      <c r="QJU14" s="55"/>
      <c r="QJV14" s="55"/>
      <c r="QJW14" s="55"/>
      <c r="QJX14" s="55"/>
      <c r="QJY14" s="55"/>
      <c r="QJZ14" s="55"/>
      <c r="QKA14" s="55"/>
      <c r="QKB14" s="55"/>
      <c r="QKC14" s="55"/>
      <c r="QKD14" s="55"/>
      <c r="QKE14" s="55"/>
      <c r="QKF14" s="55"/>
      <c r="QKG14" s="55"/>
      <c r="QKH14" s="55"/>
      <c r="QKI14" s="55"/>
      <c r="QKJ14" s="55"/>
      <c r="QKK14" s="55"/>
      <c r="QKL14" s="55"/>
      <c r="QKM14" s="55"/>
      <c r="QKN14" s="55"/>
      <c r="QKO14" s="55"/>
      <c r="QKP14" s="55"/>
      <c r="QKQ14" s="55"/>
      <c r="QKR14" s="55"/>
      <c r="QKS14" s="55"/>
      <c r="QKT14" s="55"/>
      <c r="QKU14" s="55"/>
      <c r="QKV14" s="55"/>
      <c r="QKW14" s="55"/>
      <c r="QKX14" s="55"/>
      <c r="QKY14" s="55"/>
      <c r="QKZ14" s="55"/>
      <c r="QLA14" s="55"/>
      <c r="QLB14" s="55"/>
      <c r="QLC14" s="55"/>
      <c r="QLD14" s="55"/>
      <c r="QLE14" s="55"/>
      <c r="QLF14" s="55"/>
      <c r="QLG14" s="55"/>
      <c r="QLH14" s="55"/>
      <c r="QLI14" s="55"/>
      <c r="QLJ14" s="55"/>
      <c r="QLK14" s="55"/>
      <c r="QLL14" s="55"/>
      <c r="QLM14" s="55"/>
      <c r="QLN14" s="55"/>
      <c r="QLO14" s="55"/>
      <c r="QLP14" s="55"/>
      <c r="QLQ14" s="55"/>
      <c r="QLR14" s="55"/>
      <c r="QLS14" s="55"/>
      <c r="QLT14" s="55"/>
      <c r="QLU14" s="55"/>
      <c r="QLV14" s="55"/>
      <c r="QLW14" s="55"/>
      <c r="QLX14" s="55"/>
      <c r="QLY14" s="55"/>
      <c r="QLZ14" s="55"/>
      <c r="QMA14" s="55"/>
      <c r="QMB14" s="55"/>
      <c r="QMC14" s="55"/>
      <c r="QMD14" s="55"/>
      <c r="QME14" s="55"/>
      <c r="QMF14" s="55"/>
      <c r="QMG14" s="55"/>
      <c r="QMH14" s="55"/>
      <c r="QMI14" s="55"/>
      <c r="QMJ14" s="55"/>
      <c r="QMK14" s="55"/>
      <c r="QML14" s="55"/>
      <c r="QMM14" s="55"/>
      <c r="QMN14" s="55"/>
      <c r="QMO14" s="55"/>
      <c r="QMP14" s="55"/>
      <c r="QMQ14" s="55"/>
      <c r="QMR14" s="55"/>
      <c r="QMS14" s="55"/>
      <c r="QMT14" s="55"/>
      <c r="QMU14" s="55"/>
      <c r="QMV14" s="55"/>
      <c r="QMW14" s="55"/>
      <c r="QMX14" s="55"/>
      <c r="QMY14" s="55"/>
      <c r="QMZ14" s="55"/>
      <c r="QNA14" s="55"/>
      <c r="QNB14" s="55"/>
      <c r="QNC14" s="55"/>
      <c r="QND14" s="55"/>
      <c r="QNE14" s="55"/>
      <c r="QNF14" s="55"/>
      <c r="QNG14" s="55"/>
      <c r="QNH14" s="55"/>
      <c r="QNI14" s="55"/>
      <c r="QNJ14" s="55"/>
      <c r="QNK14" s="55"/>
      <c r="QNL14" s="55"/>
      <c r="QNM14" s="55"/>
      <c r="QNN14" s="55"/>
      <c r="QNO14" s="55"/>
      <c r="QNP14" s="55"/>
      <c r="QNQ14" s="55"/>
      <c r="QNR14" s="55"/>
      <c r="QNS14" s="55"/>
      <c r="QNT14" s="55"/>
      <c r="QNU14" s="55"/>
      <c r="QNV14" s="55"/>
      <c r="QNW14" s="55"/>
      <c r="QNX14" s="55"/>
      <c r="QNY14" s="55"/>
      <c r="QNZ14" s="55"/>
      <c r="QOA14" s="55"/>
      <c r="QOB14" s="55"/>
      <c r="QOC14" s="55"/>
      <c r="QOD14" s="55"/>
      <c r="QOE14" s="55"/>
      <c r="QOF14" s="55"/>
      <c r="QOG14" s="55"/>
      <c r="QOH14" s="55"/>
      <c r="QOI14" s="55"/>
      <c r="QOJ14" s="55"/>
      <c r="QOK14" s="55"/>
      <c r="QOL14" s="55"/>
      <c r="QOM14" s="55"/>
      <c r="QON14" s="55"/>
      <c r="QOO14" s="55"/>
      <c r="QOP14" s="55"/>
      <c r="QOQ14" s="55"/>
      <c r="QOR14" s="55"/>
      <c r="QOS14" s="55"/>
      <c r="QOT14" s="55"/>
      <c r="QOU14" s="55"/>
      <c r="QOV14" s="55"/>
      <c r="QOW14" s="55"/>
      <c r="QOX14" s="55"/>
      <c r="QOY14" s="55"/>
      <c r="QOZ14" s="55"/>
      <c r="QPA14" s="55"/>
      <c r="QPB14" s="55"/>
      <c r="QPC14" s="55"/>
      <c r="QPD14" s="55"/>
      <c r="QPE14" s="55"/>
      <c r="QPF14" s="55"/>
      <c r="QPG14" s="55"/>
      <c r="QPH14" s="55"/>
      <c r="QPI14" s="55"/>
      <c r="QPJ14" s="55"/>
      <c r="QPK14" s="55"/>
      <c r="QPL14" s="55"/>
      <c r="QPM14" s="55"/>
      <c r="QPN14" s="55"/>
      <c r="QPO14" s="55"/>
      <c r="QPP14" s="55"/>
      <c r="QPQ14" s="55"/>
      <c r="QPR14" s="55"/>
      <c r="QPS14" s="55"/>
      <c r="QPT14" s="55"/>
      <c r="QPU14" s="55"/>
      <c r="QPV14" s="55"/>
      <c r="QPW14" s="55"/>
      <c r="QPX14" s="55"/>
      <c r="QPY14" s="55"/>
      <c r="QPZ14" s="55"/>
      <c r="QQA14" s="55"/>
      <c r="QQB14" s="55"/>
      <c r="QQC14" s="55"/>
      <c r="QQD14" s="55"/>
      <c r="QQE14" s="55"/>
      <c r="QQF14" s="55"/>
      <c r="QQG14" s="55"/>
      <c r="QQH14" s="55"/>
      <c r="QQI14" s="55"/>
      <c r="QQJ14" s="55"/>
      <c r="QQK14" s="55"/>
      <c r="QQL14" s="55"/>
      <c r="QQM14" s="55"/>
      <c r="QQN14" s="55"/>
      <c r="QQO14" s="55"/>
      <c r="QQP14" s="55"/>
      <c r="QQQ14" s="55"/>
      <c r="QQR14" s="55"/>
      <c r="QQS14" s="55"/>
      <c r="QQT14" s="55"/>
      <c r="QQU14" s="55"/>
      <c r="QQV14" s="55"/>
      <c r="QQW14" s="55"/>
      <c r="QQX14" s="55"/>
      <c r="QQY14" s="55"/>
      <c r="QQZ14" s="55"/>
      <c r="QRA14" s="55"/>
      <c r="QRB14" s="55"/>
      <c r="QRC14" s="55"/>
      <c r="QRD14" s="55"/>
      <c r="QRE14" s="55"/>
      <c r="QRF14" s="55"/>
      <c r="QRG14" s="55"/>
      <c r="QRH14" s="55"/>
      <c r="QRI14" s="55"/>
      <c r="QRJ14" s="55"/>
      <c r="QRK14" s="55"/>
      <c r="QRL14" s="55"/>
      <c r="QRM14" s="55"/>
      <c r="QRN14" s="55"/>
      <c r="QRO14" s="55"/>
      <c r="QRP14" s="55"/>
      <c r="QRQ14" s="55"/>
      <c r="QRR14" s="55"/>
      <c r="QRS14" s="55"/>
      <c r="QRT14" s="55"/>
      <c r="QRU14" s="55"/>
      <c r="QRV14" s="55"/>
      <c r="QRW14" s="55"/>
      <c r="QRX14" s="55"/>
      <c r="QRY14" s="55"/>
      <c r="QRZ14" s="55"/>
      <c r="QSA14" s="55"/>
      <c r="QSB14" s="55"/>
      <c r="QSC14" s="55"/>
      <c r="QSD14" s="55"/>
      <c r="QSE14" s="55"/>
      <c r="QSF14" s="55"/>
      <c r="QSG14" s="55"/>
      <c r="QSH14" s="55"/>
      <c r="QSI14" s="55"/>
      <c r="QSJ14" s="55"/>
      <c r="QSK14" s="55"/>
      <c r="QSL14" s="55"/>
      <c r="QSM14" s="55"/>
      <c r="QSN14" s="55"/>
      <c r="QSO14" s="55"/>
      <c r="QSP14" s="55"/>
      <c r="QSQ14" s="55"/>
      <c r="QSR14" s="55"/>
      <c r="QSS14" s="55"/>
      <c r="QST14" s="55"/>
      <c r="QSU14" s="55"/>
      <c r="QSV14" s="55"/>
      <c r="QSW14" s="55"/>
      <c r="QSX14" s="55"/>
      <c r="QSY14" s="55"/>
      <c r="QSZ14" s="55"/>
      <c r="QTA14" s="55"/>
      <c r="QTB14" s="55"/>
      <c r="QTC14" s="55"/>
      <c r="QTD14" s="55"/>
      <c r="QTE14" s="55"/>
      <c r="QTF14" s="55"/>
      <c r="QTG14" s="55"/>
      <c r="QTH14" s="55"/>
      <c r="QTI14" s="55"/>
      <c r="QTJ14" s="55"/>
      <c r="QTK14" s="55"/>
      <c r="QTL14" s="55"/>
      <c r="QTM14" s="55"/>
      <c r="QTN14" s="55"/>
      <c r="QTO14" s="55"/>
      <c r="QTP14" s="55"/>
      <c r="QTQ14" s="55"/>
      <c r="QTR14" s="55"/>
      <c r="QTS14" s="55"/>
      <c r="QTT14" s="55"/>
      <c r="QTU14" s="55"/>
      <c r="QTV14" s="55"/>
      <c r="QTW14" s="55"/>
      <c r="QTX14" s="55"/>
      <c r="QTY14" s="55"/>
      <c r="QTZ14" s="55"/>
      <c r="QUA14" s="55"/>
      <c r="QUB14" s="55"/>
      <c r="QUC14" s="55"/>
      <c r="QUD14" s="55"/>
      <c r="QUE14" s="55"/>
      <c r="QUF14" s="55"/>
      <c r="QUG14" s="55"/>
      <c r="QUH14" s="55"/>
      <c r="QUI14" s="55"/>
      <c r="QUJ14" s="55"/>
      <c r="QUK14" s="55"/>
      <c r="QUL14" s="55"/>
      <c r="QUM14" s="55"/>
      <c r="QUN14" s="55"/>
      <c r="QUO14" s="55"/>
      <c r="QUP14" s="55"/>
      <c r="QUQ14" s="55"/>
      <c r="QUR14" s="55"/>
      <c r="QUS14" s="55"/>
      <c r="QUT14" s="55"/>
      <c r="QUU14" s="55"/>
      <c r="QUV14" s="55"/>
      <c r="QUW14" s="55"/>
      <c r="QUX14" s="55"/>
      <c r="QUY14" s="55"/>
      <c r="QUZ14" s="55"/>
      <c r="QVA14" s="55"/>
      <c r="QVB14" s="55"/>
      <c r="QVC14" s="55"/>
      <c r="QVD14" s="55"/>
      <c r="QVE14" s="55"/>
      <c r="QVF14" s="55"/>
      <c r="QVG14" s="55"/>
      <c r="QVH14" s="55"/>
      <c r="QVI14" s="55"/>
      <c r="QVJ14" s="55"/>
      <c r="QVK14" s="55"/>
      <c r="QVL14" s="55"/>
      <c r="QVM14" s="55"/>
      <c r="QVN14" s="55"/>
      <c r="QVO14" s="55"/>
      <c r="QVP14" s="55"/>
      <c r="QVQ14" s="55"/>
      <c r="QVR14" s="55"/>
      <c r="QVS14" s="55"/>
      <c r="QVT14" s="55"/>
      <c r="QVU14" s="55"/>
      <c r="QVV14" s="55"/>
      <c r="QVW14" s="55"/>
      <c r="QVX14" s="55"/>
      <c r="QVY14" s="55"/>
      <c r="QVZ14" s="55"/>
      <c r="QWA14" s="55"/>
      <c r="QWB14" s="55"/>
      <c r="QWC14" s="55"/>
      <c r="QWD14" s="55"/>
      <c r="QWE14" s="55"/>
      <c r="QWF14" s="55"/>
      <c r="QWG14" s="55"/>
      <c r="QWH14" s="55"/>
      <c r="QWI14" s="55"/>
      <c r="QWJ14" s="55"/>
      <c r="QWK14" s="55"/>
      <c r="QWL14" s="55"/>
      <c r="QWM14" s="55"/>
      <c r="QWN14" s="55"/>
      <c r="QWO14" s="55"/>
      <c r="QWP14" s="55"/>
      <c r="QWQ14" s="55"/>
      <c r="QWR14" s="55"/>
      <c r="QWS14" s="55"/>
      <c r="QWT14" s="55"/>
      <c r="QWU14" s="55"/>
      <c r="QWV14" s="55"/>
      <c r="QWW14" s="55"/>
      <c r="QWX14" s="55"/>
      <c r="QWY14" s="55"/>
      <c r="QWZ14" s="55"/>
      <c r="QXA14" s="55"/>
      <c r="QXB14" s="55"/>
      <c r="QXC14" s="55"/>
      <c r="QXD14" s="55"/>
      <c r="QXE14" s="55"/>
      <c r="QXF14" s="55"/>
      <c r="QXG14" s="55"/>
      <c r="QXH14" s="55"/>
      <c r="QXI14" s="55"/>
      <c r="QXJ14" s="55"/>
      <c r="QXK14" s="55"/>
      <c r="QXL14" s="55"/>
      <c r="QXM14" s="55"/>
      <c r="QXN14" s="55"/>
      <c r="QXO14" s="55"/>
      <c r="QXP14" s="55"/>
      <c r="QXQ14" s="55"/>
      <c r="QXR14" s="55"/>
      <c r="QXS14" s="55"/>
      <c r="QXT14" s="55"/>
      <c r="QXU14" s="55"/>
      <c r="QXV14" s="55"/>
      <c r="QXW14" s="55"/>
      <c r="QXX14" s="55"/>
      <c r="QXY14" s="55"/>
      <c r="QXZ14" s="55"/>
      <c r="QYA14" s="55"/>
      <c r="QYB14" s="55"/>
      <c r="QYC14" s="55"/>
      <c r="QYD14" s="55"/>
      <c r="QYE14" s="55"/>
      <c r="QYF14" s="55"/>
      <c r="QYG14" s="55"/>
      <c r="QYH14" s="55"/>
      <c r="QYI14" s="55"/>
      <c r="QYJ14" s="55"/>
      <c r="QYK14" s="55"/>
      <c r="QYL14" s="55"/>
      <c r="QYM14" s="55"/>
      <c r="QYN14" s="55"/>
      <c r="QYO14" s="55"/>
      <c r="QYP14" s="55"/>
      <c r="QYQ14" s="55"/>
      <c r="QYR14" s="55"/>
      <c r="QYS14" s="55"/>
      <c r="QYT14" s="55"/>
      <c r="QYU14" s="55"/>
      <c r="QYV14" s="55"/>
      <c r="QYW14" s="55"/>
      <c r="QYX14" s="55"/>
      <c r="QYY14" s="55"/>
      <c r="QYZ14" s="55"/>
      <c r="QZA14" s="55"/>
      <c r="QZB14" s="55"/>
      <c r="QZC14" s="55"/>
      <c r="QZD14" s="55"/>
      <c r="QZE14" s="55"/>
      <c r="QZF14" s="55"/>
      <c r="QZG14" s="55"/>
      <c r="QZH14" s="55"/>
      <c r="QZI14" s="55"/>
      <c r="QZJ14" s="55"/>
      <c r="QZK14" s="55"/>
      <c r="QZL14" s="55"/>
      <c r="QZM14" s="55"/>
      <c r="QZN14" s="55"/>
      <c r="QZO14" s="55"/>
      <c r="QZP14" s="55"/>
      <c r="QZQ14" s="55"/>
      <c r="QZR14" s="55"/>
      <c r="QZS14" s="55"/>
      <c r="QZT14" s="55"/>
      <c r="QZU14" s="55"/>
      <c r="QZV14" s="55"/>
      <c r="QZW14" s="55"/>
      <c r="QZX14" s="55"/>
      <c r="QZY14" s="55"/>
      <c r="QZZ14" s="55"/>
      <c r="RAA14" s="55"/>
      <c r="RAB14" s="55"/>
      <c r="RAC14" s="55"/>
      <c r="RAD14" s="55"/>
      <c r="RAE14" s="55"/>
      <c r="RAF14" s="55"/>
      <c r="RAG14" s="55"/>
      <c r="RAH14" s="55"/>
      <c r="RAI14" s="55"/>
      <c r="RAJ14" s="55"/>
      <c r="RAK14" s="55"/>
      <c r="RAL14" s="55"/>
      <c r="RAM14" s="55"/>
      <c r="RAN14" s="55"/>
      <c r="RAO14" s="55"/>
      <c r="RAP14" s="55"/>
      <c r="RAQ14" s="55"/>
      <c r="RAR14" s="55"/>
      <c r="RAS14" s="55"/>
      <c r="RAT14" s="55"/>
      <c r="RAU14" s="55"/>
      <c r="RAV14" s="55"/>
      <c r="RAW14" s="55"/>
      <c r="RAX14" s="55"/>
      <c r="RAY14" s="55"/>
      <c r="RAZ14" s="55"/>
      <c r="RBA14" s="55"/>
      <c r="RBB14" s="55"/>
      <c r="RBC14" s="55"/>
      <c r="RBD14" s="55"/>
      <c r="RBE14" s="55"/>
      <c r="RBF14" s="55"/>
      <c r="RBG14" s="55"/>
      <c r="RBH14" s="55"/>
      <c r="RBI14" s="55"/>
      <c r="RBJ14" s="55"/>
      <c r="RBK14" s="55"/>
      <c r="RBL14" s="55"/>
      <c r="RBM14" s="55"/>
      <c r="RBN14" s="55"/>
      <c r="RBO14" s="55"/>
      <c r="RBP14" s="55"/>
      <c r="RBQ14" s="55"/>
      <c r="RBR14" s="55"/>
      <c r="RBS14" s="55"/>
      <c r="RBT14" s="55"/>
      <c r="RBU14" s="55"/>
      <c r="RBV14" s="55"/>
      <c r="RBW14" s="55"/>
      <c r="RBX14" s="55"/>
      <c r="RBY14" s="55"/>
      <c r="RBZ14" s="55"/>
      <c r="RCA14" s="55"/>
      <c r="RCB14" s="55"/>
      <c r="RCC14" s="55"/>
      <c r="RCD14" s="55"/>
      <c r="RCE14" s="55"/>
      <c r="RCF14" s="55"/>
      <c r="RCG14" s="55"/>
      <c r="RCH14" s="55"/>
      <c r="RCI14" s="55"/>
      <c r="RCJ14" s="55"/>
      <c r="RCK14" s="55"/>
      <c r="RCL14" s="55"/>
      <c r="RCM14" s="55"/>
      <c r="RCN14" s="55"/>
      <c r="RCO14" s="55"/>
      <c r="RCP14" s="55"/>
      <c r="RCQ14" s="55"/>
      <c r="RCR14" s="55"/>
      <c r="RCS14" s="55"/>
      <c r="RCT14" s="55"/>
      <c r="RCU14" s="55"/>
      <c r="RCV14" s="55"/>
      <c r="RCW14" s="55"/>
      <c r="RCX14" s="55"/>
      <c r="RCY14" s="55"/>
      <c r="RCZ14" s="55"/>
      <c r="RDA14" s="55"/>
      <c r="RDB14" s="55"/>
      <c r="RDC14" s="55"/>
      <c r="RDD14" s="55"/>
      <c r="RDE14" s="55"/>
      <c r="RDF14" s="55"/>
      <c r="RDG14" s="55"/>
      <c r="RDH14" s="55"/>
      <c r="RDI14" s="55"/>
      <c r="RDJ14" s="55"/>
      <c r="RDK14" s="55"/>
      <c r="RDL14" s="55"/>
      <c r="RDM14" s="55"/>
      <c r="RDN14" s="55"/>
      <c r="RDO14" s="55"/>
      <c r="RDP14" s="55"/>
      <c r="RDQ14" s="55"/>
      <c r="RDR14" s="55"/>
      <c r="RDS14" s="55"/>
      <c r="RDT14" s="55"/>
      <c r="RDU14" s="55"/>
      <c r="RDV14" s="55"/>
      <c r="RDW14" s="55"/>
      <c r="RDX14" s="55"/>
      <c r="RDY14" s="55"/>
      <c r="RDZ14" s="55"/>
      <c r="REA14" s="55"/>
      <c r="REB14" s="55"/>
      <c r="REC14" s="55"/>
      <c r="RED14" s="55"/>
      <c r="REE14" s="55"/>
      <c r="REF14" s="55"/>
      <c r="REG14" s="55"/>
      <c r="REH14" s="55"/>
      <c r="REI14" s="55"/>
      <c r="REJ14" s="55"/>
      <c r="REK14" s="55"/>
      <c r="REL14" s="55"/>
      <c r="REM14" s="55"/>
      <c r="REN14" s="55"/>
      <c r="REO14" s="55"/>
      <c r="REP14" s="55"/>
      <c r="REQ14" s="55"/>
      <c r="RER14" s="55"/>
      <c r="RES14" s="55"/>
      <c r="RET14" s="55"/>
      <c r="REU14" s="55"/>
      <c r="REV14" s="55"/>
      <c r="REW14" s="55"/>
      <c r="REX14" s="55"/>
      <c r="REY14" s="55"/>
      <c r="REZ14" s="55"/>
      <c r="RFA14" s="55"/>
      <c r="RFB14" s="55"/>
      <c r="RFC14" s="55"/>
      <c r="RFD14" s="55"/>
      <c r="RFE14" s="55"/>
      <c r="RFF14" s="55"/>
      <c r="RFG14" s="55"/>
      <c r="RFH14" s="55"/>
      <c r="RFI14" s="55"/>
      <c r="RFJ14" s="55"/>
      <c r="RFK14" s="55"/>
      <c r="RFL14" s="55"/>
      <c r="RFM14" s="55"/>
      <c r="RFN14" s="55"/>
      <c r="RFO14" s="55"/>
      <c r="RFP14" s="55"/>
      <c r="RFQ14" s="55"/>
      <c r="RFR14" s="55"/>
      <c r="RFS14" s="55"/>
      <c r="RFT14" s="55"/>
      <c r="RFU14" s="55"/>
      <c r="RFV14" s="55"/>
      <c r="RFW14" s="55"/>
      <c r="RFX14" s="55"/>
      <c r="RFY14" s="55"/>
      <c r="RFZ14" s="55"/>
      <c r="RGA14" s="55"/>
      <c r="RGB14" s="55"/>
      <c r="RGC14" s="55"/>
      <c r="RGD14" s="55"/>
      <c r="RGE14" s="55"/>
      <c r="RGF14" s="55"/>
      <c r="RGG14" s="55"/>
      <c r="RGH14" s="55"/>
      <c r="RGI14" s="55"/>
      <c r="RGJ14" s="55"/>
      <c r="RGK14" s="55"/>
      <c r="RGL14" s="55"/>
      <c r="RGM14" s="55"/>
      <c r="RGN14" s="55"/>
      <c r="RGO14" s="55"/>
      <c r="RGP14" s="55"/>
      <c r="RGQ14" s="55"/>
      <c r="RGR14" s="55"/>
      <c r="RGS14" s="55"/>
      <c r="RGT14" s="55"/>
      <c r="RGU14" s="55"/>
      <c r="RGV14" s="55"/>
      <c r="RGW14" s="55"/>
      <c r="RGX14" s="55"/>
      <c r="RGY14" s="55"/>
      <c r="RGZ14" s="55"/>
      <c r="RHA14" s="55"/>
      <c r="RHB14" s="55"/>
      <c r="RHC14" s="55"/>
      <c r="RHD14" s="55"/>
      <c r="RHE14" s="55"/>
      <c r="RHF14" s="55"/>
      <c r="RHG14" s="55"/>
      <c r="RHH14" s="55"/>
      <c r="RHI14" s="55"/>
      <c r="RHJ14" s="55"/>
      <c r="RHK14" s="55"/>
      <c r="RHL14" s="55"/>
      <c r="RHM14" s="55"/>
      <c r="RHN14" s="55"/>
      <c r="RHO14" s="55"/>
      <c r="RHP14" s="55"/>
      <c r="RHQ14" s="55"/>
      <c r="RHR14" s="55"/>
      <c r="RHS14" s="55"/>
      <c r="RHT14" s="55"/>
      <c r="RHU14" s="55"/>
      <c r="RHV14" s="55"/>
      <c r="RHW14" s="55"/>
      <c r="RHX14" s="55"/>
      <c r="RHY14" s="55"/>
      <c r="RHZ14" s="55"/>
      <c r="RIA14" s="55"/>
      <c r="RIB14" s="55"/>
      <c r="RIC14" s="55"/>
      <c r="RID14" s="55"/>
      <c r="RIE14" s="55"/>
      <c r="RIF14" s="55"/>
      <c r="RIG14" s="55"/>
      <c r="RIH14" s="55"/>
      <c r="RII14" s="55"/>
      <c r="RIJ14" s="55"/>
      <c r="RIK14" s="55"/>
      <c r="RIL14" s="55"/>
      <c r="RIM14" s="55"/>
      <c r="RIN14" s="55"/>
      <c r="RIO14" s="55"/>
      <c r="RIP14" s="55"/>
      <c r="RIQ14" s="55"/>
      <c r="RIR14" s="55"/>
      <c r="RIS14" s="55"/>
      <c r="RIT14" s="55"/>
      <c r="RIU14" s="55"/>
      <c r="RIV14" s="55"/>
      <c r="RIW14" s="55"/>
      <c r="RIX14" s="55"/>
      <c r="RIY14" s="55"/>
      <c r="RIZ14" s="55"/>
      <c r="RJA14" s="55"/>
      <c r="RJB14" s="55"/>
      <c r="RJC14" s="55"/>
      <c r="RJD14" s="55"/>
      <c r="RJE14" s="55"/>
      <c r="RJF14" s="55"/>
      <c r="RJG14" s="55"/>
      <c r="RJH14" s="55"/>
      <c r="RJI14" s="55"/>
      <c r="RJJ14" s="55"/>
      <c r="RJK14" s="55"/>
      <c r="RJL14" s="55"/>
      <c r="RJM14" s="55"/>
      <c r="RJN14" s="55"/>
      <c r="RJO14" s="55"/>
      <c r="RJP14" s="55"/>
      <c r="RJQ14" s="55"/>
      <c r="RJR14" s="55"/>
      <c r="RJS14" s="55"/>
      <c r="RJT14" s="55"/>
      <c r="RJU14" s="55"/>
      <c r="RJV14" s="55"/>
      <c r="RJW14" s="55"/>
      <c r="RJX14" s="55"/>
      <c r="RJY14" s="55"/>
      <c r="RJZ14" s="55"/>
      <c r="RKA14" s="55"/>
      <c r="RKB14" s="55"/>
      <c r="RKC14" s="55"/>
      <c r="RKD14" s="55"/>
      <c r="RKE14" s="55"/>
      <c r="RKF14" s="55"/>
      <c r="RKG14" s="55"/>
      <c r="RKH14" s="55"/>
      <c r="RKI14" s="55"/>
      <c r="RKJ14" s="55"/>
      <c r="RKK14" s="55"/>
      <c r="RKL14" s="55"/>
      <c r="RKM14" s="55"/>
      <c r="RKN14" s="55"/>
      <c r="RKO14" s="55"/>
      <c r="RKP14" s="55"/>
      <c r="RKQ14" s="55"/>
      <c r="RKR14" s="55"/>
      <c r="RKS14" s="55"/>
      <c r="RKT14" s="55"/>
      <c r="RKU14" s="55"/>
      <c r="RKV14" s="55"/>
      <c r="RKW14" s="55"/>
      <c r="RKX14" s="55"/>
      <c r="RKY14" s="55"/>
      <c r="RKZ14" s="55"/>
      <c r="RLA14" s="55"/>
      <c r="RLB14" s="55"/>
      <c r="RLC14" s="55"/>
      <c r="RLD14" s="55"/>
      <c r="RLE14" s="55"/>
      <c r="RLF14" s="55"/>
      <c r="RLG14" s="55"/>
      <c r="RLH14" s="55"/>
      <c r="RLI14" s="55"/>
      <c r="RLJ14" s="55"/>
      <c r="RLK14" s="55"/>
      <c r="RLL14" s="55"/>
      <c r="RLM14" s="55"/>
      <c r="RLN14" s="55"/>
      <c r="RLO14" s="55"/>
      <c r="RLP14" s="55"/>
      <c r="RLQ14" s="55"/>
      <c r="RLR14" s="55"/>
      <c r="RLS14" s="55"/>
      <c r="RLT14" s="55"/>
      <c r="RLU14" s="55"/>
      <c r="RLV14" s="55"/>
      <c r="RLW14" s="55"/>
      <c r="RLX14" s="55"/>
      <c r="RLY14" s="55"/>
      <c r="RLZ14" s="55"/>
      <c r="RMA14" s="55"/>
      <c r="RMB14" s="55"/>
      <c r="RMC14" s="55"/>
      <c r="RMD14" s="55"/>
      <c r="RME14" s="55"/>
      <c r="RMF14" s="55"/>
      <c r="RMG14" s="55"/>
      <c r="RMH14" s="55"/>
      <c r="RMI14" s="55"/>
      <c r="RMJ14" s="55"/>
      <c r="RMK14" s="55"/>
      <c r="RML14" s="55"/>
      <c r="RMM14" s="55"/>
      <c r="RMN14" s="55"/>
      <c r="RMO14" s="55"/>
      <c r="RMP14" s="55"/>
      <c r="RMQ14" s="55"/>
      <c r="RMR14" s="55"/>
      <c r="RMS14" s="55"/>
      <c r="RMT14" s="55"/>
      <c r="RMU14" s="55"/>
      <c r="RMV14" s="55"/>
      <c r="RMW14" s="55"/>
      <c r="RMX14" s="55"/>
      <c r="RMY14" s="55"/>
      <c r="RMZ14" s="55"/>
      <c r="RNA14" s="55"/>
      <c r="RNB14" s="55"/>
      <c r="RNC14" s="55"/>
      <c r="RND14" s="55"/>
      <c r="RNE14" s="55"/>
      <c r="RNF14" s="55"/>
      <c r="RNG14" s="55"/>
      <c r="RNH14" s="55"/>
      <c r="RNI14" s="55"/>
      <c r="RNJ14" s="55"/>
      <c r="RNK14" s="55"/>
      <c r="RNL14" s="55"/>
      <c r="RNM14" s="55"/>
      <c r="RNN14" s="55"/>
      <c r="RNO14" s="55"/>
      <c r="RNP14" s="55"/>
      <c r="RNQ14" s="55"/>
      <c r="RNR14" s="55"/>
      <c r="RNS14" s="55"/>
      <c r="RNT14" s="55"/>
      <c r="RNU14" s="55"/>
      <c r="RNV14" s="55"/>
      <c r="RNW14" s="55"/>
      <c r="RNX14" s="55"/>
      <c r="RNY14" s="55"/>
      <c r="RNZ14" s="55"/>
      <c r="ROA14" s="55"/>
      <c r="ROB14" s="55"/>
      <c r="ROC14" s="55"/>
      <c r="ROD14" s="55"/>
      <c r="ROE14" s="55"/>
      <c r="ROF14" s="55"/>
      <c r="ROG14" s="55"/>
      <c r="ROH14" s="55"/>
      <c r="ROI14" s="55"/>
      <c r="ROJ14" s="55"/>
      <c r="ROK14" s="55"/>
      <c r="ROL14" s="55"/>
      <c r="ROM14" s="55"/>
      <c r="RON14" s="55"/>
      <c r="ROO14" s="55"/>
      <c r="ROP14" s="55"/>
      <c r="ROQ14" s="55"/>
      <c r="ROR14" s="55"/>
      <c r="ROS14" s="55"/>
      <c r="ROT14" s="55"/>
      <c r="ROU14" s="55"/>
      <c r="ROV14" s="55"/>
      <c r="ROW14" s="55"/>
      <c r="ROX14" s="55"/>
      <c r="ROY14" s="55"/>
      <c r="ROZ14" s="55"/>
      <c r="RPA14" s="55"/>
      <c r="RPB14" s="55"/>
      <c r="RPC14" s="55"/>
      <c r="RPD14" s="55"/>
      <c r="RPE14" s="55"/>
      <c r="RPF14" s="55"/>
      <c r="RPG14" s="55"/>
      <c r="RPH14" s="55"/>
      <c r="RPI14" s="55"/>
      <c r="RPJ14" s="55"/>
      <c r="RPK14" s="55"/>
      <c r="RPL14" s="55"/>
      <c r="RPM14" s="55"/>
      <c r="RPN14" s="55"/>
      <c r="RPO14" s="55"/>
      <c r="RPP14" s="55"/>
      <c r="RPQ14" s="55"/>
      <c r="RPR14" s="55"/>
      <c r="RPS14" s="55"/>
      <c r="RPT14" s="55"/>
      <c r="RPU14" s="55"/>
      <c r="RPV14" s="55"/>
      <c r="RPW14" s="55"/>
      <c r="RPX14" s="55"/>
      <c r="RPY14" s="55"/>
      <c r="RPZ14" s="55"/>
      <c r="RQA14" s="55"/>
      <c r="RQB14" s="55"/>
      <c r="RQC14" s="55"/>
      <c r="RQD14" s="55"/>
      <c r="RQE14" s="55"/>
      <c r="RQF14" s="55"/>
      <c r="RQG14" s="55"/>
      <c r="RQH14" s="55"/>
      <c r="RQI14" s="55"/>
      <c r="RQJ14" s="55"/>
      <c r="RQK14" s="55"/>
      <c r="RQL14" s="55"/>
      <c r="RQM14" s="55"/>
      <c r="RQN14" s="55"/>
      <c r="RQO14" s="55"/>
      <c r="RQP14" s="55"/>
      <c r="RQQ14" s="55"/>
      <c r="RQR14" s="55"/>
      <c r="RQS14" s="55"/>
      <c r="RQT14" s="55"/>
      <c r="RQU14" s="55"/>
      <c r="RQV14" s="55"/>
      <c r="RQW14" s="55"/>
      <c r="RQX14" s="55"/>
      <c r="RQY14" s="55"/>
      <c r="RQZ14" s="55"/>
      <c r="RRA14" s="55"/>
      <c r="RRB14" s="55"/>
      <c r="RRC14" s="55"/>
      <c r="RRD14" s="55"/>
      <c r="RRE14" s="55"/>
      <c r="RRF14" s="55"/>
      <c r="RRG14" s="55"/>
      <c r="RRH14" s="55"/>
      <c r="RRI14" s="55"/>
      <c r="RRJ14" s="55"/>
      <c r="RRK14" s="55"/>
      <c r="RRL14" s="55"/>
      <c r="RRM14" s="55"/>
      <c r="RRN14" s="55"/>
      <c r="RRO14" s="55"/>
      <c r="RRP14" s="55"/>
      <c r="RRQ14" s="55"/>
      <c r="RRR14" s="55"/>
      <c r="RRS14" s="55"/>
      <c r="RRT14" s="55"/>
      <c r="RRU14" s="55"/>
      <c r="RRV14" s="55"/>
      <c r="RRW14" s="55"/>
      <c r="RRX14" s="55"/>
      <c r="RRY14" s="55"/>
      <c r="RRZ14" s="55"/>
      <c r="RSA14" s="55"/>
      <c r="RSB14" s="55"/>
      <c r="RSC14" s="55"/>
      <c r="RSD14" s="55"/>
      <c r="RSE14" s="55"/>
      <c r="RSF14" s="55"/>
      <c r="RSG14" s="55"/>
      <c r="RSH14" s="55"/>
      <c r="RSI14" s="55"/>
      <c r="RSJ14" s="55"/>
      <c r="RSK14" s="55"/>
      <c r="RSL14" s="55"/>
      <c r="RSM14" s="55"/>
      <c r="RSN14" s="55"/>
      <c r="RSO14" s="55"/>
      <c r="RSP14" s="55"/>
      <c r="RSQ14" s="55"/>
      <c r="RSR14" s="55"/>
      <c r="RSS14" s="55"/>
      <c r="RST14" s="55"/>
      <c r="RSU14" s="55"/>
      <c r="RSV14" s="55"/>
      <c r="RSW14" s="55"/>
      <c r="RSX14" s="55"/>
      <c r="RSY14" s="55"/>
      <c r="RSZ14" s="55"/>
      <c r="RTA14" s="55"/>
      <c r="RTB14" s="55"/>
      <c r="RTC14" s="55"/>
      <c r="RTD14" s="55"/>
      <c r="RTE14" s="55"/>
      <c r="RTF14" s="55"/>
      <c r="RTG14" s="55"/>
      <c r="RTH14" s="55"/>
      <c r="RTI14" s="55"/>
      <c r="RTJ14" s="55"/>
      <c r="RTK14" s="55"/>
      <c r="RTL14" s="55"/>
      <c r="RTM14" s="55"/>
      <c r="RTN14" s="55"/>
      <c r="RTO14" s="55"/>
      <c r="RTP14" s="55"/>
      <c r="RTQ14" s="55"/>
      <c r="RTR14" s="55"/>
      <c r="RTS14" s="55"/>
      <c r="RTT14" s="55"/>
      <c r="RTU14" s="55"/>
      <c r="RTV14" s="55"/>
      <c r="RTW14" s="55"/>
      <c r="RTX14" s="55"/>
      <c r="RTY14" s="55"/>
      <c r="RTZ14" s="55"/>
      <c r="RUA14" s="55"/>
      <c r="RUB14" s="55"/>
      <c r="RUC14" s="55"/>
      <c r="RUD14" s="55"/>
      <c r="RUE14" s="55"/>
      <c r="RUF14" s="55"/>
      <c r="RUG14" s="55"/>
      <c r="RUH14" s="55"/>
      <c r="RUI14" s="55"/>
      <c r="RUJ14" s="55"/>
      <c r="RUK14" s="55"/>
      <c r="RUL14" s="55"/>
      <c r="RUM14" s="55"/>
      <c r="RUN14" s="55"/>
      <c r="RUO14" s="55"/>
      <c r="RUP14" s="55"/>
      <c r="RUQ14" s="55"/>
      <c r="RUR14" s="55"/>
      <c r="RUS14" s="55"/>
      <c r="RUT14" s="55"/>
      <c r="RUU14" s="55"/>
      <c r="RUV14" s="55"/>
      <c r="RUW14" s="55"/>
      <c r="RUX14" s="55"/>
      <c r="RUY14" s="55"/>
      <c r="RUZ14" s="55"/>
      <c r="RVA14" s="55"/>
      <c r="RVB14" s="55"/>
      <c r="RVC14" s="55"/>
      <c r="RVD14" s="55"/>
      <c r="RVE14" s="55"/>
      <c r="RVF14" s="55"/>
      <c r="RVG14" s="55"/>
      <c r="RVH14" s="55"/>
      <c r="RVI14" s="55"/>
      <c r="RVJ14" s="55"/>
      <c r="RVK14" s="55"/>
      <c r="RVL14" s="55"/>
      <c r="RVM14" s="55"/>
      <c r="RVN14" s="55"/>
      <c r="RVO14" s="55"/>
      <c r="RVP14" s="55"/>
      <c r="RVQ14" s="55"/>
      <c r="RVR14" s="55"/>
      <c r="RVS14" s="55"/>
      <c r="RVT14" s="55"/>
      <c r="RVU14" s="55"/>
      <c r="RVV14" s="55"/>
      <c r="RVW14" s="55"/>
      <c r="RVX14" s="55"/>
      <c r="RVY14" s="55"/>
      <c r="RVZ14" s="55"/>
      <c r="RWA14" s="55"/>
      <c r="RWB14" s="55"/>
      <c r="RWC14" s="55"/>
      <c r="RWD14" s="55"/>
      <c r="RWE14" s="55"/>
      <c r="RWF14" s="55"/>
      <c r="RWG14" s="55"/>
      <c r="RWH14" s="55"/>
      <c r="RWI14" s="55"/>
      <c r="RWJ14" s="55"/>
      <c r="RWK14" s="55"/>
      <c r="RWL14" s="55"/>
      <c r="RWM14" s="55"/>
      <c r="RWN14" s="55"/>
      <c r="RWO14" s="55"/>
      <c r="RWP14" s="55"/>
      <c r="RWQ14" s="55"/>
      <c r="RWR14" s="55"/>
      <c r="RWS14" s="55"/>
      <c r="RWT14" s="55"/>
      <c r="RWU14" s="55"/>
      <c r="RWV14" s="55"/>
      <c r="RWW14" s="55"/>
      <c r="RWX14" s="55"/>
      <c r="RWY14" s="55"/>
      <c r="RWZ14" s="55"/>
      <c r="RXA14" s="55"/>
      <c r="RXB14" s="55"/>
      <c r="RXC14" s="55"/>
      <c r="RXD14" s="55"/>
      <c r="RXE14" s="55"/>
      <c r="RXF14" s="55"/>
      <c r="RXG14" s="55"/>
      <c r="RXH14" s="55"/>
      <c r="RXI14" s="55"/>
      <c r="RXJ14" s="55"/>
      <c r="RXK14" s="55"/>
      <c r="RXL14" s="55"/>
      <c r="RXM14" s="55"/>
      <c r="RXN14" s="55"/>
      <c r="RXO14" s="55"/>
      <c r="RXP14" s="55"/>
      <c r="RXQ14" s="55"/>
      <c r="RXR14" s="55"/>
      <c r="RXS14" s="55"/>
      <c r="RXT14" s="55"/>
      <c r="RXU14" s="55"/>
      <c r="RXV14" s="55"/>
      <c r="RXW14" s="55"/>
      <c r="RXX14" s="55"/>
      <c r="RXY14" s="55"/>
      <c r="RXZ14" s="55"/>
      <c r="RYA14" s="55"/>
      <c r="RYB14" s="55"/>
      <c r="RYC14" s="55"/>
      <c r="RYD14" s="55"/>
      <c r="RYE14" s="55"/>
      <c r="RYF14" s="55"/>
      <c r="RYG14" s="55"/>
      <c r="RYH14" s="55"/>
      <c r="RYI14" s="55"/>
      <c r="RYJ14" s="55"/>
      <c r="RYK14" s="55"/>
      <c r="RYL14" s="55"/>
      <c r="RYM14" s="55"/>
      <c r="RYN14" s="55"/>
      <c r="RYO14" s="55"/>
      <c r="RYP14" s="55"/>
      <c r="RYQ14" s="55"/>
      <c r="RYR14" s="55"/>
      <c r="RYS14" s="55"/>
      <c r="RYT14" s="55"/>
      <c r="RYU14" s="55"/>
      <c r="RYV14" s="55"/>
      <c r="RYW14" s="55"/>
      <c r="RYX14" s="55"/>
      <c r="RYY14" s="55"/>
      <c r="RYZ14" s="55"/>
      <c r="RZA14" s="55"/>
      <c r="RZB14" s="55"/>
      <c r="RZC14" s="55"/>
      <c r="RZD14" s="55"/>
      <c r="RZE14" s="55"/>
      <c r="RZF14" s="55"/>
      <c r="RZG14" s="55"/>
      <c r="RZH14" s="55"/>
      <c r="RZI14" s="55"/>
      <c r="RZJ14" s="55"/>
      <c r="RZK14" s="55"/>
      <c r="RZL14" s="55"/>
      <c r="RZM14" s="55"/>
      <c r="RZN14" s="55"/>
      <c r="RZO14" s="55"/>
      <c r="RZP14" s="55"/>
      <c r="RZQ14" s="55"/>
      <c r="RZR14" s="55"/>
      <c r="RZS14" s="55"/>
      <c r="RZT14" s="55"/>
      <c r="RZU14" s="55"/>
      <c r="RZV14" s="55"/>
      <c r="RZW14" s="55"/>
      <c r="RZX14" s="55"/>
      <c r="RZY14" s="55"/>
      <c r="RZZ14" s="55"/>
      <c r="SAA14" s="55"/>
      <c r="SAB14" s="55"/>
      <c r="SAC14" s="55"/>
      <c r="SAD14" s="55"/>
      <c r="SAE14" s="55"/>
      <c r="SAF14" s="55"/>
      <c r="SAG14" s="55"/>
      <c r="SAH14" s="55"/>
      <c r="SAI14" s="55"/>
      <c r="SAJ14" s="55"/>
      <c r="SAK14" s="55"/>
      <c r="SAL14" s="55"/>
      <c r="SAM14" s="55"/>
      <c r="SAN14" s="55"/>
      <c r="SAO14" s="55"/>
      <c r="SAP14" s="55"/>
      <c r="SAQ14" s="55"/>
      <c r="SAR14" s="55"/>
      <c r="SAS14" s="55"/>
      <c r="SAT14" s="55"/>
      <c r="SAU14" s="55"/>
      <c r="SAV14" s="55"/>
      <c r="SAW14" s="55"/>
      <c r="SAX14" s="55"/>
      <c r="SAY14" s="55"/>
      <c r="SAZ14" s="55"/>
      <c r="SBA14" s="55"/>
      <c r="SBB14" s="55"/>
      <c r="SBC14" s="55"/>
      <c r="SBD14" s="55"/>
      <c r="SBE14" s="55"/>
      <c r="SBF14" s="55"/>
      <c r="SBG14" s="55"/>
      <c r="SBH14" s="55"/>
      <c r="SBI14" s="55"/>
      <c r="SBJ14" s="55"/>
      <c r="SBK14" s="55"/>
      <c r="SBL14" s="55"/>
      <c r="SBM14" s="55"/>
      <c r="SBN14" s="55"/>
      <c r="SBO14" s="55"/>
      <c r="SBP14" s="55"/>
      <c r="SBQ14" s="55"/>
      <c r="SBR14" s="55"/>
      <c r="SBS14" s="55"/>
      <c r="SBT14" s="55"/>
      <c r="SBU14" s="55"/>
      <c r="SBV14" s="55"/>
      <c r="SBW14" s="55"/>
      <c r="SBX14" s="55"/>
      <c r="SBY14" s="55"/>
      <c r="SBZ14" s="55"/>
      <c r="SCA14" s="55"/>
      <c r="SCB14" s="55"/>
      <c r="SCC14" s="55"/>
      <c r="SCD14" s="55"/>
      <c r="SCE14" s="55"/>
      <c r="SCF14" s="55"/>
      <c r="SCG14" s="55"/>
      <c r="SCH14" s="55"/>
      <c r="SCI14" s="55"/>
      <c r="SCJ14" s="55"/>
      <c r="SCK14" s="55"/>
      <c r="SCL14" s="55"/>
      <c r="SCM14" s="55"/>
      <c r="SCN14" s="55"/>
      <c r="SCO14" s="55"/>
      <c r="SCP14" s="55"/>
      <c r="SCQ14" s="55"/>
      <c r="SCR14" s="55"/>
      <c r="SCS14" s="55"/>
      <c r="SCT14" s="55"/>
      <c r="SCU14" s="55"/>
      <c r="SCV14" s="55"/>
      <c r="SCW14" s="55"/>
      <c r="SCX14" s="55"/>
      <c r="SCY14" s="55"/>
      <c r="SCZ14" s="55"/>
      <c r="SDA14" s="55"/>
      <c r="SDB14" s="55"/>
      <c r="SDC14" s="55"/>
      <c r="SDD14" s="55"/>
      <c r="SDE14" s="55"/>
      <c r="SDF14" s="55"/>
      <c r="SDG14" s="55"/>
      <c r="SDH14" s="55"/>
      <c r="SDI14" s="55"/>
      <c r="SDJ14" s="55"/>
      <c r="SDK14" s="55"/>
      <c r="SDL14" s="55"/>
      <c r="SDM14" s="55"/>
      <c r="SDN14" s="55"/>
      <c r="SDO14" s="55"/>
      <c r="SDP14" s="55"/>
      <c r="SDQ14" s="55"/>
      <c r="SDR14" s="55"/>
      <c r="SDS14" s="55"/>
      <c r="SDT14" s="55"/>
      <c r="SDU14" s="55"/>
      <c r="SDV14" s="55"/>
      <c r="SDW14" s="55"/>
      <c r="SDX14" s="55"/>
      <c r="SDY14" s="55"/>
      <c r="SDZ14" s="55"/>
      <c r="SEA14" s="55"/>
      <c r="SEB14" s="55"/>
      <c r="SEC14" s="55"/>
      <c r="SED14" s="55"/>
      <c r="SEE14" s="55"/>
      <c r="SEF14" s="55"/>
      <c r="SEG14" s="55"/>
      <c r="SEH14" s="55"/>
      <c r="SEI14" s="55"/>
      <c r="SEJ14" s="55"/>
      <c r="SEK14" s="55"/>
      <c r="SEL14" s="55"/>
      <c r="SEM14" s="55"/>
      <c r="SEN14" s="55"/>
      <c r="SEO14" s="55"/>
      <c r="SEP14" s="55"/>
      <c r="SEQ14" s="55"/>
      <c r="SER14" s="55"/>
      <c r="SES14" s="55"/>
      <c r="SET14" s="55"/>
      <c r="SEU14" s="55"/>
      <c r="SEV14" s="55"/>
      <c r="SEW14" s="55"/>
      <c r="SEX14" s="55"/>
      <c r="SEY14" s="55"/>
      <c r="SEZ14" s="55"/>
      <c r="SFA14" s="55"/>
      <c r="SFB14" s="55"/>
      <c r="SFC14" s="55"/>
      <c r="SFD14" s="55"/>
      <c r="SFE14" s="55"/>
      <c r="SFF14" s="55"/>
      <c r="SFG14" s="55"/>
      <c r="SFH14" s="55"/>
      <c r="SFI14" s="55"/>
      <c r="SFJ14" s="55"/>
      <c r="SFK14" s="55"/>
      <c r="SFL14" s="55"/>
      <c r="SFM14" s="55"/>
      <c r="SFN14" s="55"/>
      <c r="SFO14" s="55"/>
      <c r="SFP14" s="55"/>
      <c r="SFQ14" s="55"/>
      <c r="SFR14" s="55"/>
      <c r="SFS14" s="55"/>
      <c r="SFT14" s="55"/>
      <c r="SFU14" s="55"/>
      <c r="SFV14" s="55"/>
      <c r="SFW14" s="55"/>
      <c r="SFX14" s="55"/>
      <c r="SFY14" s="55"/>
      <c r="SFZ14" s="55"/>
      <c r="SGA14" s="55"/>
      <c r="SGB14" s="55"/>
      <c r="SGC14" s="55"/>
      <c r="SGD14" s="55"/>
      <c r="SGE14" s="55"/>
      <c r="SGF14" s="55"/>
      <c r="SGG14" s="55"/>
      <c r="SGH14" s="55"/>
      <c r="SGI14" s="55"/>
      <c r="SGJ14" s="55"/>
      <c r="SGK14" s="55"/>
      <c r="SGL14" s="55"/>
      <c r="SGM14" s="55"/>
      <c r="SGN14" s="55"/>
      <c r="SGO14" s="55"/>
      <c r="SGP14" s="55"/>
      <c r="SGQ14" s="55"/>
      <c r="SGR14" s="55"/>
      <c r="SGS14" s="55"/>
      <c r="SGT14" s="55"/>
      <c r="SGU14" s="55"/>
      <c r="SGV14" s="55"/>
      <c r="SGW14" s="55"/>
      <c r="SGX14" s="55"/>
      <c r="SGY14" s="55"/>
      <c r="SGZ14" s="55"/>
      <c r="SHA14" s="55"/>
      <c r="SHB14" s="55"/>
      <c r="SHC14" s="55"/>
      <c r="SHD14" s="55"/>
      <c r="SHE14" s="55"/>
      <c r="SHF14" s="55"/>
      <c r="SHG14" s="55"/>
      <c r="SHH14" s="55"/>
      <c r="SHI14" s="55"/>
      <c r="SHJ14" s="55"/>
      <c r="SHK14" s="55"/>
      <c r="SHL14" s="55"/>
      <c r="SHM14" s="55"/>
      <c r="SHN14" s="55"/>
      <c r="SHO14" s="55"/>
      <c r="SHP14" s="55"/>
      <c r="SHQ14" s="55"/>
      <c r="SHR14" s="55"/>
      <c r="SHS14" s="55"/>
      <c r="SHT14" s="55"/>
      <c r="SHU14" s="55"/>
      <c r="SHV14" s="55"/>
      <c r="SHW14" s="55"/>
      <c r="SHX14" s="55"/>
      <c r="SHY14" s="55"/>
      <c r="SHZ14" s="55"/>
      <c r="SIA14" s="55"/>
      <c r="SIB14" s="55"/>
      <c r="SIC14" s="55"/>
      <c r="SID14" s="55"/>
      <c r="SIE14" s="55"/>
      <c r="SIF14" s="55"/>
      <c r="SIG14" s="55"/>
      <c r="SIH14" s="55"/>
      <c r="SII14" s="55"/>
      <c r="SIJ14" s="55"/>
      <c r="SIK14" s="55"/>
      <c r="SIL14" s="55"/>
      <c r="SIM14" s="55"/>
      <c r="SIN14" s="55"/>
      <c r="SIO14" s="55"/>
      <c r="SIP14" s="55"/>
      <c r="SIQ14" s="55"/>
      <c r="SIR14" s="55"/>
      <c r="SIS14" s="55"/>
      <c r="SIT14" s="55"/>
      <c r="SIU14" s="55"/>
      <c r="SIV14" s="55"/>
      <c r="SIW14" s="55"/>
      <c r="SIX14" s="55"/>
      <c r="SIY14" s="55"/>
      <c r="SIZ14" s="55"/>
      <c r="SJA14" s="55"/>
      <c r="SJB14" s="55"/>
      <c r="SJC14" s="55"/>
      <c r="SJD14" s="55"/>
      <c r="SJE14" s="55"/>
      <c r="SJF14" s="55"/>
      <c r="SJG14" s="55"/>
      <c r="SJH14" s="55"/>
      <c r="SJI14" s="55"/>
      <c r="SJJ14" s="55"/>
      <c r="SJK14" s="55"/>
      <c r="SJL14" s="55"/>
      <c r="SJM14" s="55"/>
      <c r="SJN14" s="55"/>
      <c r="SJO14" s="55"/>
      <c r="SJP14" s="55"/>
      <c r="SJQ14" s="55"/>
      <c r="SJR14" s="55"/>
      <c r="SJS14" s="55"/>
      <c r="SJT14" s="55"/>
      <c r="SJU14" s="55"/>
      <c r="SJV14" s="55"/>
      <c r="SJW14" s="55"/>
      <c r="SJX14" s="55"/>
      <c r="SJY14" s="55"/>
      <c r="SJZ14" s="55"/>
      <c r="SKA14" s="55"/>
      <c r="SKB14" s="55"/>
      <c r="SKC14" s="55"/>
      <c r="SKD14" s="55"/>
      <c r="SKE14" s="55"/>
      <c r="SKF14" s="55"/>
      <c r="SKG14" s="55"/>
      <c r="SKH14" s="55"/>
      <c r="SKI14" s="55"/>
      <c r="SKJ14" s="55"/>
      <c r="SKK14" s="55"/>
      <c r="SKL14" s="55"/>
      <c r="SKM14" s="55"/>
      <c r="SKN14" s="55"/>
      <c r="SKO14" s="55"/>
      <c r="SKP14" s="55"/>
      <c r="SKQ14" s="55"/>
      <c r="SKR14" s="55"/>
      <c r="SKS14" s="55"/>
      <c r="SKT14" s="55"/>
      <c r="SKU14" s="55"/>
      <c r="SKV14" s="55"/>
      <c r="SKW14" s="55"/>
      <c r="SKX14" s="55"/>
      <c r="SKY14" s="55"/>
      <c r="SKZ14" s="55"/>
      <c r="SLA14" s="55"/>
      <c r="SLB14" s="55"/>
      <c r="SLC14" s="55"/>
      <c r="SLD14" s="55"/>
      <c r="SLE14" s="55"/>
      <c r="SLF14" s="55"/>
      <c r="SLG14" s="55"/>
      <c r="SLH14" s="55"/>
      <c r="SLI14" s="55"/>
      <c r="SLJ14" s="55"/>
      <c r="SLK14" s="55"/>
      <c r="SLL14" s="55"/>
      <c r="SLM14" s="55"/>
      <c r="SLN14" s="55"/>
      <c r="SLO14" s="55"/>
      <c r="SLP14" s="55"/>
      <c r="SLQ14" s="55"/>
      <c r="SLR14" s="55"/>
      <c r="SLS14" s="55"/>
      <c r="SLT14" s="55"/>
      <c r="SLU14" s="55"/>
      <c r="SLV14" s="55"/>
      <c r="SLW14" s="55"/>
      <c r="SLX14" s="55"/>
      <c r="SLY14" s="55"/>
      <c r="SLZ14" s="55"/>
      <c r="SMA14" s="55"/>
      <c r="SMB14" s="55"/>
      <c r="SMC14" s="55"/>
      <c r="SMD14" s="55"/>
      <c r="SME14" s="55"/>
      <c r="SMF14" s="55"/>
      <c r="SMG14" s="55"/>
      <c r="SMH14" s="55"/>
      <c r="SMI14" s="55"/>
      <c r="SMJ14" s="55"/>
      <c r="SMK14" s="55"/>
      <c r="SML14" s="55"/>
      <c r="SMM14" s="55"/>
      <c r="SMN14" s="55"/>
      <c r="SMO14" s="55"/>
      <c r="SMP14" s="55"/>
      <c r="SMQ14" s="55"/>
      <c r="SMR14" s="55"/>
      <c r="SMS14" s="55"/>
      <c r="SMT14" s="55"/>
      <c r="SMU14" s="55"/>
      <c r="SMV14" s="55"/>
      <c r="SMW14" s="55"/>
      <c r="SMX14" s="55"/>
      <c r="SMY14" s="55"/>
      <c r="SMZ14" s="55"/>
      <c r="SNA14" s="55"/>
      <c r="SNB14" s="55"/>
      <c r="SNC14" s="55"/>
      <c r="SND14" s="55"/>
      <c r="SNE14" s="55"/>
      <c r="SNF14" s="55"/>
      <c r="SNG14" s="55"/>
      <c r="SNH14" s="55"/>
      <c r="SNI14" s="55"/>
      <c r="SNJ14" s="55"/>
      <c r="SNK14" s="55"/>
      <c r="SNL14" s="55"/>
      <c r="SNM14" s="55"/>
      <c r="SNN14" s="55"/>
      <c r="SNO14" s="55"/>
      <c r="SNP14" s="55"/>
      <c r="SNQ14" s="55"/>
      <c r="SNR14" s="55"/>
      <c r="SNS14" s="55"/>
      <c r="SNT14" s="55"/>
      <c r="SNU14" s="55"/>
      <c r="SNV14" s="55"/>
      <c r="SNW14" s="55"/>
      <c r="SNX14" s="55"/>
      <c r="SNY14" s="55"/>
      <c r="SNZ14" s="55"/>
      <c r="SOA14" s="55"/>
      <c r="SOB14" s="55"/>
      <c r="SOC14" s="55"/>
      <c r="SOD14" s="55"/>
      <c r="SOE14" s="55"/>
      <c r="SOF14" s="55"/>
      <c r="SOG14" s="55"/>
      <c r="SOH14" s="55"/>
      <c r="SOI14" s="55"/>
      <c r="SOJ14" s="55"/>
      <c r="SOK14" s="55"/>
      <c r="SOL14" s="55"/>
      <c r="SOM14" s="55"/>
      <c r="SON14" s="55"/>
      <c r="SOO14" s="55"/>
      <c r="SOP14" s="55"/>
      <c r="SOQ14" s="55"/>
      <c r="SOR14" s="55"/>
      <c r="SOS14" s="55"/>
      <c r="SOT14" s="55"/>
      <c r="SOU14" s="55"/>
      <c r="SOV14" s="55"/>
      <c r="SOW14" s="55"/>
      <c r="SOX14" s="55"/>
      <c r="SOY14" s="55"/>
      <c r="SOZ14" s="55"/>
      <c r="SPA14" s="55"/>
      <c r="SPB14" s="55"/>
      <c r="SPC14" s="55"/>
      <c r="SPD14" s="55"/>
      <c r="SPE14" s="55"/>
      <c r="SPF14" s="55"/>
      <c r="SPG14" s="55"/>
      <c r="SPH14" s="55"/>
      <c r="SPI14" s="55"/>
      <c r="SPJ14" s="55"/>
      <c r="SPK14" s="55"/>
      <c r="SPL14" s="55"/>
      <c r="SPM14" s="55"/>
      <c r="SPN14" s="55"/>
      <c r="SPO14" s="55"/>
      <c r="SPP14" s="55"/>
      <c r="SPQ14" s="55"/>
      <c r="SPR14" s="55"/>
      <c r="SPS14" s="55"/>
      <c r="SPT14" s="55"/>
      <c r="SPU14" s="55"/>
      <c r="SPV14" s="55"/>
      <c r="SPW14" s="55"/>
      <c r="SPX14" s="55"/>
      <c r="SPY14" s="55"/>
      <c r="SPZ14" s="55"/>
      <c r="SQA14" s="55"/>
      <c r="SQB14" s="55"/>
      <c r="SQC14" s="55"/>
      <c r="SQD14" s="55"/>
      <c r="SQE14" s="55"/>
      <c r="SQF14" s="55"/>
      <c r="SQG14" s="55"/>
      <c r="SQH14" s="55"/>
      <c r="SQI14" s="55"/>
      <c r="SQJ14" s="55"/>
      <c r="SQK14" s="55"/>
      <c r="SQL14" s="55"/>
      <c r="SQM14" s="55"/>
      <c r="SQN14" s="55"/>
      <c r="SQO14" s="55"/>
      <c r="SQP14" s="55"/>
      <c r="SQQ14" s="55"/>
      <c r="SQR14" s="55"/>
      <c r="SQS14" s="55"/>
      <c r="SQT14" s="55"/>
      <c r="SQU14" s="55"/>
      <c r="SQV14" s="55"/>
      <c r="SQW14" s="55"/>
      <c r="SQX14" s="55"/>
      <c r="SQY14" s="55"/>
      <c r="SQZ14" s="55"/>
      <c r="SRA14" s="55"/>
      <c r="SRB14" s="55"/>
      <c r="SRC14" s="55"/>
      <c r="SRD14" s="55"/>
      <c r="SRE14" s="55"/>
      <c r="SRF14" s="55"/>
      <c r="SRG14" s="55"/>
      <c r="SRH14" s="55"/>
      <c r="SRI14" s="55"/>
      <c r="SRJ14" s="55"/>
      <c r="SRK14" s="55"/>
      <c r="SRL14" s="55"/>
      <c r="SRM14" s="55"/>
      <c r="SRN14" s="55"/>
      <c r="SRO14" s="55"/>
      <c r="SRP14" s="55"/>
      <c r="SRQ14" s="55"/>
      <c r="SRR14" s="55"/>
      <c r="SRS14" s="55"/>
      <c r="SRT14" s="55"/>
      <c r="SRU14" s="55"/>
      <c r="SRV14" s="55"/>
      <c r="SRW14" s="55"/>
      <c r="SRX14" s="55"/>
      <c r="SRY14" s="55"/>
      <c r="SRZ14" s="55"/>
      <c r="SSA14" s="55"/>
      <c r="SSB14" s="55"/>
      <c r="SSC14" s="55"/>
      <c r="SSD14" s="55"/>
      <c r="SSE14" s="55"/>
      <c r="SSF14" s="55"/>
      <c r="SSG14" s="55"/>
      <c r="SSH14" s="55"/>
      <c r="SSI14" s="55"/>
      <c r="SSJ14" s="55"/>
      <c r="SSK14" s="55"/>
      <c r="SSL14" s="55"/>
      <c r="SSM14" s="55"/>
      <c r="SSN14" s="55"/>
      <c r="SSO14" s="55"/>
      <c r="SSP14" s="55"/>
      <c r="SSQ14" s="55"/>
      <c r="SSR14" s="55"/>
      <c r="SSS14" s="55"/>
      <c r="SST14" s="55"/>
      <c r="SSU14" s="55"/>
      <c r="SSV14" s="55"/>
      <c r="SSW14" s="55"/>
      <c r="SSX14" s="55"/>
      <c r="SSY14" s="55"/>
      <c r="SSZ14" s="55"/>
      <c r="STA14" s="55"/>
      <c r="STB14" s="55"/>
      <c r="STC14" s="55"/>
      <c r="STD14" s="55"/>
      <c r="STE14" s="55"/>
      <c r="STF14" s="55"/>
      <c r="STG14" s="55"/>
      <c r="STH14" s="55"/>
      <c r="STI14" s="55"/>
      <c r="STJ14" s="55"/>
      <c r="STK14" s="55"/>
      <c r="STL14" s="55"/>
      <c r="STM14" s="55"/>
      <c r="STN14" s="55"/>
      <c r="STO14" s="55"/>
      <c r="STP14" s="55"/>
      <c r="STQ14" s="55"/>
      <c r="STR14" s="55"/>
      <c r="STS14" s="55"/>
      <c r="STT14" s="55"/>
      <c r="STU14" s="55"/>
      <c r="STV14" s="55"/>
      <c r="STW14" s="55"/>
      <c r="STX14" s="55"/>
      <c r="STY14" s="55"/>
      <c r="STZ14" s="55"/>
      <c r="SUA14" s="55"/>
      <c r="SUB14" s="55"/>
      <c r="SUC14" s="55"/>
      <c r="SUD14" s="55"/>
      <c r="SUE14" s="55"/>
      <c r="SUF14" s="55"/>
      <c r="SUG14" s="55"/>
      <c r="SUH14" s="55"/>
      <c r="SUI14" s="55"/>
      <c r="SUJ14" s="55"/>
      <c r="SUK14" s="55"/>
      <c r="SUL14" s="55"/>
      <c r="SUM14" s="55"/>
      <c r="SUN14" s="55"/>
      <c r="SUO14" s="55"/>
      <c r="SUP14" s="55"/>
      <c r="SUQ14" s="55"/>
      <c r="SUR14" s="55"/>
      <c r="SUS14" s="55"/>
      <c r="SUT14" s="55"/>
      <c r="SUU14" s="55"/>
      <c r="SUV14" s="55"/>
      <c r="SUW14" s="55"/>
      <c r="SUX14" s="55"/>
      <c r="SUY14" s="55"/>
      <c r="SUZ14" s="55"/>
      <c r="SVA14" s="55"/>
      <c r="SVB14" s="55"/>
      <c r="SVC14" s="55"/>
      <c r="SVD14" s="55"/>
      <c r="SVE14" s="55"/>
      <c r="SVF14" s="55"/>
      <c r="SVG14" s="55"/>
      <c r="SVH14" s="55"/>
      <c r="SVI14" s="55"/>
      <c r="SVJ14" s="55"/>
      <c r="SVK14" s="55"/>
      <c r="SVL14" s="55"/>
      <c r="SVM14" s="55"/>
      <c r="SVN14" s="55"/>
      <c r="SVO14" s="55"/>
      <c r="SVP14" s="55"/>
      <c r="SVQ14" s="55"/>
      <c r="SVR14" s="55"/>
      <c r="SVS14" s="55"/>
      <c r="SVT14" s="55"/>
      <c r="SVU14" s="55"/>
      <c r="SVV14" s="55"/>
      <c r="SVW14" s="55"/>
      <c r="SVX14" s="55"/>
      <c r="SVY14" s="55"/>
      <c r="SVZ14" s="55"/>
      <c r="SWA14" s="55"/>
      <c r="SWB14" s="55"/>
      <c r="SWC14" s="55"/>
      <c r="SWD14" s="55"/>
      <c r="SWE14" s="55"/>
      <c r="SWF14" s="55"/>
      <c r="SWG14" s="55"/>
      <c r="SWH14" s="55"/>
      <c r="SWI14" s="55"/>
      <c r="SWJ14" s="55"/>
      <c r="SWK14" s="55"/>
      <c r="SWL14" s="55"/>
      <c r="SWM14" s="55"/>
      <c r="SWN14" s="55"/>
      <c r="SWO14" s="55"/>
      <c r="SWP14" s="55"/>
      <c r="SWQ14" s="55"/>
      <c r="SWR14" s="55"/>
      <c r="SWS14" s="55"/>
      <c r="SWT14" s="55"/>
      <c r="SWU14" s="55"/>
      <c r="SWV14" s="55"/>
      <c r="SWW14" s="55"/>
      <c r="SWX14" s="55"/>
      <c r="SWY14" s="55"/>
      <c r="SWZ14" s="55"/>
      <c r="SXA14" s="55"/>
      <c r="SXB14" s="55"/>
      <c r="SXC14" s="55"/>
      <c r="SXD14" s="55"/>
      <c r="SXE14" s="55"/>
      <c r="SXF14" s="55"/>
      <c r="SXG14" s="55"/>
      <c r="SXH14" s="55"/>
      <c r="SXI14" s="55"/>
      <c r="SXJ14" s="55"/>
      <c r="SXK14" s="55"/>
      <c r="SXL14" s="55"/>
      <c r="SXM14" s="55"/>
      <c r="SXN14" s="55"/>
      <c r="SXO14" s="55"/>
      <c r="SXP14" s="55"/>
      <c r="SXQ14" s="55"/>
      <c r="SXR14" s="55"/>
      <c r="SXS14" s="55"/>
      <c r="SXT14" s="55"/>
      <c r="SXU14" s="55"/>
      <c r="SXV14" s="55"/>
      <c r="SXW14" s="55"/>
      <c r="SXX14" s="55"/>
      <c r="SXY14" s="55"/>
      <c r="SXZ14" s="55"/>
      <c r="SYA14" s="55"/>
      <c r="SYB14" s="55"/>
      <c r="SYC14" s="55"/>
      <c r="SYD14" s="55"/>
      <c r="SYE14" s="55"/>
      <c r="SYF14" s="55"/>
      <c r="SYG14" s="55"/>
      <c r="SYH14" s="55"/>
      <c r="SYI14" s="55"/>
      <c r="SYJ14" s="55"/>
      <c r="SYK14" s="55"/>
      <c r="SYL14" s="55"/>
      <c r="SYM14" s="55"/>
      <c r="SYN14" s="55"/>
      <c r="SYO14" s="55"/>
      <c r="SYP14" s="55"/>
      <c r="SYQ14" s="55"/>
      <c r="SYR14" s="55"/>
      <c r="SYS14" s="55"/>
      <c r="SYT14" s="55"/>
      <c r="SYU14" s="55"/>
      <c r="SYV14" s="55"/>
      <c r="SYW14" s="55"/>
      <c r="SYX14" s="55"/>
      <c r="SYY14" s="55"/>
      <c r="SYZ14" s="55"/>
      <c r="SZA14" s="55"/>
      <c r="SZB14" s="55"/>
      <c r="SZC14" s="55"/>
      <c r="SZD14" s="55"/>
      <c r="SZE14" s="55"/>
      <c r="SZF14" s="55"/>
      <c r="SZG14" s="55"/>
      <c r="SZH14" s="55"/>
      <c r="SZI14" s="55"/>
      <c r="SZJ14" s="55"/>
      <c r="SZK14" s="55"/>
      <c r="SZL14" s="55"/>
      <c r="SZM14" s="55"/>
      <c r="SZN14" s="55"/>
      <c r="SZO14" s="55"/>
      <c r="SZP14" s="55"/>
      <c r="SZQ14" s="55"/>
      <c r="SZR14" s="55"/>
      <c r="SZS14" s="55"/>
      <c r="SZT14" s="55"/>
      <c r="SZU14" s="55"/>
      <c r="SZV14" s="55"/>
      <c r="SZW14" s="55"/>
      <c r="SZX14" s="55"/>
      <c r="SZY14" s="55"/>
      <c r="SZZ14" s="55"/>
      <c r="TAA14" s="55"/>
      <c r="TAB14" s="55"/>
      <c r="TAC14" s="55"/>
      <c r="TAD14" s="55"/>
      <c r="TAE14" s="55"/>
      <c r="TAF14" s="55"/>
      <c r="TAG14" s="55"/>
      <c r="TAH14" s="55"/>
      <c r="TAI14" s="55"/>
      <c r="TAJ14" s="55"/>
      <c r="TAK14" s="55"/>
      <c r="TAL14" s="55"/>
      <c r="TAM14" s="55"/>
      <c r="TAN14" s="55"/>
      <c r="TAO14" s="55"/>
      <c r="TAP14" s="55"/>
      <c r="TAQ14" s="55"/>
      <c r="TAR14" s="55"/>
      <c r="TAS14" s="55"/>
      <c r="TAT14" s="55"/>
      <c r="TAU14" s="55"/>
      <c r="TAV14" s="55"/>
      <c r="TAW14" s="55"/>
      <c r="TAX14" s="55"/>
      <c r="TAY14" s="55"/>
      <c r="TAZ14" s="55"/>
      <c r="TBA14" s="55"/>
      <c r="TBB14" s="55"/>
      <c r="TBC14" s="55"/>
      <c r="TBD14" s="55"/>
      <c r="TBE14" s="55"/>
      <c r="TBF14" s="55"/>
      <c r="TBG14" s="55"/>
      <c r="TBH14" s="55"/>
      <c r="TBI14" s="55"/>
      <c r="TBJ14" s="55"/>
      <c r="TBK14" s="55"/>
      <c r="TBL14" s="55"/>
      <c r="TBM14" s="55"/>
      <c r="TBN14" s="55"/>
      <c r="TBO14" s="55"/>
      <c r="TBP14" s="55"/>
      <c r="TBQ14" s="55"/>
      <c r="TBR14" s="55"/>
      <c r="TBS14" s="55"/>
      <c r="TBT14" s="55"/>
      <c r="TBU14" s="55"/>
      <c r="TBV14" s="55"/>
      <c r="TBW14" s="55"/>
      <c r="TBX14" s="55"/>
      <c r="TBY14" s="55"/>
      <c r="TBZ14" s="55"/>
      <c r="TCA14" s="55"/>
      <c r="TCB14" s="55"/>
      <c r="TCC14" s="55"/>
      <c r="TCD14" s="55"/>
      <c r="TCE14" s="55"/>
      <c r="TCF14" s="55"/>
      <c r="TCG14" s="55"/>
      <c r="TCH14" s="55"/>
      <c r="TCI14" s="55"/>
      <c r="TCJ14" s="55"/>
      <c r="TCK14" s="55"/>
      <c r="TCL14" s="55"/>
      <c r="TCM14" s="55"/>
      <c r="TCN14" s="55"/>
      <c r="TCO14" s="55"/>
      <c r="TCP14" s="55"/>
      <c r="TCQ14" s="55"/>
      <c r="TCR14" s="55"/>
      <c r="TCS14" s="55"/>
      <c r="TCT14" s="55"/>
      <c r="TCU14" s="55"/>
      <c r="TCV14" s="55"/>
      <c r="TCW14" s="55"/>
      <c r="TCX14" s="55"/>
      <c r="TCY14" s="55"/>
      <c r="TCZ14" s="55"/>
      <c r="TDA14" s="55"/>
      <c r="TDB14" s="55"/>
      <c r="TDC14" s="55"/>
      <c r="TDD14" s="55"/>
      <c r="TDE14" s="55"/>
      <c r="TDF14" s="55"/>
      <c r="TDG14" s="55"/>
      <c r="TDH14" s="55"/>
      <c r="TDI14" s="55"/>
      <c r="TDJ14" s="55"/>
      <c r="TDK14" s="55"/>
      <c r="TDL14" s="55"/>
      <c r="TDM14" s="55"/>
      <c r="TDN14" s="55"/>
      <c r="TDO14" s="55"/>
      <c r="TDP14" s="55"/>
      <c r="TDQ14" s="55"/>
      <c r="TDR14" s="55"/>
      <c r="TDS14" s="55"/>
      <c r="TDT14" s="55"/>
      <c r="TDU14" s="55"/>
      <c r="TDV14" s="55"/>
      <c r="TDW14" s="55"/>
      <c r="TDX14" s="55"/>
      <c r="TDY14" s="55"/>
      <c r="TDZ14" s="55"/>
      <c r="TEA14" s="55"/>
      <c r="TEB14" s="55"/>
      <c r="TEC14" s="55"/>
      <c r="TED14" s="55"/>
      <c r="TEE14" s="55"/>
      <c r="TEF14" s="55"/>
      <c r="TEG14" s="55"/>
      <c r="TEH14" s="55"/>
      <c r="TEI14" s="55"/>
      <c r="TEJ14" s="55"/>
      <c r="TEK14" s="55"/>
      <c r="TEL14" s="55"/>
      <c r="TEM14" s="55"/>
      <c r="TEN14" s="55"/>
      <c r="TEO14" s="55"/>
      <c r="TEP14" s="55"/>
      <c r="TEQ14" s="55"/>
      <c r="TER14" s="55"/>
      <c r="TES14" s="55"/>
      <c r="TET14" s="55"/>
      <c r="TEU14" s="55"/>
      <c r="TEV14" s="55"/>
      <c r="TEW14" s="55"/>
      <c r="TEX14" s="55"/>
      <c r="TEY14" s="55"/>
      <c r="TEZ14" s="55"/>
      <c r="TFA14" s="55"/>
      <c r="TFB14" s="55"/>
      <c r="TFC14" s="55"/>
      <c r="TFD14" s="55"/>
      <c r="TFE14" s="55"/>
      <c r="TFF14" s="55"/>
      <c r="TFG14" s="55"/>
      <c r="TFH14" s="55"/>
      <c r="TFI14" s="55"/>
      <c r="TFJ14" s="55"/>
      <c r="TFK14" s="55"/>
      <c r="TFL14" s="55"/>
      <c r="TFM14" s="55"/>
      <c r="TFN14" s="55"/>
      <c r="TFO14" s="55"/>
      <c r="TFP14" s="55"/>
      <c r="TFQ14" s="55"/>
      <c r="TFR14" s="55"/>
      <c r="TFS14" s="55"/>
      <c r="TFT14" s="55"/>
      <c r="TFU14" s="55"/>
      <c r="TFV14" s="55"/>
      <c r="TFW14" s="55"/>
      <c r="TFX14" s="55"/>
      <c r="TFY14" s="55"/>
      <c r="TFZ14" s="55"/>
      <c r="TGA14" s="55"/>
      <c r="TGB14" s="55"/>
      <c r="TGC14" s="55"/>
      <c r="TGD14" s="55"/>
      <c r="TGE14" s="55"/>
      <c r="TGF14" s="55"/>
      <c r="TGG14" s="55"/>
      <c r="TGH14" s="55"/>
      <c r="TGI14" s="55"/>
      <c r="TGJ14" s="55"/>
      <c r="TGK14" s="55"/>
      <c r="TGL14" s="55"/>
      <c r="TGM14" s="55"/>
      <c r="TGN14" s="55"/>
      <c r="TGO14" s="55"/>
      <c r="TGP14" s="55"/>
      <c r="TGQ14" s="55"/>
      <c r="TGR14" s="55"/>
      <c r="TGS14" s="55"/>
      <c r="TGT14" s="55"/>
      <c r="TGU14" s="55"/>
      <c r="TGV14" s="55"/>
      <c r="TGW14" s="55"/>
      <c r="TGX14" s="55"/>
      <c r="TGY14" s="55"/>
      <c r="TGZ14" s="55"/>
      <c r="THA14" s="55"/>
      <c r="THB14" s="55"/>
      <c r="THC14" s="55"/>
      <c r="THD14" s="55"/>
      <c r="THE14" s="55"/>
      <c r="THF14" s="55"/>
      <c r="THG14" s="55"/>
      <c r="THH14" s="55"/>
      <c r="THI14" s="55"/>
      <c r="THJ14" s="55"/>
      <c r="THK14" s="55"/>
      <c r="THL14" s="55"/>
      <c r="THM14" s="55"/>
      <c r="THN14" s="55"/>
      <c r="THO14" s="55"/>
      <c r="THP14" s="55"/>
      <c r="THQ14" s="55"/>
      <c r="THR14" s="55"/>
      <c r="THS14" s="55"/>
      <c r="THT14" s="55"/>
      <c r="THU14" s="55"/>
      <c r="THV14" s="55"/>
      <c r="THW14" s="55"/>
      <c r="THX14" s="55"/>
      <c r="THY14" s="55"/>
      <c r="THZ14" s="55"/>
      <c r="TIA14" s="55"/>
      <c r="TIB14" s="55"/>
      <c r="TIC14" s="55"/>
      <c r="TID14" s="55"/>
      <c r="TIE14" s="55"/>
      <c r="TIF14" s="55"/>
      <c r="TIG14" s="55"/>
      <c r="TIH14" s="55"/>
      <c r="TII14" s="55"/>
      <c r="TIJ14" s="55"/>
      <c r="TIK14" s="55"/>
      <c r="TIL14" s="55"/>
      <c r="TIM14" s="55"/>
      <c r="TIN14" s="55"/>
      <c r="TIO14" s="55"/>
      <c r="TIP14" s="55"/>
      <c r="TIQ14" s="55"/>
      <c r="TIR14" s="55"/>
      <c r="TIS14" s="55"/>
      <c r="TIT14" s="55"/>
      <c r="TIU14" s="55"/>
      <c r="TIV14" s="55"/>
      <c r="TIW14" s="55"/>
      <c r="TIX14" s="55"/>
      <c r="TIY14" s="55"/>
      <c r="TIZ14" s="55"/>
      <c r="TJA14" s="55"/>
      <c r="TJB14" s="55"/>
      <c r="TJC14" s="55"/>
      <c r="TJD14" s="55"/>
      <c r="TJE14" s="55"/>
      <c r="TJF14" s="55"/>
      <c r="TJG14" s="55"/>
      <c r="TJH14" s="55"/>
      <c r="TJI14" s="55"/>
      <c r="TJJ14" s="55"/>
      <c r="TJK14" s="55"/>
      <c r="TJL14" s="55"/>
      <c r="TJM14" s="55"/>
      <c r="TJN14" s="55"/>
      <c r="TJO14" s="55"/>
      <c r="TJP14" s="55"/>
      <c r="TJQ14" s="55"/>
      <c r="TJR14" s="55"/>
      <c r="TJS14" s="55"/>
      <c r="TJT14" s="55"/>
      <c r="TJU14" s="55"/>
      <c r="TJV14" s="55"/>
      <c r="TJW14" s="55"/>
      <c r="TJX14" s="55"/>
      <c r="TJY14" s="55"/>
      <c r="TJZ14" s="55"/>
      <c r="TKA14" s="55"/>
      <c r="TKB14" s="55"/>
      <c r="TKC14" s="55"/>
      <c r="TKD14" s="55"/>
      <c r="TKE14" s="55"/>
      <c r="TKF14" s="55"/>
      <c r="TKG14" s="55"/>
      <c r="TKH14" s="55"/>
      <c r="TKI14" s="55"/>
      <c r="TKJ14" s="55"/>
      <c r="TKK14" s="55"/>
      <c r="TKL14" s="55"/>
      <c r="TKM14" s="55"/>
      <c r="TKN14" s="55"/>
      <c r="TKO14" s="55"/>
      <c r="TKP14" s="55"/>
      <c r="TKQ14" s="55"/>
      <c r="TKR14" s="55"/>
      <c r="TKS14" s="55"/>
      <c r="TKT14" s="55"/>
      <c r="TKU14" s="55"/>
      <c r="TKV14" s="55"/>
      <c r="TKW14" s="55"/>
      <c r="TKX14" s="55"/>
      <c r="TKY14" s="55"/>
      <c r="TKZ14" s="55"/>
      <c r="TLA14" s="55"/>
      <c r="TLB14" s="55"/>
      <c r="TLC14" s="55"/>
      <c r="TLD14" s="55"/>
      <c r="TLE14" s="55"/>
      <c r="TLF14" s="55"/>
      <c r="TLG14" s="55"/>
      <c r="TLH14" s="55"/>
      <c r="TLI14" s="55"/>
      <c r="TLJ14" s="55"/>
      <c r="TLK14" s="55"/>
      <c r="TLL14" s="55"/>
      <c r="TLM14" s="55"/>
      <c r="TLN14" s="55"/>
      <c r="TLO14" s="55"/>
      <c r="TLP14" s="55"/>
      <c r="TLQ14" s="55"/>
      <c r="TLR14" s="55"/>
      <c r="TLS14" s="55"/>
      <c r="TLT14" s="55"/>
      <c r="TLU14" s="55"/>
      <c r="TLV14" s="55"/>
      <c r="TLW14" s="55"/>
      <c r="TLX14" s="55"/>
      <c r="TLY14" s="55"/>
      <c r="TLZ14" s="55"/>
      <c r="TMA14" s="55"/>
      <c r="TMB14" s="55"/>
      <c r="TMC14" s="55"/>
      <c r="TMD14" s="55"/>
      <c r="TME14" s="55"/>
      <c r="TMF14" s="55"/>
      <c r="TMG14" s="55"/>
      <c r="TMH14" s="55"/>
      <c r="TMI14" s="55"/>
      <c r="TMJ14" s="55"/>
      <c r="TMK14" s="55"/>
      <c r="TML14" s="55"/>
      <c r="TMM14" s="55"/>
      <c r="TMN14" s="55"/>
      <c r="TMO14" s="55"/>
      <c r="TMP14" s="55"/>
      <c r="TMQ14" s="55"/>
      <c r="TMR14" s="55"/>
      <c r="TMS14" s="55"/>
      <c r="TMT14" s="55"/>
      <c r="TMU14" s="55"/>
      <c r="TMV14" s="55"/>
      <c r="TMW14" s="55"/>
      <c r="TMX14" s="55"/>
      <c r="TMY14" s="55"/>
      <c r="TMZ14" s="55"/>
      <c r="TNA14" s="55"/>
      <c r="TNB14" s="55"/>
      <c r="TNC14" s="55"/>
      <c r="TND14" s="55"/>
      <c r="TNE14" s="55"/>
      <c r="TNF14" s="55"/>
      <c r="TNG14" s="55"/>
      <c r="TNH14" s="55"/>
      <c r="TNI14" s="55"/>
      <c r="TNJ14" s="55"/>
      <c r="TNK14" s="55"/>
      <c r="TNL14" s="55"/>
      <c r="TNM14" s="55"/>
      <c r="TNN14" s="55"/>
      <c r="TNO14" s="55"/>
      <c r="TNP14" s="55"/>
      <c r="TNQ14" s="55"/>
      <c r="TNR14" s="55"/>
      <c r="TNS14" s="55"/>
      <c r="TNT14" s="55"/>
      <c r="TNU14" s="55"/>
      <c r="TNV14" s="55"/>
      <c r="TNW14" s="55"/>
      <c r="TNX14" s="55"/>
      <c r="TNY14" s="55"/>
      <c r="TNZ14" s="55"/>
      <c r="TOA14" s="55"/>
      <c r="TOB14" s="55"/>
      <c r="TOC14" s="55"/>
      <c r="TOD14" s="55"/>
      <c r="TOE14" s="55"/>
      <c r="TOF14" s="55"/>
      <c r="TOG14" s="55"/>
      <c r="TOH14" s="55"/>
      <c r="TOI14" s="55"/>
      <c r="TOJ14" s="55"/>
      <c r="TOK14" s="55"/>
      <c r="TOL14" s="55"/>
      <c r="TOM14" s="55"/>
      <c r="TON14" s="55"/>
      <c r="TOO14" s="55"/>
      <c r="TOP14" s="55"/>
      <c r="TOQ14" s="55"/>
      <c r="TOR14" s="55"/>
      <c r="TOS14" s="55"/>
      <c r="TOT14" s="55"/>
      <c r="TOU14" s="55"/>
      <c r="TOV14" s="55"/>
      <c r="TOW14" s="55"/>
      <c r="TOX14" s="55"/>
      <c r="TOY14" s="55"/>
      <c r="TOZ14" s="55"/>
      <c r="TPA14" s="55"/>
      <c r="TPB14" s="55"/>
      <c r="TPC14" s="55"/>
      <c r="TPD14" s="55"/>
      <c r="TPE14" s="55"/>
      <c r="TPF14" s="55"/>
      <c r="TPG14" s="55"/>
      <c r="TPH14" s="55"/>
      <c r="TPI14" s="55"/>
      <c r="TPJ14" s="55"/>
      <c r="TPK14" s="55"/>
      <c r="TPL14" s="55"/>
      <c r="TPM14" s="55"/>
      <c r="TPN14" s="55"/>
      <c r="TPO14" s="55"/>
      <c r="TPP14" s="55"/>
      <c r="TPQ14" s="55"/>
      <c r="TPR14" s="55"/>
      <c r="TPS14" s="55"/>
      <c r="TPT14" s="55"/>
      <c r="TPU14" s="55"/>
      <c r="TPV14" s="55"/>
      <c r="TPW14" s="55"/>
      <c r="TPX14" s="55"/>
      <c r="TPY14" s="55"/>
      <c r="TPZ14" s="55"/>
      <c r="TQA14" s="55"/>
      <c r="TQB14" s="55"/>
      <c r="TQC14" s="55"/>
      <c r="TQD14" s="55"/>
      <c r="TQE14" s="55"/>
      <c r="TQF14" s="55"/>
      <c r="TQG14" s="55"/>
      <c r="TQH14" s="55"/>
      <c r="TQI14" s="55"/>
      <c r="TQJ14" s="55"/>
      <c r="TQK14" s="55"/>
      <c r="TQL14" s="55"/>
      <c r="TQM14" s="55"/>
      <c r="TQN14" s="55"/>
      <c r="TQO14" s="55"/>
      <c r="TQP14" s="55"/>
      <c r="TQQ14" s="55"/>
      <c r="TQR14" s="55"/>
      <c r="TQS14" s="55"/>
      <c r="TQT14" s="55"/>
      <c r="TQU14" s="55"/>
      <c r="TQV14" s="55"/>
      <c r="TQW14" s="55"/>
      <c r="TQX14" s="55"/>
      <c r="TQY14" s="55"/>
      <c r="TQZ14" s="55"/>
      <c r="TRA14" s="55"/>
      <c r="TRB14" s="55"/>
      <c r="TRC14" s="55"/>
      <c r="TRD14" s="55"/>
      <c r="TRE14" s="55"/>
      <c r="TRF14" s="55"/>
      <c r="TRG14" s="55"/>
      <c r="TRH14" s="55"/>
      <c r="TRI14" s="55"/>
      <c r="TRJ14" s="55"/>
      <c r="TRK14" s="55"/>
      <c r="TRL14" s="55"/>
      <c r="TRM14" s="55"/>
      <c r="TRN14" s="55"/>
      <c r="TRO14" s="55"/>
      <c r="TRP14" s="55"/>
      <c r="TRQ14" s="55"/>
      <c r="TRR14" s="55"/>
      <c r="TRS14" s="55"/>
      <c r="TRT14" s="55"/>
      <c r="TRU14" s="55"/>
      <c r="TRV14" s="55"/>
      <c r="TRW14" s="55"/>
      <c r="TRX14" s="55"/>
      <c r="TRY14" s="55"/>
      <c r="TRZ14" s="55"/>
      <c r="TSA14" s="55"/>
      <c r="TSB14" s="55"/>
      <c r="TSC14" s="55"/>
      <c r="TSD14" s="55"/>
      <c r="TSE14" s="55"/>
      <c r="TSF14" s="55"/>
      <c r="TSG14" s="55"/>
      <c r="TSH14" s="55"/>
      <c r="TSI14" s="55"/>
      <c r="TSJ14" s="55"/>
      <c r="TSK14" s="55"/>
      <c r="TSL14" s="55"/>
      <c r="TSM14" s="55"/>
      <c r="TSN14" s="55"/>
      <c r="TSO14" s="55"/>
      <c r="TSP14" s="55"/>
      <c r="TSQ14" s="55"/>
      <c r="TSR14" s="55"/>
      <c r="TSS14" s="55"/>
      <c r="TST14" s="55"/>
      <c r="TSU14" s="55"/>
      <c r="TSV14" s="55"/>
      <c r="TSW14" s="55"/>
      <c r="TSX14" s="55"/>
      <c r="TSY14" s="55"/>
      <c r="TSZ14" s="55"/>
      <c r="TTA14" s="55"/>
      <c r="TTB14" s="55"/>
      <c r="TTC14" s="55"/>
      <c r="TTD14" s="55"/>
      <c r="TTE14" s="55"/>
      <c r="TTF14" s="55"/>
      <c r="TTG14" s="55"/>
      <c r="TTH14" s="55"/>
      <c r="TTI14" s="55"/>
      <c r="TTJ14" s="55"/>
      <c r="TTK14" s="55"/>
      <c r="TTL14" s="55"/>
      <c r="TTM14" s="55"/>
      <c r="TTN14" s="55"/>
      <c r="TTO14" s="55"/>
      <c r="TTP14" s="55"/>
      <c r="TTQ14" s="55"/>
      <c r="TTR14" s="55"/>
      <c r="TTS14" s="55"/>
      <c r="TTT14" s="55"/>
      <c r="TTU14" s="55"/>
      <c r="TTV14" s="55"/>
      <c r="TTW14" s="55"/>
      <c r="TTX14" s="55"/>
      <c r="TTY14" s="55"/>
      <c r="TTZ14" s="55"/>
      <c r="TUA14" s="55"/>
      <c r="TUB14" s="55"/>
      <c r="TUC14" s="55"/>
      <c r="TUD14" s="55"/>
      <c r="TUE14" s="55"/>
      <c r="TUF14" s="55"/>
      <c r="TUG14" s="55"/>
      <c r="TUH14" s="55"/>
      <c r="TUI14" s="55"/>
      <c r="TUJ14" s="55"/>
      <c r="TUK14" s="55"/>
      <c r="TUL14" s="55"/>
      <c r="TUM14" s="55"/>
      <c r="TUN14" s="55"/>
      <c r="TUO14" s="55"/>
      <c r="TUP14" s="55"/>
      <c r="TUQ14" s="55"/>
      <c r="TUR14" s="55"/>
      <c r="TUS14" s="55"/>
      <c r="TUT14" s="55"/>
      <c r="TUU14" s="55"/>
      <c r="TUV14" s="55"/>
      <c r="TUW14" s="55"/>
      <c r="TUX14" s="55"/>
      <c r="TUY14" s="55"/>
      <c r="TUZ14" s="55"/>
      <c r="TVA14" s="55"/>
      <c r="TVB14" s="55"/>
      <c r="TVC14" s="55"/>
      <c r="TVD14" s="55"/>
      <c r="TVE14" s="55"/>
      <c r="TVF14" s="55"/>
      <c r="TVG14" s="55"/>
      <c r="TVH14" s="55"/>
      <c r="TVI14" s="55"/>
      <c r="TVJ14" s="55"/>
      <c r="TVK14" s="55"/>
      <c r="TVL14" s="55"/>
      <c r="TVM14" s="55"/>
      <c r="TVN14" s="55"/>
      <c r="TVO14" s="55"/>
      <c r="TVP14" s="55"/>
      <c r="TVQ14" s="55"/>
      <c r="TVR14" s="55"/>
      <c r="TVS14" s="55"/>
      <c r="TVT14" s="55"/>
      <c r="TVU14" s="55"/>
      <c r="TVV14" s="55"/>
      <c r="TVW14" s="55"/>
      <c r="TVX14" s="55"/>
      <c r="TVY14" s="55"/>
      <c r="TVZ14" s="55"/>
      <c r="TWA14" s="55"/>
      <c r="TWB14" s="55"/>
      <c r="TWC14" s="55"/>
      <c r="TWD14" s="55"/>
      <c r="TWE14" s="55"/>
      <c r="TWF14" s="55"/>
      <c r="TWG14" s="55"/>
      <c r="TWH14" s="55"/>
      <c r="TWI14" s="55"/>
      <c r="TWJ14" s="55"/>
      <c r="TWK14" s="55"/>
      <c r="TWL14" s="55"/>
      <c r="TWM14" s="55"/>
      <c r="TWN14" s="55"/>
      <c r="TWO14" s="55"/>
      <c r="TWP14" s="55"/>
      <c r="TWQ14" s="55"/>
      <c r="TWR14" s="55"/>
      <c r="TWS14" s="55"/>
      <c r="TWT14" s="55"/>
      <c r="TWU14" s="55"/>
      <c r="TWV14" s="55"/>
      <c r="TWW14" s="55"/>
      <c r="TWX14" s="55"/>
      <c r="TWY14" s="55"/>
      <c r="TWZ14" s="55"/>
      <c r="TXA14" s="55"/>
      <c r="TXB14" s="55"/>
      <c r="TXC14" s="55"/>
      <c r="TXD14" s="55"/>
      <c r="TXE14" s="55"/>
      <c r="TXF14" s="55"/>
      <c r="TXG14" s="55"/>
      <c r="TXH14" s="55"/>
      <c r="TXI14" s="55"/>
      <c r="TXJ14" s="55"/>
      <c r="TXK14" s="55"/>
      <c r="TXL14" s="55"/>
      <c r="TXM14" s="55"/>
      <c r="TXN14" s="55"/>
      <c r="TXO14" s="55"/>
      <c r="TXP14" s="55"/>
      <c r="TXQ14" s="55"/>
      <c r="TXR14" s="55"/>
      <c r="TXS14" s="55"/>
      <c r="TXT14" s="55"/>
      <c r="TXU14" s="55"/>
      <c r="TXV14" s="55"/>
      <c r="TXW14" s="55"/>
      <c r="TXX14" s="55"/>
      <c r="TXY14" s="55"/>
      <c r="TXZ14" s="55"/>
      <c r="TYA14" s="55"/>
      <c r="TYB14" s="55"/>
      <c r="TYC14" s="55"/>
      <c r="TYD14" s="55"/>
      <c r="TYE14" s="55"/>
      <c r="TYF14" s="55"/>
      <c r="TYG14" s="55"/>
      <c r="TYH14" s="55"/>
      <c r="TYI14" s="55"/>
      <c r="TYJ14" s="55"/>
      <c r="TYK14" s="55"/>
      <c r="TYL14" s="55"/>
      <c r="TYM14" s="55"/>
      <c r="TYN14" s="55"/>
      <c r="TYO14" s="55"/>
      <c r="TYP14" s="55"/>
      <c r="TYQ14" s="55"/>
      <c r="TYR14" s="55"/>
      <c r="TYS14" s="55"/>
      <c r="TYT14" s="55"/>
      <c r="TYU14" s="55"/>
      <c r="TYV14" s="55"/>
      <c r="TYW14" s="55"/>
      <c r="TYX14" s="55"/>
      <c r="TYY14" s="55"/>
      <c r="TYZ14" s="55"/>
      <c r="TZA14" s="55"/>
      <c r="TZB14" s="55"/>
      <c r="TZC14" s="55"/>
      <c r="TZD14" s="55"/>
      <c r="TZE14" s="55"/>
      <c r="TZF14" s="55"/>
      <c r="TZG14" s="55"/>
      <c r="TZH14" s="55"/>
      <c r="TZI14" s="55"/>
      <c r="TZJ14" s="55"/>
      <c r="TZK14" s="55"/>
      <c r="TZL14" s="55"/>
      <c r="TZM14" s="55"/>
      <c r="TZN14" s="55"/>
      <c r="TZO14" s="55"/>
      <c r="TZP14" s="55"/>
      <c r="TZQ14" s="55"/>
      <c r="TZR14" s="55"/>
      <c r="TZS14" s="55"/>
      <c r="TZT14" s="55"/>
      <c r="TZU14" s="55"/>
      <c r="TZV14" s="55"/>
      <c r="TZW14" s="55"/>
      <c r="TZX14" s="55"/>
      <c r="TZY14" s="55"/>
      <c r="TZZ14" s="55"/>
      <c r="UAA14" s="55"/>
      <c r="UAB14" s="55"/>
      <c r="UAC14" s="55"/>
      <c r="UAD14" s="55"/>
      <c r="UAE14" s="55"/>
      <c r="UAF14" s="55"/>
      <c r="UAG14" s="55"/>
      <c r="UAH14" s="55"/>
      <c r="UAI14" s="55"/>
      <c r="UAJ14" s="55"/>
      <c r="UAK14" s="55"/>
      <c r="UAL14" s="55"/>
      <c r="UAM14" s="55"/>
      <c r="UAN14" s="55"/>
      <c r="UAO14" s="55"/>
      <c r="UAP14" s="55"/>
      <c r="UAQ14" s="55"/>
      <c r="UAR14" s="55"/>
      <c r="UAS14" s="55"/>
      <c r="UAT14" s="55"/>
      <c r="UAU14" s="55"/>
      <c r="UAV14" s="55"/>
      <c r="UAW14" s="55"/>
      <c r="UAX14" s="55"/>
      <c r="UAY14" s="55"/>
      <c r="UAZ14" s="55"/>
      <c r="UBA14" s="55"/>
      <c r="UBB14" s="55"/>
      <c r="UBC14" s="55"/>
      <c r="UBD14" s="55"/>
      <c r="UBE14" s="55"/>
      <c r="UBF14" s="55"/>
      <c r="UBG14" s="55"/>
      <c r="UBH14" s="55"/>
      <c r="UBI14" s="55"/>
      <c r="UBJ14" s="55"/>
      <c r="UBK14" s="55"/>
      <c r="UBL14" s="55"/>
      <c r="UBM14" s="55"/>
      <c r="UBN14" s="55"/>
      <c r="UBO14" s="55"/>
      <c r="UBP14" s="55"/>
      <c r="UBQ14" s="55"/>
      <c r="UBR14" s="55"/>
      <c r="UBS14" s="55"/>
      <c r="UBT14" s="55"/>
      <c r="UBU14" s="55"/>
      <c r="UBV14" s="55"/>
      <c r="UBW14" s="55"/>
      <c r="UBX14" s="55"/>
      <c r="UBY14" s="55"/>
      <c r="UBZ14" s="55"/>
      <c r="UCA14" s="55"/>
      <c r="UCB14" s="55"/>
      <c r="UCC14" s="55"/>
      <c r="UCD14" s="55"/>
      <c r="UCE14" s="55"/>
      <c r="UCF14" s="55"/>
      <c r="UCG14" s="55"/>
      <c r="UCH14" s="55"/>
      <c r="UCI14" s="55"/>
      <c r="UCJ14" s="55"/>
      <c r="UCK14" s="55"/>
      <c r="UCL14" s="55"/>
      <c r="UCM14" s="55"/>
      <c r="UCN14" s="55"/>
      <c r="UCO14" s="55"/>
      <c r="UCP14" s="55"/>
      <c r="UCQ14" s="55"/>
      <c r="UCR14" s="55"/>
      <c r="UCS14" s="55"/>
      <c r="UCT14" s="55"/>
      <c r="UCU14" s="55"/>
      <c r="UCV14" s="55"/>
      <c r="UCW14" s="55"/>
      <c r="UCX14" s="55"/>
      <c r="UCY14" s="55"/>
      <c r="UCZ14" s="55"/>
      <c r="UDA14" s="55"/>
      <c r="UDB14" s="55"/>
      <c r="UDC14" s="55"/>
      <c r="UDD14" s="55"/>
      <c r="UDE14" s="55"/>
      <c r="UDF14" s="55"/>
      <c r="UDG14" s="55"/>
      <c r="UDH14" s="55"/>
      <c r="UDI14" s="55"/>
      <c r="UDJ14" s="55"/>
      <c r="UDK14" s="55"/>
      <c r="UDL14" s="55"/>
      <c r="UDM14" s="55"/>
      <c r="UDN14" s="55"/>
      <c r="UDO14" s="55"/>
      <c r="UDP14" s="55"/>
      <c r="UDQ14" s="55"/>
      <c r="UDR14" s="55"/>
      <c r="UDS14" s="55"/>
      <c r="UDT14" s="55"/>
      <c r="UDU14" s="55"/>
      <c r="UDV14" s="55"/>
      <c r="UDW14" s="55"/>
      <c r="UDX14" s="55"/>
      <c r="UDY14" s="55"/>
      <c r="UDZ14" s="55"/>
      <c r="UEA14" s="55"/>
      <c r="UEB14" s="55"/>
      <c r="UEC14" s="55"/>
      <c r="UED14" s="55"/>
      <c r="UEE14" s="55"/>
      <c r="UEF14" s="55"/>
      <c r="UEG14" s="55"/>
      <c r="UEH14" s="55"/>
      <c r="UEI14" s="55"/>
      <c r="UEJ14" s="55"/>
      <c r="UEK14" s="55"/>
      <c r="UEL14" s="55"/>
      <c r="UEM14" s="55"/>
      <c r="UEN14" s="55"/>
      <c r="UEO14" s="55"/>
      <c r="UEP14" s="55"/>
      <c r="UEQ14" s="55"/>
      <c r="UER14" s="55"/>
      <c r="UES14" s="55"/>
      <c r="UET14" s="55"/>
      <c r="UEU14" s="55"/>
      <c r="UEV14" s="55"/>
      <c r="UEW14" s="55"/>
      <c r="UEX14" s="55"/>
      <c r="UEY14" s="55"/>
      <c r="UEZ14" s="55"/>
      <c r="UFA14" s="55"/>
      <c r="UFB14" s="55"/>
      <c r="UFC14" s="55"/>
      <c r="UFD14" s="55"/>
      <c r="UFE14" s="55"/>
      <c r="UFF14" s="55"/>
      <c r="UFG14" s="55"/>
      <c r="UFH14" s="55"/>
      <c r="UFI14" s="55"/>
      <c r="UFJ14" s="55"/>
      <c r="UFK14" s="55"/>
      <c r="UFL14" s="55"/>
      <c r="UFM14" s="55"/>
      <c r="UFN14" s="55"/>
      <c r="UFO14" s="55"/>
      <c r="UFP14" s="55"/>
      <c r="UFQ14" s="55"/>
      <c r="UFR14" s="55"/>
      <c r="UFS14" s="55"/>
      <c r="UFT14" s="55"/>
      <c r="UFU14" s="55"/>
      <c r="UFV14" s="55"/>
      <c r="UFW14" s="55"/>
      <c r="UFX14" s="55"/>
      <c r="UFY14" s="55"/>
      <c r="UFZ14" s="55"/>
      <c r="UGA14" s="55"/>
      <c r="UGB14" s="55"/>
      <c r="UGC14" s="55"/>
      <c r="UGD14" s="55"/>
      <c r="UGE14" s="55"/>
      <c r="UGF14" s="55"/>
      <c r="UGG14" s="55"/>
      <c r="UGH14" s="55"/>
      <c r="UGI14" s="55"/>
      <c r="UGJ14" s="55"/>
      <c r="UGK14" s="55"/>
      <c r="UGL14" s="55"/>
      <c r="UGM14" s="55"/>
      <c r="UGN14" s="55"/>
      <c r="UGO14" s="55"/>
      <c r="UGP14" s="55"/>
      <c r="UGQ14" s="55"/>
      <c r="UGR14" s="55"/>
      <c r="UGS14" s="55"/>
      <c r="UGT14" s="55"/>
      <c r="UGU14" s="55"/>
      <c r="UGV14" s="55"/>
      <c r="UGW14" s="55"/>
      <c r="UGX14" s="55"/>
      <c r="UGY14" s="55"/>
      <c r="UGZ14" s="55"/>
      <c r="UHA14" s="55"/>
      <c r="UHB14" s="55"/>
      <c r="UHC14" s="55"/>
      <c r="UHD14" s="55"/>
      <c r="UHE14" s="55"/>
      <c r="UHF14" s="55"/>
      <c r="UHG14" s="55"/>
      <c r="UHH14" s="55"/>
      <c r="UHI14" s="55"/>
      <c r="UHJ14" s="55"/>
      <c r="UHK14" s="55"/>
      <c r="UHL14" s="55"/>
      <c r="UHM14" s="55"/>
      <c r="UHN14" s="55"/>
      <c r="UHO14" s="55"/>
      <c r="UHP14" s="55"/>
      <c r="UHQ14" s="55"/>
      <c r="UHR14" s="55"/>
      <c r="UHS14" s="55"/>
      <c r="UHT14" s="55"/>
      <c r="UHU14" s="55"/>
      <c r="UHV14" s="55"/>
      <c r="UHW14" s="55"/>
      <c r="UHX14" s="55"/>
      <c r="UHY14" s="55"/>
      <c r="UHZ14" s="55"/>
      <c r="UIA14" s="55"/>
      <c r="UIB14" s="55"/>
      <c r="UIC14" s="55"/>
      <c r="UID14" s="55"/>
      <c r="UIE14" s="55"/>
      <c r="UIF14" s="55"/>
      <c r="UIG14" s="55"/>
      <c r="UIH14" s="55"/>
      <c r="UII14" s="55"/>
      <c r="UIJ14" s="55"/>
      <c r="UIK14" s="55"/>
      <c r="UIL14" s="55"/>
      <c r="UIM14" s="55"/>
      <c r="UIN14" s="55"/>
      <c r="UIO14" s="55"/>
      <c r="UIP14" s="55"/>
      <c r="UIQ14" s="55"/>
      <c r="UIR14" s="55"/>
      <c r="UIS14" s="55"/>
      <c r="UIT14" s="55"/>
      <c r="UIU14" s="55"/>
      <c r="UIV14" s="55"/>
      <c r="UIW14" s="55"/>
      <c r="UIX14" s="55"/>
      <c r="UIY14" s="55"/>
      <c r="UIZ14" s="55"/>
      <c r="UJA14" s="55"/>
      <c r="UJB14" s="55"/>
      <c r="UJC14" s="55"/>
      <c r="UJD14" s="55"/>
      <c r="UJE14" s="55"/>
      <c r="UJF14" s="55"/>
      <c r="UJG14" s="55"/>
      <c r="UJH14" s="55"/>
      <c r="UJI14" s="55"/>
      <c r="UJJ14" s="55"/>
      <c r="UJK14" s="55"/>
      <c r="UJL14" s="55"/>
      <c r="UJM14" s="55"/>
      <c r="UJN14" s="55"/>
      <c r="UJO14" s="55"/>
      <c r="UJP14" s="55"/>
      <c r="UJQ14" s="55"/>
      <c r="UJR14" s="55"/>
      <c r="UJS14" s="55"/>
      <c r="UJT14" s="55"/>
      <c r="UJU14" s="55"/>
      <c r="UJV14" s="55"/>
      <c r="UJW14" s="55"/>
      <c r="UJX14" s="55"/>
      <c r="UJY14" s="55"/>
      <c r="UJZ14" s="55"/>
      <c r="UKA14" s="55"/>
      <c r="UKB14" s="55"/>
      <c r="UKC14" s="55"/>
      <c r="UKD14" s="55"/>
      <c r="UKE14" s="55"/>
      <c r="UKF14" s="55"/>
      <c r="UKG14" s="55"/>
      <c r="UKH14" s="55"/>
      <c r="UKI14" s="55"/>
      <c r="UKJ14" s="55"/>
      <c r="UKK14" s="55"/>
      <c r="UKL14" s="55"/>
      <c r="UKM14" s="55"/>
      <c r="UKN14" s="55"/>
      <c r="UKO14" s="55"/>
      <c r="UKP14" s="55"/>
      <c r="UKQ14" s="55"/>
      <c r="UKR14" s="55"/>
      <c r="UKS14" s="55"/>
      <c r="UKT14" s="55"/>
      <c r="UKU14" s="55"/>
      <c r="UKV14" s="55"/>
      <c r="UKW14" s="55"/>
      <c r="UKX14" s="55"/>
      <c r="UKY14" s="55"/>
      <c r="UKZ14" s="55"/>
      <c r="ULA14" s="55"/>
      <c r="ULB14" s="55"/>
      <c r="ULC14" s="55"/>
      <c r="ULD14" s="55"/>
      <c r="ULE14" s="55"/>
      <c r="ULF14" s="55"/>
      <c r="ULG14" s="55"/>
      <c r="ULH14" s="55"/>
      <c r="ULI14" s="55"/>
      <c r="ULJ14" s="55"/>
      <c r="ULK14" s="55"/>
      <c r="ULL14" s="55"/>
      <c r="ULM14" s="55"/>
      <c r="ULN14" s="55"/>
      <c r="ULO14" s="55"/>
      <c r="ULP14" s="55"/>
      <c r="ULQ14" s="55"/>
      <c r="ULR14" s="55"/>
      <c r="ULS14" s="55"/>
      <c r="ULT14" s="55"/>
      <c r="ULU14" s="55"/>
      <c r="ULV14" s="55"/>
      <c r="ULW14" s="55"/>
      <c r="ULX14" s="55"/>
      <c r="ULY14" s="55"/>
      <c r="ULZ14" s="55"/>
      <c r="UMA14" s="55"/>
      <c r="UMB14" s="55"/>
      <c r="UMC14" s="55"/>
      <c r="UMD14" s="55"/>
      <c r="UME14" s="55"/>
      <c r="UMF14" s="55"/>
      <c r="UMG14" s="55"/>
      <c r="UMH14" s="55"/>
      <c r="UMI14" s="55"/>
      <c r="UMJ14" s="55"/>
      <c r="UMK14" s="55"/>
      <c r="UML14" s="55"/>
      <c r="UMM14" s="55"/>
      <c r="UMN14" s="55"/>
      <c r="UMO14" s="55"/>
      <c r="UMP14" s="55"/>
      <c r="UMQ14" s="55"/>
      <c r="UMR14" s="55"/>
      <c r="UMS14" s="55"/>
      <c r="UMT14" s="55"/>
      <c r="UMU14" s="55"/>
      <c r="UMV14" s="55"/>
      <c r="UMW14" s="55"/>
      <c r="UMX14" s="55"/>
      <c r="UMY14" s="55"/>
      <c r="UMZ14" s="55"/>
      <c r="UNA14" s="55"/>
      <c r="UNB14" s="55"/>
      <c r="UNC14" s="55"/>
      <c r="UND14" s="55"/>
      <c r="UNE14" s="55"/>
      <c r="UNF14" s="55"/>
      <c r="UNG14" s="55"/>
      <c r="UNH14" s="55"/>
      <c r="UNI14" s="55"/>
      <c r="UNJ14" s="55"/>
      <c r="UNK14" s="55"/>
      <c r="UNL14" s="55"/>
      <c r="UNM14" s="55"/>
      <c r="UNN14" s="55"/>
      <c r="UNO14" s="55"/>
      <c r="UNP14" s="55"/>
      <c r="UNQ14" s="55"/>
      <c r="UNR14" s="55"/>
      <c r="UNS14" s="55"/>
      <c r="UNT14" s="55"/>
      <c r="UNU14" s="55"/>
      <c r="UNV14" s="55"/>
      <c r="UNW14" s="55"/>
      <c r="UNX14" s="55"/>
      <c r="UNY14" s="55"/>
      <c r="UNZ14" s="55"/>
      <c r="UOA14" s="55"/>
      <c r="UOB14" s="55"/>
      <c r="UOC14" s="55"/>
      <c r="UOD14" s="55"/>
      <c r="UOE14" s="55"/>
      <c r="UOF14" s="55"/>
      <c r="UOG14" s="55"/>
      <c r="UOH14" s="55"/>
      <c r="UOI14" s="55"/>
      <c r="UOJ14" s="55"/>
      <c r="UOK14" s="55"/>
      <c r="UOL14" s="55"/>
      <c r="UOM14" s="55"/>
      <c r="UON14" s="55"/>
      <c r="UOO14" s="55"/>
      <c r="UOP14" s="55"/>
      <c r="UOQ14" s="55"/>
      <c r="UOR14" s="55"/>
      <c r="UOS14" s="55"/>
      <c r="UOT14" s="55"/>
      <c r="UOU14" s="55"/>
      <c r="UOV14" s="55"/>
      <c r="UOW14" s="55"/>
      <c r="UOX14" s="55"/>
      <c r="UOY14" s="55"/>
      <c r="UOZ14" s="55"/>
      <c r="UPA14" s="55"/>
      <c r="UPB14" s="55"/>
      <c r="UPC14" s="55"/>
      <c r="UPD14" s="55"/>
      <c r="UPE14" s="55"/>
      <c r="UPF14" s="55"/>
      <c r="UPG14" s="55"/>
      <c r="UPH14" s="55"/>
      <c r="UPI14" s="55"/>
      <c r="UPJ14" s="55"/>
      <c r="UPK14" s="55"/>
      <c r="UPL14" s="55"/>
      <c r="UPM14" s="55"/>
      <c r="UPN14" s="55"/>
      <c r="UPO14" s="55"/>
      <c r="UPP14" s="55"/>
      <c r="UPQ14" s="55"/>
      <c r="UPR14" s="55"/>
      <c r="UPS14" s="55"/>
      <c r="UPT14" s="55"/>
      <c r="UPU14" s="55"/>
      <c r="UPV14" s="55"/>
      <c r="UPW14" s="55"/>
      <c r="UPX14" s="55"/>
      <c r="UPY14" s="55"/>
      <c r="UPZ14" s="55"/>
      <c r="UQA14" s="55"/>
      <c r="UQB14" s="55"/>
      <c r="UQC14" s="55"/>
      <c r="UQD14" s="55"/>
      <c r="UQE14" s="55"/>
      <c r="UQF14" s="55"/>
      <c r="UQG14" s="55"/>
      <c r="UQH14" s="55"/>
      <c r="UQI14" s="55"/>
      <c r="UQJ14" s="55"/>
      <c r="UQK14" s="55"/>
      <c r="UQL14" s="55"/>
      <c r="UQM14" s="55"/>
      <c r="UQN14" s="55"/>
      <c r="UQO14" s="55"/>
      <c r="UQP14" s="55"/>
      <c r="UQQ14" s="55"/>
      <c r="UQR14" s="55"/>
      <c r="UQS14" s="55"/>
      <c r="UQT14" s="55"/>
      <c r="UQU14" s="55"/>
      <c r="UQV14" s="55"/>
      <c r="UQW14" s="55"/>
      <c r="UQX14" s="55"/>
      <c r="UQY14" s="55"/>
      <c r="UQZ14" s="55"/>
      <c r="URA14" s="55"/>
      <c r="URB14" s="55"/>
      <c r="URC14" s="55"/>
      <c r="URD14" s="55"/>
      <c r="URE14" s="55"/>
      <c r="URF14" s="55"/>
      <c r="URG14" s="55"/>
      <c r="URH14" s="55"/>
      <c r="URI14" s="55"/>
      <c r="URJ14" s="55"/>
      <c r="URK14" s="55"/>
      <c r="URL14" s="55"/>
      <c r="URM14" s="55"/>
      <c r="URN14" s="55"/>
      <c r="URO14" s="55"/>
      <c r="URP14" s="55"/>
      <c r="URQ14" s="55"/>
      <c r="URR14" s="55"/>
      <c r="URS14" s="55"/>
      <c r="URT14" s="55"/>
      <c r="URU14" s="55"/>
      <c r="URV14" s="55"/>
      <c r="URW14" s="55"/>
      <c r="URX14" s="55"/>
      <c r="URY14" s="55"/>
      <c r="URZ14" s="55"/>
      <c r="USA14" s="55"/>
      <c r="USB14" s="55"/>
      <c r="USC14" s="55"/>
      <c r="USD14" s="55"/>
      <c r="USE14" s="55"/>
      <c r="USF14" s="55"/>
      <c r="USG14" s="55"/>
      <c r="USH14" s="55"/>
      <c r="USI14" s="55"/>
      <c r="USJ14" s="55"/>
      <c r="USK14" s="55"/>
      <c r="USL14" s="55"/>
      <c r="USM14" s="55"/>
      <c r="USN14" s="55"/>
      <c r="USO14" s="55"/>
      <c r="USP14" s="55"/>
      <c r="USQ14" s="55"/>
      <c r="USR14" s="55"/>
      <c r="USS14" s="55"/>
      <c r="UST14" s="55"/>
      <c r="USU14" s="55"/>
      <c r="USV14" s="55"/>
      <c r="USW14" s="55"/>
      <c r="USX14" s="55"/>
      <c r="USY14" s="55"/>
      <c r="USZ14" s="55"/>
      <c r="UTA14" s="55"/>
      <c r="UTB14" s="55"/>
      <c r="UTC14" s="55"/>
      <c r="UTD14" s="55"/>
      <c r="UTE14" s="55"/>
      <c r="UTF14" s="55"/>
      <c r="UTG14" s="55"/>
      <c r="UTH14" s="55"/>
      <c r="UTI14" s="55"/>
      <c r="UTJ14" s="55"/>
      <c r="UTK14" s="55"/>
      <c r="UTL14" s="55"/>
      <c r="UTM14" s="55"/>
      <c r="UTN14" s="55"/>
      <c r="UTO14" s="55"/>
      <c r="UTP14" s="55"/>
      <c r="UTQ14" s="55"/>
      <c r="UTR14" s="55"/>
      <c r="UTS14" s="55"/>
      <c r="UTT14" s="55"/>
      <c r="UTU14" s="55"/>
      <c r="UTV14" s="55"/>
      <c r="UTW14" s="55"/>
      <c r="UTX14" s="55"/>
      <c r="UTY14" s="55"/>
      <c r="UTZ14" s="55"/>
      <c r="UUA14" s="55"/>
      <c r="UUB14" s="55"/>
      <c r="UUC14" s="55"/>
      <c r="UUD14" s="55"/>
      <c r="UUE14" s="55"/>
      <c r="UUF14" s="55"/>
      <c r="UUG14" s="55"/>
      <c r="UUH14" s="55"/>
      <c r="UUI14" s="55"/>
      <c r="UUJ14" s="55"/>
      <c r="UUK14" s="55"/>
      <c r="UUL14" s="55"/>
      <c r="UUM14" s="55"/>
      <c r="UUN14" s="55"/>
      <c r="UUO14" s="55"/>
      <c r="UUP14" s="55"/>
      <c r="UUQ14" s="55"/>
      <c r="UUR14" s="55"/>
      <c r="UUS14" s="55"/>
      <c r="UUT14" s="55"/>
      <c r="UUU14" s="55"/>
      <c r="UUV14" s="55"/>
      <c r="UUW14" s="55"/>
      <c r="UUX14" s="55"/>
      <c r="UUY14" s="55"/>
      <c r="UUZ14" s="55"/>
      <c r="UVA14" s="55"/>
      <c r="UVB14" s="55"/>
      <c r="UVC14" s="55"/>
      <c r="UVD14" s="55"/>
      <c r="UVE14" s="55"/>
      <c r="UVF14" s="55"/>
      <c r="UVG14" s="55"/>
      <c r="UVH14" s="55"/>
      <c r="UVI14" s="55"/>
      <c r="UVJ14" s="55"/>
      <c r="UVK14" s="55"/>
      <c r="UVL14" s="55"/>
      <c r="UVM14" s="55"/>
      <c r="UVN14" s="55"/>
      <c r="UVO14" s="55"/>
      <c r="UVP14" s="55"/>
      <c r="UVQ14" s="55"/>
      <c r="UVR14" s="55"/>
      <c r="UVS14" s="55"/>
      <c r="UVT14" s="55"/>
      <c r="UVU14" s="55"/>
      <c r="UVV14" s="55"/>
      <c r="UVW14" s="55"/>
      <c r="UVX14" s="55"/>
      <c r="UVY14" s="55"/>
      <c r="UVZ14" s="55"/>
      <c r="UWA14" s="55"/>
      <c r="UWB14" s="55"/>
      <c r="UWC14" s="55"/>
      <c r="UWD14" s="55"/>
      <c r="UWE14" s="55"/>
      <c r="UWF14" s="55"/>
      <c r="UWG14" s="55"/>
      <c r="UWH14" s="55"/>
      <c r="UWI14" s="55"/>
      <c r="UWJ14" s="55"/>
      <c r="UWK14" s="55"/>
      <c r="UWL14" s="55"/>
      <c r="UWM14" s="55"/>
      <c r="UWN14" s="55"/>
      <c r="UWO14" s="55"/>
      <c r="UWP14" s="55"/>
      <c r="UWQ14" s="55"/>
      <c r="UWR14" s="55"/>
      <c r="UWS14" s="55"/>
      <c r="UWT14" s="55"/>
      <c r="UWU14" s="55"/>
      <c r="UWV14" s="55"/>
      <c r="UWW14" s="55"/>
      <c r="UWX14" s="55"/>
      <c r="UWY14" s="55"/>
      <c r="UWZ14" s="55"/>
      <c r="UXA14" s="55"/>
      <c r="UXB14" s="55"/>
      <c r="UXC14" s="55"/>
      <c r="UXD14" s="55"/>
      <c r="UXE14" s="55"/>
      <c r="UXF14" s="55"/>
      <c r="UXG14" s="55"/>
      <c r="UXH14" s="55"/>
      <c r="UXI14" s="55"/>
      <c r="UXJ14" s="55"/>
      <c r="UXK14" s="55"/>
      <c r="UXL14" s="55"/>
      <c r="UXM14" s="55"/>
      <c r="UXN14" s="55"/>
      <c r="UXO14" s="55"/>
      <c r="UXP14" s="55"/>
      <c r="UXQ14" s="55"/>
      <c r="UXR14" s="55"/>
      <c r="UXS14" s="55"/>
      <c r="UXT14" s="55"/>
      <c r="UXU14" s="55"/>
      <c r="UXV14" s="55"/>
      <c r="UXW14" s="55"/>
      <c r="UXX14" s="55"/>
      <c r="UXY14" s="55"/>
      <c r="UXZ14" s="55"/>
      <c r="UYA14" s="55"/>
      <c r="UYB14" s="55"/>
      <c r="UYC14" s="55"/>
      <c r="UYD14" s="55"/>
      <c r="UYE14" s="55"/>
      <c r="UYF14" s="55"/>
      <c r="UYG14" s="55"/>
      <c r="UYH14" s="55"/>
      <c r="UYI14" s="55"/>
      <c r="UYJ14" s="55"/>
      <c r="UYK14" s="55"/>
      <c r="UYL14" s="55"/>
      <c r="UYM14" s="55"/>
      <c r="UYN14" s="55"/>
      <c r="UYO14" s="55"/>
      <c r="UYP14" s="55"/>
      <c r="UYQ14" s="55"/>
      <c r="UYR14" s="55"/>
      <c r="UYS14" s="55"/>
      <c r="UYT14" s="55"/>
      <c r="UYU14" s="55"/>
      <c r="UYV14" s="55"/>
      <c r="UYW14" s="55"/>
      <c r="UYX14" s="55"/>
      <c r="UYY14" s="55"/>
      <c r="UYZ14" s="55"/>
      <c r="UZA14" s="55"/>
      <c r="UZB14" s="55"/>
      <c r="UZC14" s="55"/>
      <c r="UZD14" s="55"/>
      <c r="UZE14" s="55"/>
      <c r="UZF14" s="55"/>
      <c r="UZG14" s="55"/>
      <c r="UZH14" s="55"/>
      <c r="UZI14" s="55"/>
      <c r="UZJ14" s="55"/>
      <c r="UZK14" s="55"/>
      <c r="UZL14" s="55"/>
      <c r="UZM14" s="55"/>
      <c r="UZN14" s="55"/>
      <c r="UZO14" s="55"/>
      <c r="UZP14" s="55"/>
      <c r="UZQ14" s="55"/>
      <c r="UZR14" s="55"/>
      <c r="UZS14" s="55"/>
      <c r="UZT14" s="55"/>
      <c r="UZU14" s="55"/>
      <c r="UZV14" s="55"/>
      <c r="UZW14" s="55"/>
      <c r="UZX14" s="55"/>
      <c r="UZY14" s="55"/>
      <c r="UZZ14" s="55"/>
      <c r="VAA14" s="55"/>
      <c r="VAB14" s="55"/>
      <c r="VAC14" s="55"/>
      <c r="VAD14" s="55"/>
      <c r="VAE14" s="55"/>
      <c r="VAF14" s="55"/>
      <c r="VAG14" s="55"/>
      <c r="VAH14" s="55"/>
      <c r="VAI14" s="55"/>
      <c r="VAJ14" s="55"/>
      <c r="VAK14" s="55"/>
      <c r="VAL14" s="55"/>
      <c r="VAM14" s="55"/>
      <c r="VAN14" s="55"/>
      <c r="VAO14" s="55"/>
      <c r="VAP14" s="55"/>
      <c r="VAQ14" s="55"/>
      <c r="VAR14" s="55"/>
      <c r="VAS14" s="55"/>
      <c r="VAT14" s="55"/>
      <c r="VAU14" s="55"/>
      <c r="VAV14" s="55"/>
      <c r="VAW14" s="55"/>
      <c r="VAX14" s="55"/>
      <c r="VAY14" s="55"/>
      <c r="VAZ14" s="55"/>
      <c r="VBA14" s="55"/>
      <c r="VBB14" s="55"/>
      <c r="VBC14" s="55"/>
      <c r="VBD14" s="55"/>
      <c r="VBE14" s="55"/>
      <c r="VBF14" s="55"/>
      <c r="VBG14" s="55"/>
      <c r="VBH14" s="55"/>
      <c r="VBI14" s="55"/>
      <c r="VBJ14" s="55"/>
      <c r="VBK14" s="55"/>
      <c r="VBL14" s="55"/>
      <c r="VBM14" s="55"/>
      <c r="VBN14" s="55"/>
      <c r="VBO14" s="55"/>
      <c r="VBP14" s="55"/>
      <c r="VBQ14" s="55"/>
      <c r="VBR14" s="55"/>
      <c r="VBS14" s="55"/>
      <c r="VBT14" s="55"/>
      <c r="VBU14" s="55"/>
      <c r="VBV14" s="55"/>
      <c r="VBW14" s="55"/>
      <c r="VBX14" s="55"/>
      <c r="VBY14" s="55"/>
      <c r="VBZ14" s="55"/>
      <c r="VCA14" s="55"/>
      <c r="VCB14" s="55"/>
      <c r="VCC14" s="55"/>
      <c r="VCD14" s="55"/>
      <c r="VCE14" s="55"/>
      <c r="VCF14" s="55"/>
      <c r="VCG14" s="55"/>
      <c r="VCH14" s="55"/>
      <c r="VCI14" s="55"/>
      <c r="VCJ14" s="55"/>
      <c r="VCK14" s="55"/>
      <c r="VCL14" s="55"/>
      <c r="VCM14" s="55"/>
      <c r="VCN14" s="55"/>
      <c r="VCO14" s="55"/>
      <c r="VCP14" s="55"/>
      <c r="VCQ14" s="55"/>
      <c r="VCR14" s="55"/>
      <c r="VCS14" s="55"/>
      <c r="VCT14" s="55"/>
      <c r="VCU14" s="55"/>
      <c r="VCV14" s="55"/>
      <c r="VCW14" s="55"/>
      <c r="VCX14" s="55"/>
      <c r="VCY14" s="55"/>
      <c r="VCZ14" s="55"/>
      <c r="VDA14" s="55"/>
      <c r="VDB14" s="55"/>
      <c r="VDC14" s="55"/>
      <c r="VDD14" s="55"/>
      <c r="VDE14" s="55"/>
      <c r="VDF14" s="55"/>
      <c r="VDG14" s="55"/>
      <c r="VDH14" s="55"/>
      <c r="VDI14" s="55"/>
      <c r="VDJ14" s="55"/>
      <c r="VDK14" s="55"/>
      <c r="VDL14" s="55"/>
      <c r="VDM14" s="55"/>
      <c r="VDN14" s="55"/>
      <c r="VDO14" s="55"/>
      <c r="VDP14" s="55"/>
      <c r="VDQ14" s="55"/>
      <c r="VDR14" s="55"/>
      <c r="VDS14" s="55"/>
      <c r="VDT14" s="55"/>
      <c r="VDU14" s="55"/>
      <c r="VDV14" s="55"/>
      <c r="VDW14" s="55"/>
      <c r="VDX14" s="55"/>
      <c r="VDY14" s="55"/>
      <c r="VDZ14" s="55"/>
      <c r="VEA14" s="55"/>
      <c r="VEB14" s="55"/>
      <c r="VEC14" s="55"/>
      <c r="VED14" s="55"/>
      <c r="VEE14" s="55"/>
      <c r="VEF14" s="55"/>
      <c r="VEG14" s="55"/>
      <c r="VEH14" s="55"/>
      <c r="VEI14" s="55"/>
      <c r="VEJ14" s="55"/>
      <c r="VEK14" s="55"/>
      <c r="VEL14" s="55"/>
      <c r="VEM14" s="55"/>
      <c r="VEN14" s="55"/>
      <c r="VEO14" s="55"/>
      <c r="VEP14" s="55"/>
      <c r="VEQ14" s="55"/>
      <c r="VER14" s="55"/>
      <c r="VES14" s="55"/>
      <c r="VET14" s="55"/>
      <c r="VEU14" s="55"/>
      <c r="VEV14" s="55"/>
      <c r="VEW14" s="55"/>
      <c r="VEX14" s="55"/>
      <c r="VEY14" s="55"/>
      <c r="VEZ14" s="55"/>
      <c r="VFA14" s="55"/>
      <c r="VFB14" s="55"/>
      <c r="VFC14" s="55"/>
      <c r="VFD14" s="55"/>
      <c r="VFE14" s="55"/>
      <c r="VFF14" s="55"/>
      <c r="VFG14" s="55"/>
      <c r="VFH14" s="55"/>
      <c r="VFI14" s="55"/>
      <c r="VFJ14" s="55"/>
      <c r="VFK14" s="55"/>
      <c r="VFL14" s="55"/>
      <c r="VFM14" s="55"/>
      <c r="VFN14" s="55"/>
      <c r="VFO14" s="55"/>
      <c r="VFP14" s="55"/>
      <c r="VFQ14" s="55"/>
      <c r="VFR14" s="55"/>
      <c r="VFS14" s="55"/>
      <c r="VFT14" s="55"/>
      <c r="VFU14" s="55"/>
      <c r="VFV14" s="55"/>
      <c r="VFW14" s="55"/>
      <c r="VFX14" s="55"/>
      <c r="VFY14" s="55"/>
      <c r="VFZ14" s="55"/>
      <c r="VGA14" s="55"/>
      <c r="VGB14" s="55"/>
      <c r="VGC14" s="55"/>
      <c r="VGD14" s="55"/>
      <c r="VGE14" s="55"/>
      <c r="VGF14" s="55"/>
      <c r="VGG14" s="55"/>
      <c r="VGH14" s="55"/>
      <c r="VGI14" s="55"/>
      <c r="VGJ14" s="55"/>
      <c r="VGK14" s="55"/>
      <c r="VGL14" s="55"/>
      <c r="VGM14" s="55"/>
      <c r="VGN14" s="55"/>
      <c r="VGO14" s="55"/>
      <c r="VGP14" s="55"/>
      <c r="VGQ14" s="55"/>
      <c r="VGR14" s="55"/>
      <c r="VGS14" s="55"/>
      <c r="VGT14" s="55"/>
      <c r="VGU14" s="55"/>
      <c r="VGV14" s="55"/>
      <c r="VGW14" s="55"/>
      <c r="VGX14" s="55"/>
      <c r="VGY14" s="55"/>
      <c r="VGZ14" s="55"/>
      <c r="VHA14" s="55"/>
      <c r="VHB14" s="55"/>
      <c r="VHC14" s="55"/>
      <c r="VHD14" s="55"/>
      <c r="VHE14" s="55"/>
      <c r="VHF14" s="55"/>
      <c r="VHG14" s="55"/>
      <c r="VHH14" s="55"/>
      <c r="VHI14" s="55"/>
      <c r="VHJ14" s="55"/>
      <c r="VHK14" s="55"/>
      <c r="VHL14" s="55"/>
      <c r="VHM14" s="55"/>
      <c r="VHN14" s="55"/>
      <c r="VHO14" s="55"/>
      <c r="VHP14" s="55"/>
      <c r="VHQ14" s="55"/>
      <c r="VHR14" s="55"/>
      <c r="VHS14" s="55"/>
      <c r="VHT14" s="55"/>
      <c r="VHU14" s="55"/>
      <c r="VHV14" s="55"/>
      <c r="VHW14" s="55"/>
      <c r="VHX14" s="55"/>
      <c r="VHY14" s="55"/>
      <c r="VHZ14" s="55"/>
      <c r="VIA14" s="55"/>
      <c r="VIB14" s="55"/>
      <c r="VIC14" s="55"/>
      <c r="VID14" s="55"/>
      <c r="VIE14" s="55"/>
      <c r="VIF14" s="55"/>
      <c r="VIG14" s="55"/>
      <c r="VIH14" s="55"/>
      <c r="VII14" s="55"/>
      <c r="VIJ14" s="55"/>
      <c r="VIK14" s="55"/>
      <c r="VIL14" s="55"/>
      <c r="VIM14" s="55"/>
      <c r="VIN14" s="55"/>
      <c r="VIO14" s="55"/>
      <c r="VIP14" s="55"/>
      <c r="VIQ14" s="55"/>
      <c r="VIR14" s="55"/>
      <c r="VIS14" s="55"/>
      <c r="VIT14" s="55"/>
      <c r="VIU14" s="55"/>
      <c r="VIV14" s="55"/>
      <c r="VIW14" s="55"/>
      <c r="VIX14" s="55"/>
      <c r="VIY14" s="55"/>
      <c r="VIZ14" s="55"/>
      <c r="VJA14" s="55"/>
      <c r="VJB14" s="55"/>
      <c r="VJC14" s="55"/>
      <c r="VJD14" s="55"/>
      <c r="VJE14" s="55"/>
      <c r="VJF14" s="55"/>
      <c r="VJG14" s="55"/>
      <c r="VJH14" s="55"/>
      <c r="VJI14" s="55"/>
      <c r="VJJ14" s="55"/>
      <c r="VJK14" s="55"/>
      <c r="VJL14" s="55"/>
      <c r="VJM14" s="55"/>
      <c r="VJN14" s="55"/>
      <c r="VJO14" s="55"/>
      <c r="VJP14" s="55"/>
      <c r="VJQ14" s="55"/>
      <c r="VJR14" s="55"/>
      <c r="VJS14" s="55"/>
      <c r="VJT14" s="55"/>
      <c r="VJU14" s="55"/>
      <c r="VJV14" s="55"/>
      <c r="VJW14" s="55"/>
      <c r="VJX14" s="55"/>
      <c r="VJY14" s="55"/>
      <c r="VJZ14" s="55"/>
      <c r="VKA14" s="55"/>
      <c r="VKB14" s="55"/>
      <c r="VKC14" s="55"/>
      <c r="VKD14" s="55"/>
      <c r="VKE14" s="55"/>
      <c r="VKF14" s="55"/>
      <c r="VKG14" s="55"/>
      <c r="VKH14" s="55"/>
      <c r="VKI14" s="55"/>
      <c r="VKJ14" s="55"/>
      <c r="VKK14" s="55"/>
      <c r="VKL14" s="55"/>
      <c r="VKM14" s="55"/>
      <c r="VKN14" s="55"/>
      <c r="VKO14" s="55"/>
      <c r="VKP14" s="55"/>
      <c r="VKQ14" s="55"/>
      <c r="VKR14" s="55"/>
      <c r="VKS14" s="55"/>
      <c r="VKT14" s="55"/>
      <c r="VKU14" s="55"/>
      <c r="VKV14" s="55"/>
      <c r="VKW14" s="55"/>
      <c r="VKX14" s="55"/>
      <c r="VKY14" s="55"/>
      <c r="VKZ14" s="55"/>
      <c r="VLA14" s="55"/>
      <c r="VLB14" s="55"/>
      <c r="VLC14" s="55"/>
      <c r="VLD14" s="55"/>
      <c r="VLE14" s="55"/>
      <c r="VLF14" s="55"/>
      <c r="VLG14" s="55"/>
      <c r="VLH14" s="55"/>
      <c r="VLI14" s="55"/>
      <c r="VLJ14" s="55"/>
      <c r="VLK14" s="55"/>
      <c r="VLL14" s="55"/>
      <c r="VLM14" s="55"/>
      <c r="VLN14" s="55"/>
      <c r="VLO14" s="55"/>
      <c r="VLP14" s="55"/>
      <c r="VLQ14" s="55"/>
      <c r="VLR14" s="55"/>
      <c r="VLS14" s="55"/>
      <c r="VLT14" s="55"/>
      <c r="VLU14" s="55"/>
      <c r="VLV14" s="55"/>
      <c r="VLW14" s="55"/>
      <c r="VLX14" s="55"/>
      <c r="VLY14" s="55"/>
      <c r="VLZ14" s="55"/>
      <c r="VMA14" s="55"/>
      <c r="VMB14" s="55"/>
      <c r="VMC14" s="55"/>
      <c r="VMD14" s="55"/>
      <c r="VME14" s="55"/>
      <c r="VMF14" s="55"/>
      <c r="VMG14" s="55"/>
      <c r="VMH14" s="55"/>
      <c r="VMI14" s="55"/>
      <c r="VMJ14" s="55"/>
      <c r="VMK14" s="55"/>
      <c r="VML14" s="55"/>
      <c r="VMM14" s="55"/>
      <c r="VMN14" s="55"/>
      <c r="VMO14" s="55"/>
      <c r="VMP14" s="55"/>
      <c r="VMQ14" s="55"/>
      <c r="VMR14" s="55"/>
      <c r="VMS14" s="55"/>
      <c r="VMT14" s="55"/>
      <c r="VMU14" s="55"/>
      <c r="VMV14" s="55"/>
      <c r="VMW14" s="55"/>
      <c r="VMX14" s="55"/>
      <c r="VMY14" s="55"/>
      <c r="VMZ14" s="55"/>
      <c r="VNA14" s="55"/>
      <c r="VNB14" s="55"/>
      <c r="VNC14" s="55"/>
      <c r="VND14" s="55"/>
      <c r="VNE14" s="55"/>
      <c r="VNF14" s="55"/>
      <c r="VNG14" s="55"/>
      <c r="VNH14" s="55"/>
      <c r="VNI14" s="55"/>
      <c r="VNJ14" s="55"/>
      <c r="VNK14" s="55"/>
      <c r="VNL14" s="55"/>
      <c r="VNM14" s="55"/>
      <c r="VNN14" s="55"/>
      <c r="VNO14" s="55"/>
      <c r="VNP14" s="55"/>
      <c r="VNQ14" s="55"/>
      <c r="VNR14" s="55"/>
      <c r="VNS14" s="55"/>
      <c r="VNT14" s="55"/>
      <c r="VNU14" s="55"/>
      <c r="VNV14" s="55"/>
      <c r="VNW14" s="55"/>
      <c r="VNX14" s="55"/>
      <c r="VNY14" s="55"/>
      <c r="VNZ14" s="55"/>
      <c r="VOA14" s="55"/>
      <c r="VOB14" s="55"/>
      <c r="VOC14" s="55"/>
      <c r="VOD14" s="55"/>
      <c r="VOE14" s="55"/>
      <c r="VOF14" s="55"/>
      <c r="VOG14" s="55"/>
      <c r="VOH14" s="55"/>
      <c r="VOI14" s="55"/>
      <c r="VOJ14" s="55"/>
      <c r="VOK14" s="55"/>
      <c r="VOL14" s="55"/>
      <c r="VOM14" s="55"/>
      <c r="VON14" s="55"/>
      <c r="VOO14" s="55"/>
      <c r="VOP14" s="55"/>
      <c r="VOQ14" s="55"/>
      <c r="VOR14" s="55"/>
      <c r="VOS14" s="55"/>
      <c r="VOT14" s="55"/>
      <c r="VOU14" s="55"/>
      <c r="VOV14" s="55"/>
      <c r="VOW14" s="55"/>
      <c r="VOX14" s="55"/>
      <c r="VOY14" s="55"/>
      <c r="VOZ14" s="55"/>
      <c r="VPA14" s="55"/>
      <c r="VPB14" s="55"/>
      <c r="VPC14" s="55"/>
      <c r="VPD14" s="55"/>
      <c r="VPE14" s="55"/>
      <c r="VPF14" s="55"/>
      <c r="VPG14" s="55"/>
      <c r="VPH14" s="55"/>
      <c r="VPI14" s="55"/>
      <c r="VPJ14" s="55"/>
      <c r="VPK14" s="55"/>
      <c r="VPL14" s="55"/>
      <c r="VPM14" s="55"/>
      <c r="VPN14" s="55"/>
      <c r="VPO14" s="55"/>
      <c r="VPP14" s="55"/>
      <c r="VPQ14" s="55"/>
      <c r="VPR14" s="55"/>
      <c r="VPS14" s="55"/>
      <c r="VPT14" s="55"/>
      <c r="VPU14" s="55"/>
      <c r="VPV14" s="55"/>
      <c r="VPW14" s="55"/>
      <c r="VPX14" s="55"/>
      <c r="VPY14" s="55"/>
      <c r="VPZ14" s="55"/>
      <c r="VQA14" s="55"/>
      <c r="VQB14" s="55"/>
      <c r="VQC14" s="55"/>
      <c r="VQD14" s="55"/>
      <c r="VQE14" s="55"/>
      <c r="VQF14" s="55"/>
      <c r="VQG14" s="55"/>
      <c r="VQH14" s="55"/>
      <c r="VQI14" s="55"/>
      <c r="VQJ14" s="55"/>
      <c r="VQK14" s="55"/>
      <c r="VQL14" s="55"/>
      <c r="VQM14" s="55"/>
      <c r="VQN14" s="55"/>
      <c r="VQO14" s="55"/>
      <c r="VQP14" s="55"/>
      <c r="VQQ14" s="55"/>
      <c r="VQR14" s="55"/>
      <c r="VQS14" s="55"/>
      <c r="VQT14" s="55"/>
      <c r="VQU14" s="55"/>
      <c r="VQV14" s="55"/>
      <c r="VQW14" s="55"/>
      <c r="VQX14" s="55"/>
      <c r="VQY14" s="55"/>
      <c r="VQZ14" s="55"/>
      <c r="VRA14" s="55"/>
      <c r="VRB14" s="55"/>
      <c r="VRC14" s="55"/>
      <c r="VRD14" s="55"/>
      <c r="VRE14" s="55"/>
      <c r="VRF14" s="55"/>
      <c r="VRG14" s="55"/>
      <c r="VRH14" s="55"/>
      <c r="VRI14" s="55"/>
      <c r="VRJ14" s="55"/>
      <c r="VRK14" s="55"/>
      <c r="VRL14" s="55"/>
      <c r="VRM14" s="55"/>
      <c r="VRN14" s="55"/>
      <c r="VRO14" s="55"/>
      <c r="VRP14" s="55"/>
      <c r="VRQ14" s="55"/>
      <c r="VRR14" s="55"/>
      <c r="VRS14" s="55"/>
      <c r="VRT14" s="55"/>
      <c r="VRU14" s="55"/>
      <c r="VRV14" s="55"/>
      <c r="VRW14" s="55"/>
      <c r="VRX14" s="55"/>
      <c r="VRY14" s="55"/>
      <c r="VRZ14" s="55"/>
      <c r="VSA14" s="55"/>
      <c r="VSB14" s="55"/>
      <c r="VSC14" s="55"/>
      <c r="VSD14" s="55"/>
      <c r="VSE14" s="55"/>
      <c r="VSF14" s="55"/>
      <c r="VSG14" s="55"/>
      <c r="VSH14" s="55"/>
      <c r="VSI14" s="55"/>
      <c r="VSJ14" s="55"/>
      <c r="VSK14" s="55"/>
      <c r="VSL14" s="55"/>
      <c r="VSM14" s="55"/>
      <c r="VSN14" s="55"/>
      <c r="VSO14" s="55"/>
      <c r="VSP14" s="55"/>
      <c r="VSQ14" s="55"/>
      <c r="VSR14" s="55"/>
      <c r="VSS14" s="55"/>
      <c r="VST14" s="55"/>
      <c r="VSU14" s="55"/>
      <c r="VSV14" s="55"/>
      <c r="VSW14" s="55"/>
      <c r="VSX14" s="55"/>
      <c r="VSY14" s="55"/>
      <c r="VSZ14" s="55"/>
      <c r="VTA14" s="55"/>
      <c r="VTB14" s="55"/>
      <c r="VTC14" s="55"/>
      <c r="VTD14" s="55"/>
      <c r="VTE14" s="55"/>
      <c r="VTF14" s="55"/>
      <c r="VTG14" s="55"/>
      <c r="VTH14" s="55"/>
      <c r="VTI14" s="55"/>
      <c r="VTJ14" s="55"/>
      <c r="VTK14" s="55"/>
      <c r="VTL14" s="55"/>
      <c r="VTM14" s="55"/>
      <c r="VTN14" s="55"/>
      <c r="VTO14" s="55"/>
      <c r="VTP14" s="55"/>
      <c r="VTQ14" s="55"/>
      <c r="VTR14" s="55"/>
      <c r="VTS14" s="55"/>
      <c r="VTT14" s="55"/>
      <c r="VTU14" s="55"/>
      <c r="VTV14" s="55"/>
      <c r="VTW14" s="55"/>
      <c r="VTX14" s="55"/>
      <c r="VTY14" s="55"/>
      <c r="VTZ14" s="55"/>
      <c r="VUA14" s="55"/>
      <c r="VUB14" s="55"/>
      <c r="VUC14" s="55"/>
      <c r="VUD14" s="55"/>
      <c r="VUE14" s="55"/>
      <c r="VUF14" s="55"/>
      <c r="VUG14" s="55"/>
      <c r="VUH14" s="55"/>
      <c r="VUI14" s="55"/>
      <c r="VUJ14" s="55"/>
      <c r="VUK14" s="55"/>
      <c r="VUL14" s="55"/>
      <c r="VUM14" s="55"/>
      <c r="VUN14" s="55"/>
      <c r="VUO14" s="55"/>
      <c r="VUP14" s="55"/>
      <c r="VUQ14" s="55"/>
      <c r="VUR14" s="55"/>
      <c r="VUS14" s="55"/>
      <c r="VUT14" s="55"/>
      <c r="VUU14" s="55"/>
      <c r="VUV14" s="55"/>
      <c r="VUW14" s="55"/>
      <c r="VUX14" s="55"/>
      <c r="VUY14" s="55"/>
      <c r="VUZ14" s="55"/>
      <c r="VVA14" s="55"/>
      <c r="VVB14" s="55"/>
      <c r="VVC14" s="55"/>
      <c r="VVD14" s="55"/>
      <c r="VVE14" s="55"/>
      <c r="VVF14" s="55"/>
      <c r="VVG14" s="55"/>
      <c r="VVH14" s="55"/>
      <c r="VVI14" s="55"/>
      <c r="VVJ14" s="55"/>
      <c r="VVK14" s="55"/>
      <c r="VVL14" s="55"/>
      <c r="VVM14" s="55"/>
      <c r="VVN14" s="55"/>
      <c r="VVO14" s="55"/>
      <c r="VVP14" s="55"/>
      <c r="VVQ14" s="55"/>
      <c r="VVR14" s="55"/>
      <c r="VVS14" s="55"/>
      <c r="VVT14" s="55"/>
      <c r="VVU14" s="55"/>
      <c r="VVV14" s="55"/>
      <c r="VVW14" s="55"/>
      <c r="VVX14" s="55"/>
      <c r="VVY14" s="55"/>
      <c r="VVZ14" s="55"/>
      <c r="VWA14" s="55"/>
      <c r="VWB14" s="55"/>
      <c r="VWC14" s="55"/>
      <c r="VWD14" s="55"/>
      <c r="VWE14" s="55"/>
      <c r="VWF14" s="55"/>
      <c r="VWG14" s="55"/>
      <c r="VWH14" s="55"/>
      <c r="VWI14" s="55"/>
      <c r="VWJ14" s="55"/>
      <c r="VWK14" s="55"/>
      <c r="VWL14" s="55"/>
      <c r="VWM14" s="55"/>
      <c r="VWN14" s="55"/>
      <c r="VWO14" s="55"/>
      <c r="VWP14" s="55"/>
      <c r="VWQ14" s="55"/>
      <c r="VWR14" s="55"/>
      <c r="VWS14" s="55"/>
      <c r="VWT14" s="55"/>
      <c r="VWU14" s="55"/>
      <c r="VWV14" s="55"/>
      <c r="VWW14" s="55"/>
      <c r="VWX14" s="55"/>
      <c r="VWY14" s="55"/>
      <c r="VWZ14" s="55"/>
      <c r="VXA14" s="55"/>
      <c r="VXB14" s="55"/>
      <c r="VXC14" s="55"/>
      <c r="VXD14" s="55"/>
      <c r="VXE14" s="55"/>
      <c r="VXF14" s="55"/>
      <c r="VXG14" s="55"/>
      <c r="VXH14" s="55"/>
      <c r="VXI14" s="55"/>
      <c r="VXJ14" s="55"/>
      <c r="VXK14" s="55"/>
      <c r="VXL14" s="55"/>
      <c r="VXM14" s="55"/>
      <c r="VXN14" s="55"/>
      <c r="VXO14" s="55"/>
      <c r="VXP14" s="55"/>
      <c r="VXQ14" s="55"/>
      <c r="VXR14" s="55"/>
      <c r="VXS14" s="55"/>
      <c r="VXT14" s="55"/>
      <c r="VXU14" s="55"/>
      <c r="VXV14" s="55"/>
      <c r="VXW14" s="55"/>
      <c r="VXX14" s="55"/>
      <c r="VXY14" s="55"/>
      <c r="VXZ14" s="55"/>
      <c r="VYA14" s="55"/>
      <c r="VYB14" s="55"/>
      <c r="VYC14" s="55"/>
      <c r="VYD14" s="55"/>
      <c r="VYE14" s="55"/>
      <c r="VYF14" s="55"/>
      <c r="VYG14" s="55"/>
      <c r="VYH14" s="55"/>
      <c r="VYI14" s="55"/>
      <c r="VYJ14" s="55"/>
      <c r="VYK14" s="55"/>
      <c r="VYL14" s="55"/>
      <c r="VYM14" s="55"/>
      <c r="VYN14" s="55"/>
      <c r="VYO14" s="55"/>
      <c r="VYP14" s="55"/>
      <c r="VYQ14" s="55"/>
      <c r="VYR14" s="55"/>
      <c r="VYS14" s="55"/>
      <c r="VYT14" s="55"/>
      <c r="VYU14" s="55"/>
      <c r="VYV14" s="55"/>
      <c r="VYW14" s="55"/>
      <c r="VYX14" s="55"/>
      <c r="VYY14" s="55"/>
      <c r="VYZ14" s="55"/>
      <c r="VZA14" s="55"/>
      <c r="VZB14" s="55"/>
      <c r="VZC14" s="55"/>
      <c r="VZD14" s="55"/>
      <c r="VZE14" s="55"/>
      <c r="VZF14" s="55"/>
      <c r="VZG14" s="55"/>
      <c r="VZH14" s="55"/>
      <c r="VZI14" s="55"/>
      <c r="VZJ14" s="55"/>
      <c r="VZK14" s="55"/>
      <c r="VZL14" s="55"/>
      <c r="VZM14" s="55"/>
      <c r="VZN14" s="55"/>
      <c r="VZO14" s="55"/>
      <c r="VZP14" s="55"/>
      <c r="VZQ14" s="55"/>
      <c r="VZR14" s="55"/>
      <c r="VZS14" s="55"/>
      <c r="VZT14" s="55"/>
      <c r="VZU14" s="55"/>
      <c r="VZV14" s="55"/>
      <c r="VZW14" s="55"/>
      <c r="VZX14" s="55"/>
      <c r="VZY14" s="55"/>
      <c r="VZZ14" s="55"/>
      <c r="WAA14" s="55"/>
      <c r="WAB14" s="55"/>
      <c r="WAC14" s="55"/>
      <c r="WAD14" s="55"/>
      <c r="WAE14" s="55"/>
      <c r="WAF14" s="55"/>
      <c r="WAG14" s="55"/>
      <c r="WAH14" s="55"/>
      <c r="WAI14" s="55"/>
      <c r="WAJ14" s="55"/>
      <c r="WAK14" s="55"/>
      <c r="WAL14" s="55"/>
      <c r="WAM14" s="55"/>
      <c r="WAN14" s="55"/>
      <c r="WAO14" s="55"/>
      <c r="WAP14" s="55"/>
      <c r="WAQ14" s="55"/>
      <c r="WAR14" s="55"/>
      <c r="WAS14" s="55"/>
      <c r="WAT14" s="55"/>
      <c r="WAU14" s="55"/>
      <c r="WAV14" s="55"/>
      <c r="WAW14" s="55"/>
      <c r="WAX14" s="55"/>
      <c r="WAY14" s="55"/>
      <c r="WAZ14" s="55"/>
      <c r="WBA14" s="55"/>
      <c r="WBB14" s="55"/>
      <c r="WBC14" s="55"/>
      <c r="WBD14" s="55"/>
      <c r="WBE14" s="55"/>
      <c r="WBF14" s="55"/>
      <c r="WBG14" s="55"/>
      <c r="WBH14" s="55"/>
      <c r="WBI14" s="55"/>
      <c r="WBJ14" s="55"/>
      <c r="WBK14" s="55"/>
      <c r="WBL14" s="55"/>
      <c r="WBM14" s="55"/>
      <c r="WBN14" s="55"/>
      <c r="WBO14" s="55"/>
      <c r="WBP14" s="55"/>
      <c r="WBQ14" s="55"/>
      <c r="WBR14" s="55"/>
      <c r="WBS14" s="55"/>
      <c r="WBT14" s="55"/>
      <c r="WBU14" s="55"/>
      <c r="WBV14" s="55"/>
      <c r="WBW14" s="55"/>
      <c r="WBX14" s="55"/>
      <c r="WBY14" s="55"/>
      <c r="WBZ14" s="55"/>
      <c r="WCA14" s="55"/>
      <c r="WCB14" s="55"/>
      <c r="WCC14" s="55"/>
      <c r="WCD14" s="55"/>
      <c r="WCE14" s="55"/>
      <c r="WCF14" s="55"/>
      <c r="WCG14" s="55"/>
      <c r="WCH14" s="55"/>
      <c r="WCI14" s="55"/>
      <c r="WCJ14" s="55"/>
      <c r="WCK14" s="55"/>
      <c r="WCL14" s="55"/>
      <c r="WCM14" s="55"/>
      <c r="WCN14" s="55"/>
      <c r="WCO14" s="55"/>
      <c r="WCP14" s="55"/>
      <c r="WCQ14" s="55"/>
      <c r="WCR14" s="55"/>
      <c r="WCS14" s="55"/>
      <c r="WCT14" s="55"/>
      <c r="WCU14" s="55"/>
      <c r="WCV14" s="55"/>
      <c r="WCW14" s="55"/>
      <c r="WCX14" s="55"/>
      <c r="WCY14" s="55"/>
      <c r="WCZ14" s="55"/>
      <c r="WDA14" s="55"/>
      <c r="WDB14" s="55"/>
      <c r="WDC14" s="55"/>
      <c r="WDD14" s="55"/>
      <c r="WDE14" s="55"/>
      <c r="WDF14" s="55"/>
      <c r="WDG14" s="55"/>
      <c r="WDH14" s="55"/>
      <c r="WDI14" s="55"/>
      <c r="WDJ14" s="55"/>
      <c r="WDK14" s="55"/>
      <c r="WDL14" s="55"/>
      <c r="WDM14" s="55"/>
      <c r="WDN14" s="55"/>
      <c r="WDO14" s="55"/>
      <c r="WDP14" s="55"/>
      <c r="WDQ14" s="55"/>
      <c r="WDR14" s="55"/>
      <c r="WDS14" s="55"/>
      <c r="WDT14" s="55"/>
      <c r="WDU14" s="55"/>
      <c r="WDV14" s="55"/>
      <c r="WDW14" s="55"/>
      <c r="WDX14" s="55"/>
      <c r="WDY14" s="55"/>
      <c r="WDZ14" s="55"/>
      <c r="WEA14" s="55"/>
      <c r="WEB14" s="55"/>
      <c r="WEC14" s="55"/>
      <c r="WED14" s="55"/>
      <c r="WEE14" s="55"/>
      <c r="WEF14" s="55"/>
      <c r="WEG14" s="55"/>
      <c r="WEH14" s="55"/>
      <c r="WEI14" s="55"/>
      <c r="WEJ14" s="55"/>
      <c r="WEK14" s="55"/>
      <c r="WEL14" s="55"/>
      <c r="WEM14" s="55"/>
      <c r="WEN14" s="55"/>
      <c r="WEO14" s="55"/>
      <c r="WEP14" s="55"/>
      <c r="WEQ14" s="55"/>
      <c r="WER14" s="55"/>
      <c r="WES14" s="55"/>
      <c r="WET14" s="55"/>
      <c r="WEU14" s="55"/>
      <c r="WEV14" s="55"/>
      <c r="WEW14" s="55"/>
      <c r="WEX14" s="55"/>
      <c r="WEY14" s="55"/>
      <c r="WEZ14" s="55"/>
      <c r="WFA14" s="55"/>
      <c r="WFB14" s="55"/>
      <c r="WFC14" s="55"/>
      <c r="WFD14" s="55"/>
      <c r="WFE14" s="55"/>
      <c r="WFF14" s="55"/>
      <c r="WFG14" s="55"/>
      <c r="WFH14" s="55"/>
      <c r="WFI14" s="55"/>
      <c r="WFJ14" s="55"/>
      <c r="WFK14" s="55"/>
      <c r="WFL14" s="55"/>
      <c r="WFM14" s="55"/>
      <c r="WFN14" s="55"/>
      <c r="WFO14" s="55"/>
      <c r="WFP14" s="55"/>
      <c r="WFQ14" s="55"/>
      <c r="WFR14" s="55"/>
      <c r="WFS14" s="55"/>
      <c r="WFT14" s="55"/>
      <c r="WFU14" s="55"/>
      <c r="WFV14" s="55"/>
      <c r="WFW14" s="55"/>
      <c r="WFX14" s="55"/>
      <c r="WFY14" s="55"/>
      <c r="WFZ14" s="55"/>
      <c r="WGA14" s="55"/>
      <c r="WGB14" s="55"/>
      <c r="WGC14" s="55"/>
      <c r="WGD14" s="55"/>
      <c r="WGE14" s="55"/>
      <c r="WGF14" s="55"/>
      <c r="WGG14" s="55"/>
      <c r="WGH14" s="55"/>
      <c r="WGI14" s="55"/>
      <c r="WGJ14" s="55"/>
      <c r="WGK14" s="55"/>
      <c r="WGL14" s="55"/>
      <c r="WGM14" s="55"/>
      <c r="WGN14" s="55"/>
      <c r="WGO14" s="55"/>
      <c r="WGP14" s="55"/>
      <c r="WGQ14" s="55"/>
      <c r="WGR14" s="55"/>
      <c r="WGS14" s="55"/>
      <c r="WGT14" s="55"/>
      <c r="WGU14" s="55"/>
      <c r="WGV14" s="55"/>
      <c r="WGW14" s="55"/>
      <c r="WGX14" s="55"/>
      <c r="WGY14" s="55"/>
      <c r="WGZ14" s="55"/>
      <c r="WHA14" s="55"/>
      <c r="WHB14" s="55"/>
      <c r="WHC14" s="55"/>
      <c r="WHD14" s="55"/>
      <c r="WHE14" s="55"/>
      <c r="WHF14" s="55"/>
      <c r="WHG14" s="55"/>
      <c r="WHH14" s="55"/>
      <c r="WHI14" s="55"/>
      <c r="WHJ14" s="55"/>
      <c r="WHK14" s="55"/>
      <c r="WHL14" s="55"/>
      <c r="WHM14" s="55"/>
      <c r="WHN14" s="55"/>
      <c r="WHO14" s="55"/>
      <c r="WHP14" s="55"/>
      <c r="WHQ14" s="55"/>
      <c r="WHR14" s="55"/>
      <c r="WHS14" s="55"/>
      <c r="WHT14" s="55"/>
      <c r="WHU14" s="55"/>
      <c r="WHV14" s="55"/>
      <c r="WHW14" s="55"/>
      <c r="WHX14" s="55"/>
      <c r="WHY14" s="55"/>
      <c r="WHZ14" s="55"/>
      <c r="WIA14" s="55"/>
      <c r="WIB14" s="55"/>
      <c r="WIC14" s="55"/>
      <c r="WID14" s="55"/>
      <c r="WIE14" s="55"/>
      <c r="WIF14" s="55"/>
      <c r="WIG14" s="55"/>
      <c r="WIH14" s="55"/>
      <c r="WII14" s="55"/>
      <c r="WIJ14" s="55"/>
      <c r="WIK14" s="55"/>
      <c r="WIL14" s="55"/>
      <c r="WIM14" s="55"/>
      <c r="WIN14" s="55"/>
      <c r="WIO14" s="55"/>
      <c r="WIP14" s="55"/>
      <c r="WIQ14" s="55"/>
      <c r="WIR14" s="55"/>
      <c r="WIS14" s="55"/>
      <c r="WIT14" s="55"/>
      <c r="WIU14" s="55"/>
      <c r="WIV14" s="55"/>
      <c r="WIW14" s="55"/>
      <c r="WIX14" s="55"/>
      <c r="WIY14" s="55"/>
      <c r="WIZ14" s="55"/>
      <c r="WJA14" s="55"/>
      <c r="WJB14" s="55"/>
      <c r="WJC14" s="55"/>
      <c r="WJD14" s="55"/>
      <c r="WJE14" s="55"/>
      <c r="WJF14" s="55"/>
      <c r="WJG14" s="55"/>
      <c r="WJH14" s="55"/>
      <c r="WJI14" s="55"/>
      <c r="WJJ14" s="55"/>
      <c r="WJK14" s="55"/>
      <c r="WJL14" s="55"/>
      <c r="WJM14" s="55"/>
      <c r="WJN14" s="55"/>
      <c r="WJO14" s="55"/>
      <c r="WJP14" s="55"/>
      <c r="WJQ14" s="55"/>
      <c r="WJR14" s="55"/>
      <c r="WJS14" s="55"/>
      <c r="WJT14" s="55"/>
      <c r="WJU14" s="55"/>
      <c r="WJV14" s="55"/>
      <c r="WJW14" s="55"/>
      <c r="WJX14" s="55"/>
      <c r="WJY14" s="55"/>
      <c r="WJZ14" s="55"/>
      <c r="WKA14" s="55"/>
      <c r="WKB14" s="55"/>
      <c r="WKC14" s="55"/>
      <c r="WKD14" s="55"/>
      <c r="WKE14" s="55"/>
      <c r="WKF14" s="55"/>
      <c r="WKG14" s="55"/>
      <c r="WKH14" s="55"/>
      <c r="WKI14" s="55"/>
      <c r="WKJ14" s="55"/>
      <c r="WKK14" s="55"/>
      <c r="WKL14" s="55"/>
      <c r="WKM14" s="55"/>
      <c r="WKN14" s="55"/>
      <c r="WKO14" s="55"/>
      <c r="WKP14" s="55"/>
      <c r="WKQ14" s="55"/>
      <c r="WKR14" s="55"/>
      <c r="WKS14" s="55"/>
      <c r="WKT14" s="55"/>
      <c r="WKU14" s="55"/>
      <c r="WKV14" s="55"/>
      <c r="WKW14" s="55"/>
      <c r="WKX14" s="55"/>
      <c r="WKY14" s="55"/>
      <c r="WKZ14" s="55"/>
      <c r="WLA14" s="55"/>
      <c r="WLB14" s="55"/>
      <c r="WLC14" s="55"/>
      <c r="WLD14" s="55"/>
      <c r="WLE14" s="55"/>
      <c r="WLF14" s="55"/>
      <c r="WLG14" s="55"/>
      <c r="WLH14" s="55"/>
      <c r="WLI14" s="55"/>
      <c r="WLJ14" s="55"/>
      <c r="WLK14" s="55"/>
      <c r="WLL14" s="55"/>
      <c r="WLM14" s="55"/>
      <c r="WLN14" s="55"/>
      <c r="WLO14" s="55"/>
      <c r="WLP14" s="55"/>
      <c r="WLQ14" s="55"/>
      <c r="WLR14" s="55"/>
      <c r="WLS14" s="55"/>
      <c r="WLT14" s="55"/>
      <c r="WLU14" s="55"/>
      <c r="WLV14" s="55"/>
      <c r="WLW14" s="55"/>
      <c r="WLX14" s="55"/>
      <c r="WLY14" s="55"/>
      <c r="WLZ14" s="55"/>
      <c r="WMA14" s="55"/>
      <c r="WMB14" s="55"/>
      <c r="WMC14" s="55"/>
      <c r="WMD14" s="55"/>
      <c r="WME14" s="55"/>
      <c r="WMF14" s="55"/>
      <c r="WMG14" s="55"/>
      <c r="WMH14" s="55"/>
      <c r="WMI14" s="55"/>
      <c r="WMJ14" s="55"/>
      <c r="WMK14" s="55"/>
      <c r="WML14" s="55"/>
      <c r="WMM14" s="55"/>
      <c r="WMN14" s="55"/>
      <c r="WMO14" s="55"/>
      <c r="WMP14" s="55"/>
      <c r="WMQ14" s="55"/>
      <c r="WMR14" s="55"/>
      <c r="WMS14" s="55"/>
      <c r="WMT14" s="55"/>
      <c r="WMU14" s="55"/>
      <c r="WMV14" s="55"/>
      <c r="WMW14" s="55"/>
      <c r="WMX14" s="55"/>
      <c r="WMY14" s="55"/>
      <c r="WMZ14" s="55"/>
      <c r="WNA14" s="55"/>
      <c r="WNB14" s="55"/>
      <c r="WNC14" s="55"/>
      <c r="WND14" s="55"/>
      <c r="WNE14" s="55"/>
      <c r="WNF14" s="55"/>
      <c r="WNG14" s="55"/>
      <c r="WNH14" s="55"/>
      <c r="WNI14" s="55"/>
      <c r="WNJ14" s="55"/>
      <c r="WNK14" s="55"/>
      <c r="WNL14" s="55"/>
      <c r="WNM14" s="55"/>
      <c r="WNN14" s="55"/>
      <c r="WNO14" s="55"/>
      <c r="WNP14" s="55"/>
      <c r="WNQ14" s="55"/>
      <c r="WNR14" s="55"/>
      <c r="WNS14" s="55"/>
      <c r="WNT14" s="55"/>
      <c r="WNU14" s="55"/>
      <c r="WNV14" s="55"/>
      <c r="WNW14" s="55"/>
      <c r="WNX14" s="55"/>
      <c r="WNY14" s="55"/>
      <c r="WNZ14" s="55"/>
      <c r="WOA14" s="55"/>
      <c r="WOB14" s="55"/>
      <c r="WOC14" s="55"/>
      <c r="WOD14" s="55"/>
      <c r="WOE14" s="55"/>
      <c r="WOF14" s="55"/>
      <c r="WOG14" s="55"/>
      <c r="WOH14" s="55"/>
      <c r="WOI14" s="55"/>
      <c r="WOJ14" s="55"/>
      <c r="WOK14" s="55"/>
      <c r="WOL14" s="55"/>
      <c r="WOM14" s="55"/>
      <c r="WON14" s="55"/>
      <c r="WOO14" s="55"/>
      <c r="WOP14" s="55"/>
      <c r="WOQ14" s="55"/>
      <c r="WOR14" s="55"/>
      <c r="WOS14" s="55"/>
      <c r="WOT14" s="55"/>
      <c r="WOU14" s="55"/>
      <c r="WOV14" s="55"/>
      <c r="WOW14" s="55"/>
      <c r="WOX14" s="55"/>
      <c r="WOY14" s="55"/>
      <c r="WOZ14" s="55"/>
      <c r="WPA14" s="55"/>
      <c r="WPB14" s="55"/>
      <c r="WPC14" s="55"/>
      <c r="WPD14" s="55"/>
      <c r="WPE14" s="55"/>
      <c r="WPF14" s="55"/>
      <c r="WPG14" s="55"/>
      <c r="WPH14" s="55"/>
      <c r="WPI14" s="55"/>
      <c r="WPJ14" s="55"/>
      <c r="WPK14" s="55"/>
      <c r="WPL14" s="55"/>
      <c r="WPM14" s="55"/>
      <c r="WPN14" s="55"/>
      <c r="WPO14" s="55"/>
      <c r="WPP14" s="55"/>
      <c r="WPQ14" s="55"/>
      <c r="WPR14" s="55"/>
      <c r="WPS14" s="55"/>
      <c r="WPT14" s="55"/>
      <c r="WPU14" s="55"/>
      <c r="WPV14" s="55"/>
      <c r="WPW14" s="55"/>
      <c r="WPX14" s="55"/>
      <c r="WPY14" s="55"/>
      <c r="WPZ14" s="55"/>
      <c r="WQA14" s="55"/>
      <c r="WQB14" s="55"/>
      <c r="WQC14" s="55"/>
      <c r="WQD14" s="55"/>
      <c r="WQE14" s="55"/>
      <c r="WQF14" s="55"/>
      <c r="WQG14" s="55"/>
      <c r="WQH14" s="55"/>
      <c r="WQI14" s="55"/>
      <c r="WQJ14" s="55"/>
      <c r="WQK14" s="55"/>
      <c r="WQL14" s="55"/>
      <c r="WQM14" s="55"/>
      <c r="WQN14" s="55"/>
      <c r="WQO14" s="55"/>
      <c r="WQP14" s="55"/>
      <c r="WQQ14" s="55"/>
      <c r="WQR14" s="55"/>
      <c r="WQS14" s="55"/>
      <c r="WQT14" s="55"/>
      <c r="WQU14" s="55"/>
      <c r="WQV14" s="55"/>
      <c r="WQW14" s="55"/>
      <c r="WQX14" s="55"/>
      <c r="WQY14" s="55"/>
      <c r="WQZ14" s="55"/>
      <c r="WRA14" s="55"/>
      <c r="WRB14" s="55"/>
      <c r="WRC14" s="55"/>
      <c r="WRD14" s="55"/>
      <c r="WRE14" s="55"/>
      <c r="WRF14" s="55"/>
      <c r="WRG14" s="55"/>
      <c r="WRH14" s="55"/>
      <c r="WRI14" s="55"/>
      <c r="WRJ14" s="55"/>
      <c r="WRK14" s="55"/>
      <c r="WRL14" s="55"/>
      <c r="WRM14" s="55"/>
      <c r="WRN14" s="55"/>
      <c r="WRO14" s="55"/>
      <c r="WRP14" s="55"/>
      <c r="WRQ14" s="55"/>
      <c r="WRR14" s="55"/>
      <c r="WRS14" s="55"/>
      <c r="WRT14" s="55"/>
      <c r="WRU14" s="55"/>
      <c r="WRV14" s="55"/>
      <c r="WRW14" s="55"/>
      <c r="WRX14" s="55"/>
      <c r="WRY14" s="55"/>
      <c r="WRZ14" s="55"/>
      <c r="WSA14" s="55"/>
      <c r="WSB14" s="55"/>
      <c r="WSC14" s="55"/>
      <c r="WSD14" s="55"/>
      <c r="WSE14" s="55"/>
      <c r="WSF14" s="55"/>
      <c r="WSG14" s="55"/>
      <c r="WSH14" s="55"/>
      <c r="WSI14" s="55"/>
      <c r="WSJ14" s="55"/>
      <c r="WSK14" s="55"/>
      <c r="WSL14" s="55"/>
      <c r="WSM14" s="55"/>
      <c r="WSN14" s="55"/>
      <c r="WSO14" s="55"/>
      <c r="WSP14" s="55"/>
      <c r="WSQ14" s="55"/>
      <c r="WSR14" s="55"/>
      <c r="WSS14" s="55"/>
      <c r="WST14" s="55"/>
      <c r="WSU14" s="55"/>
      <c r="WSV14" s="55"/>
      <c r="WSW14" s="55"/>
      <c r="WSX14" s="55"/>
      <c r="WSY14" s="55"/>
      <c r="WSZ14" s="55"/>
      <c r="WTA14" s="55"/>
      <c r="WTB14" s="55"/>
      <c r="WTC14" s="55"/>
      <c r="WTD14" s="55"/>
      <c r="WTE14" s="55"/>
      <c r="WTF14" s="55"/>
      <c r="WTG14" s="55"/>
      <c r="WTH14" s="55"/>
      <c r="WTI14" s="55"/>
      <c r="WTJ14" s="55"/>
      <c r="WTK14" s="55"/>
      <c r="WTL14" s="55"/>
      <c r="WTM14" s="55"/>
      <c r="WTN14" s="55"/>
      <c r="WTO14" s="55"/>
      <c r="WTP14" s="55"/>
      <c r="WTQ14" s="55"/>
      <c r="WTR14" s="55"/>
      <c r="WTS14" s="55"/>
      <c r="WTT14" s="55"/>
      <c r="WTU14" s="55"/>
      <c r="WTV14" s="55"/>
      <c r="WTW14" s="55"/>
      <c r="WTX14" s="55"/>
      <c r="WTY14" s="55"/>
      <c r="WTZ14" s="55"/>
      <c r="WUA14" s="55"/>
      <c r="WUB14" s="55"/>
      <c r="WUC14" s="55"/>
      <c r="WUD14" s="55"/>
      <c r="WUE14" s="55"/>
      <c r="WUF14" s="55"/>
      <c r="WUG14" s="55"/>
      <c r="WUH14" s="55"/>
      <c r="WUI14" s="55"/>
      <c r="WUJ14" s="55"/>
      <c r="WUK14" s="55"/>
      <c r="WUL14" s="55"/>
      <c r="WUM14" s="55"/>
      <c r="WUN14" s="55"/>
      <c r="WUO14" s="55"/>
      <c r="WUP14" s="55"/>
      <c r="WUQ14" s="55"/>
      <c r="WUR14" s="55"/>
      <c r="WUS14" s="55"/>
      <c r="WUT14" s="55"/>
      <c r="WUU14" s="55"/>
      <c r="WUV14" s="55"/>
      <c r="WUW14" s="55"/>
      <c r="WUX14" s="55"/>
      <c r="WUY14" s="55"/>
      <c r="WUZ14" s="55"/>
      <c r="WVA14" s="55"/>
      <c r="WVB14" s="55"/>
      <c r="WVC14" s="55"/>
      <c r="WVD14" s="55"/>
      <c r="WVE14" s="55"/>
      <c r="WVF14" s="55"/>
      <c r="WVG14" s="55"/>
      <c r="WVH14" s="55"/>
      <c r="WVI14" s="55"/>
      <c r="WVJ14" s="55"/>
      <c r="WVK14" s="55"/>
      <c r="WVL14" s="55"/>
      <c r="WVM14" s="55"/>
      <c r="WVN14" s="55"/>
      <c r="WVO14" s="55"/>
      <c r="WVP14" s="55"/>
      <c r="WVQ14" s="55"/>
      <c r="WVR14" s="55"/>
      <c r="WVS14" s="55"/>
      <c r="WVT14" s="55"/>
      <c r="WVU14" s="55"/>
      <c r="WVV14" s="55"/>
      <c r="WVW14" s="55"/>
      <c r="WVX14" s="55"/>
      <c r="WVY14" s="55"/>
      <c r="WVZ14" s="55"/>
      <c r="WWA14" s="55"/>
      <c r="WWB14" s="55"/>
      <c r="WWC14" s="55"/>
      <c r="WWD14" s="55"/>
      <c r="WWE14" s="55"/>
      <c r="WWF14" s="55"/>
      <c r="WWG14" s="55"/>
      <c r="WWH14" s="55"/>
      <c r="WWI14" s="55"/>
      <c r="WWJ14" s="55"/>
      <c r="WWK14" s="55"/>
      <c r="WWL14" s="55"/>
      <c r="WWM14" s="55"/>
      <c r="WWN14" s="55"/>
      <c r="WWO14" s="55"/>
      <c r="WWP14" s="55"/>
      <c r="WWQ14" s="55"/>
      <c r="WWR14" s="55"/>
      <c r="WWS14" s="55"/>
      <c r="WWT14" s="55"/>
      <c r="WWU14" s="55"/>
      <c r="WWV14" s="55"/>
      <c r="WWW14" s="55"/>
      <c r="WWX14" s="55"/>
      <c r="WWY14" s="55"/>
      <c r="WWZ14" s="55"/>
      <c r="WXA14" s="55"/>
      <c r="WXB14" s="55"/>
      <c r="WXC14" s="55"/>
      <c r="WXD14" s="55"/>
      <c r="WXE14" s="55"/>
      <c r="WXF14" s="55"/>
      <c r="WXG14" s="55"/>
      <c r="WXH14" s="55"/>
      <c r="WXI14" s="55"/>
      <c r="WXJ14" s="55"/>
      <c r="WXK14" s="55"/>
      <c r="WXL14" s="55"/>
      <c r="WXM14" s="55"/>
      <c r="WXN14" s="55"/>
      <c r="WXO14" s="55"/>
      <c r="WXP14" s="55"/>
      <c r="WXQ14" s="55"/>
      <c r="WXR14" s="55"/>
      <c r="WXS14" s="55"/>
      <c r="WXT14" s="55"/>
      <c r="WXU14" s="55"/>
      <c r="WXV14" s="55"/>
      <c r="WXW14" s="55"/>
      <c r="WXX14" s="55"/>
      <c r="WXY14" s="55"/>
      <c r="WXZ14" s="55"/>
      <c r="WYA14" s="55"/>
      <c r="WYB14" s="55"/>
      <c r="WYC14" s="55"/>
      <c r="WYD14" s="55"/>
      <c r="WYE14" s="55"/>
      <c r="WYF14" s="55"/>
      <c r="WYG14" s="55"/>
      <c r="WYH14" s="55"/>
      <c r="WYI14" s="55"/>
      <c r="WYJ14" s="55"/>
      <c r="WYK14" s="55"/>
      <c r="WYL14" s="55"/>
      <c r="WYM14" s="55"/>
      <c r="WYN14" s="55"/>
      <c r="WYO14" s="55"/>
      <c r="WYP14" s="55"/>
      <c r="WYQ14" s="55"/>
      <c r="WYR14" s="55"/>
      <c r="WYS14" s="55"/>
      <c r="WYT14" s="55"/>
      <c r="WYU14" s="55"/>
      <c r="WYV14" s="55"/>
      <c r="WYW14" s="55"/>
      <c r="WYX14" s="55"/>
      <c r="WYY14" s="55"/>
      <c r="WYZ14" s="55"/>
      <c r="WZA14" s="55"/>
      <c r="WZB14" s="55"/>
      <c r="WZC14" s="55"/>
      <c r="WZD14" s="55"/>
      <c r="WZE14" s="55"/>
      <c r="WZF14" s="55"/>
      <c r="WZG14" s="55"/>
      <c r="WZH14" s="55"/>
      <c r="WZI14" s="55"/>
      <c r="WZJ14" s="55"/>
      <c r="WZK14" s="55"/>
      <c r="WZL14" s="55"/>
      <c r="WZM14" s="55"/>
      <c r="WZN14" s="55"/>
      <c r="WZO14" s="55"/>
      <c r="WZP14" s="55"/>
      <c r="WZQ14" s="55"/>
      <c r="WZR14" s="55"/>
      <c r="WZS14" s="55"/>
      <c r="WZT14" s="55"/>
      <c r="WZU14" s="55"/>
      <c r="WZV14" s="55"/>
      <c r="WZW14" s="55"/>
      <c r="WZX14" s="55"/>
      <c r="WZY14" s="55"/>
      <c r="WZZ14" s="55"/>
      <c r="XAA14" s="55"/>
      <c r="XAB14" s="55"/>
      <c r="XAC14" s="55"/>
      <c r="XAD14" s="55"/>
      <c r="XAE14" s="55"/>
      <c r="XAF14" s="55"/>
      <c r="XAG14" s="55"/>
      <c r="XAH14" s="55"/>
      <c r="XAI14" s="55"/>
      <c r="XAJ14" s="55"/>
      <c r="XAK14" s="55"/>
      <c r="XAL14" s="55"/>
      <c r="XAM14" s="55"/>
      <c r="XAN14" s="55"/>
      <c r="XAO14" s="55"/>
      <c r="XAP14" s="55"/>
      <c r="XAQ14" s="55"/>
      <c r="XAR14" s="55"/>
      <c r="XAS14" s="55"/>
      <c r="XAT14" s="55"/>
      <c r="XAU14" s="55"/>
      <c r="XAV14" s="55"/>
      <c r="XAW14" s="55"/>
      <c r="XAX14" s="55"/>
      <c r="XAY14" s="55"/>
      <c r="XAZ14" s="55"/>
      <c r="XBA14" s="55"/>
      <c r="XBB14" s="55"/>
      <c r="XBC14" s="55"/>
      <c r="XBD14" s="55"/>
      <c r="XBE14" s="55"/>
      <c r="XBF14" s="55"/>
      <c r="XBG14" s="55"/>
      <c r="XBH14" s="55"/>
      <c r="XBI14" s="55"/>
      <c r="XBJ14" s="55"/>
      <c r="XBK14" s="55"/>
      <c r="XBL14" s="55"/>
      <c r="XBM14" s="55"/>
      <c r="XBN14" s="55"/>
      <c r="XBO14" s="55"/>
      <c r="XBP14" s="55"/>
      <c r="XBQ14" s="55"/>
      <c r="XBR14" s="55"/>
      <c r="XBS14" s="55"/>
      <c r="XBT14" s="55"/>
      <c r="XBU14" s="55"/>
      <c r="XBV14" s="55"/>
      <c r="XBW14" s="55"/>
      <c r="XBX14" s="55"/>
      <c r="XBY14" s="55"/>
      <c r="XBZ14" s="55"/>
      <c r="XCA14" s="55"/>
      <c r="XCB14" s="55"/>
      <c r="XCC14" s="55"/>
      <c r="XCD14" s="55"/>
      <c r="XCE14" s="55"/>
      <c r="XCF14" s="55"/>
      <c r="XCG14" s="55"/>
      <c r="XCH14" s="55"/>
      <c r="XCI14" s="55"/>
      <c r="XCJ14" s="55"/>
      <c r="XCK14" s="55"/>
      <c r="XCL14" s="55"/>
      <c r="XCM14" s="55"/>
      <c r="XCN14" s="55"/>
      <c r="XCO14" s="55"/>
      <c r="XCP14" s="55"/>
      <c r="XCQ14" s="55"/>
      <c r="XCR14" s="55"/>
      <c r="XCS14" s="55"/>
      <c r="XCT14" s="55"/>
      <c r="XCU14" s="55"/>
      <c r="XCV14" s="55"/>
      <c r="XCW14" s="55"/>
      <c r="XCX14" s="55"/>
      <c r="XCY14" s="55"/>
      <c r="XCZ14" s="55"/>
      <c r="XDA14" s="55"/>
      <c r="XDB14" s="55"/>
      <c r="XDC14" s="55"/>
      <c r="XDD14" s="55"/>
      <c r="XDE14" s="55"/>
      <c r="XDF14" s="55"/>
      <c r="XDG14" s="55"/>
      <c r="XDH14" s="55"/>
      <c r="XDI14" s="55"/>
      <c r="XDJ14" s="55"/>
      <c r="XDK14" s="55"/>
      <c r="XDL14" s="55"/>
      <c r="XDM14" s="55"/>
      <c r="XDN14" s="55"/>
      <c r="XDO14" s="55"/>
      <c r="XDP14" s="55"/>
      <c r="XDQ14" s="55"/>
      <c r="XDR14" s="55"/>
      <c r="XDS14" s="55"/>
      <c r="XDT14" s="55"/>
      <c r="XDU14" s="55"/>
      <c r="XDV14" s="55"/>
      <c r="XDW14" s="55"/>
      <c r="XDX14" s="55"/>
      <c r="XDY14" s="55"/>
      <c r="XDZ14" s="55"/>
      <c r="XEA14" s="55"/>
      <c r="XEB14" s="55"/>
      <c r="XEC14" s="55"/>
      <c r="XED14" s="55"/>
      <c r="XEE14" s="55"/>
      <c r="XEF14" s="55"/>
      <c r="XEG14" s="55"/>
      <c r="XEH14" s="55"/>
      <c r="XEI14" s="55"/>
      <c r="XEJ14" s="55"/>
      <c r="XEK14" s="55"/>
      <c r="XEL14" s="55"/>
      <c r="XEM14" s="55"/>
      <c r="XEN14" s="55"/>
      <c r="XEO14" s="55"/>
      <c r="XEP14" s="55"/>
      <c r="XEQ14" s="55"/>
      <c r="XER14" s="55"/>
      <c r="XES14" s="55"/>
      <c r="XET14" s="55"/>
      <c r="XEU14" s="55"/>
      <c r="XEV14" s="55"/>
      <c r="XEW14" s="55"/>
      <c r="XEX14" s="55"/>
      <c r="XEY14" s="55"/>
      <c r="XEZ14" s="55"/>
      <c r="XFA14" s="55"/>
      <c r="XFB14" s="55"/>
      <c r="XFC14" s="55"/>
    </row>
    <row r="16" spans="1:16383" x14ac:dyDescent="0.35">
      <c r="A16" s="15" t="s">
        <v>180</v>
      </c>
      <c r="B16" s="16"/>
      <c r="D16" s="15" t="s">
        <v>181</v>
      </c>
      <c r="E16" s="17"/>
      <c r="G16" s="15" t="s">
        <v>182</v>
      </c>
      <c r="H16" s="16"/>
      <c r="J16" s="15" t="s">
        <v>183</v>
      </c>
      <c r="K16" s="16"/>
    </row>
    <row r="17" spans="1:16383" x14ac:dyDescent="0.35">
      <c r="A17" t="s">
        <v>184</v>
      </c>
      <c r="B17">
        <v>2</v>
      </c>
      <c r="D17" t="s">
        <v>185</v>
      </c>
      <c r="E17" s="18">
        <v>0.8</v>
      </c>
      <c r="H17" s="18"/>
      <c r="J17" t="s">
        <v>186</v>
      </c>
      <c r="K17" s="18">
        <v>1.1000000000000001</v>
      </c>
    </row>
    <row r="18" spans="1:16383" x14ac:dyDescent="0.35">
      <c r="A18" t="s">
        <v>187</v>
      </c>
      <c r="B18" s="19">
        <f>CHOOSE(B17,E18,H18,K18)</f>
        <v>4.5224968231995864E-2</v>
      </c>
      <c r="D18" t="s">
        <v>187</v>
      </c>
      <c r="E18" s="19">
        <f>H18+0.5%</f>
        <v>5.0224968231995862E-2</v>
      </c>
      <c r="G18" t="s">
        <v>187</v>
      </c>
      <c r="H18" s="20">
        <f>WACC!C23</f>
        <v>4.5224968231995864E-2</v>
      </c>
      <c r="J18" t="s">
        <v>187</v>
      </c>
      <c r="K18" s="19">
        <f>H18-0.3%</f>
        <v>4.2224968231995862E-2</v>
      </c>
    </row>
    <row r="19" spans="1:16383" x14ac:dyDescent="0.35">
      <c r="A19" t="s">
        <v>188</v>
      </c>
      <c r="B19" s="19">
        <f>CHOOSE(B17,E19,H19,K19)</f>
        <v>0.02</v>
      </c>
      <c r="D19" t="s">
        <v>188</v>
      </c>
      <c r="E19" s="19">
        <f>H19-0.5%</f>
        <v>1.4999999999999999E-2</v>
      </c>
      <c r="G19" t="s">
        <v>188</v>
      </c>
      <c r="H19" s="20">
        <v>0.02</v>
      </c>
      <c r="J19" t="s">
        <v>188</v>
      </c>
      <c r="K19" s="19">
        <f>H19+0.3%</f>
        <v>2.3E-2</v>
      </c>
    </row>
    <row r="21" spans="1:16383" x14ac:dyDescent="0.35">
      <c r="A21" s="55" t="s">
        <v>189</v>
      </c>
      <c r="B21" s="55"/>
      <c r="C21" s="55"/>
      <c r="D21" s="55"/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  <c r="AA21" s="55"/>
      <c r="AB21" s="55"/>
      <c r="AC21" s="55"/>
      <c r="AD21" s="55"/>
      <c r="AE21" s="55"/>
      <c r="AF21" s="55"/>
      <c r="AG21" s="55"/>
      <c r="AH21" s="55"/>
      <c r="AI21" s="55"/>
      <c r="AJ21" s="55"/>
      <c r="AK21" s="55"/>
      <c r="AL21" s="55"/>
      <c r="AM21" s="55"/>
      <c r="AN21" s="55"/>
      <c r="AO21" s="55"/>
      <c r="AP21" s="55"/>
      <c r="AQ21" s="55"/>
      <c r="AR21" s="55"/>
      <c r="AS21" s="55"/>
      <c r="AT21" s="55"/>
      <c r="AU21" s="55"/>
      <c r="AV21" s="55"/>
      <c r="AW21" s="55"/>
      <c r="AX21" s="55"/>
      <c r="AY21" s="55"/>
      <c r="AZ21" s="55"/>
      <c r="BA21" s="55"/>
      <c r="BB21" s="55"/>
      <c r="BC21" s="55"/>
      <c r="BD21" s="55"/>
      <c r="BE21" s="55"/>
      <c r="BF21" s="55"/>
      <c r="BG21" s="55"/>
      <c r="BH21" s="55"/>
      <c r="BI21" s="55"/>
      <c r="BJ21" s="55"/>
      <c r="BK21" s="55"/>
      <c r="BL21" s="55"/>
      <c r="BM21" s="55"/>
      <c r="BN21" s="55"/>
      <c r="BO21" s="55"/>
      <c r="BP21" s="55"/>
      <c r="BQ21" s="55"/>
      <c r="BR21" s="55"/>
      <c r="BS21" s="55"/>
      <c r="BT21" s="55"/>
      <c r="BU21" s="55"/>
      <c r="BV21" s="55"/>
      <c r="BW21" s="55"/>
      <c r="BX21" s="55"/>
      <c r="BY21" s="55"/>
      <c r="BZ21" s="55"/>
      <c r="CA21" s="55"/>
      <c r="CB21" s="55"/>
      <c r="CC21" s="55"/>
      <c r="CD21" s="55"/>
      <c r="CE21" s="55"/>
      <c r="CF21" s="55"/>
      <c r="CG21" s="55"/>
      <c r="CH21" s="55"/>
      <c r="CI21" s="55"/>
      <c r="CJ21" s="55"/>
      <c r="CK21" s="55"/>
      <c r="CL21" s="55"/>
      <c r="CM21" s="55"/>
      <c r="CN21" s="55"/>
      <c r="CO21" s="55"/>
      <c r="CP21" s="55"/>
      <c r="CQ21" s="55"/>
      <c r="CR21" s="55"/>
      <c r="CS21" s="55"/>
      <c r="CT21" s="55"/>
      <c r="CU21" s="55"/>
      <c r="CV21" s="55"/>
      <c r="CW21" s="55"/>
      <c r="CX21" s="55"/>
      <c r="CY21" s="55"/>
      <c r="CZ21" s="55"/>
      <c r="DA21" s="55"/>
      <c r="DB21" s="55"/>
      <c r="DC21" s="55"/>
      <c r="DD21" s="55"/>
      <c r="DE21" s="55"/>
      <c r="DF21" s="55"/>
      <c r="DG21" s="55"/>
      <c r="DH21" s="55"/>
      <c r="DI21" s="55"/>
      <c r="DJ21" s="55"/>
      <c r="DK21" s="55"/>
      <c r="DL21" s="55"/>
      <c r="DM21" s="55"/>
      <c r="DN21" s="55"/>
      <c r="DO21" s="55"/>
      <c r="DP21" s="55"/>
      <c r="DQ21" s="55"/>
      <c r="DR21" s="55"/>
      <c r="DS21" s="55"/>
      <c r="DT21" s="55"/>
      <c r="DU21" s="55"/>
      <c r="DV21" s="55"/>
      <c r="DW21" s="55"/>
      <c r="DX21" s="55"/>
      <c r="DY21" s="55"/>
      <c r="DZ21" s="55"/>
      <c r="EA21" s="55"/>
      <c r="EB21" s="55"/>
      <c r="EC21" s="55"/>
      <c r="ED21" s="55"/>
      <c r="EE21" s="55"/>
      <c r="EF21" s="55"/>
      <c r="EG21" s="55"/>
      <c r="EH21" s="55"/>
      <c r="EI21" s="55"/>
      <c r="EJ21" s="55"/>
      <c r="EK21" s="55"/>
      <c r="EL21" s="55"/>
      <c r="EM21" s="55"/>
      <c r="EN21" s="55"/>
      <c r="EO21" s="55"/>
      <c r="EP21" s="55"/>
      <c r="EQ21" s="55"/>
      <c r="ER21" s="55"/>
      <c r="ES21" s="55"/>
      <c r="ET21" s="55"/>
      <c r="EU21" s="55"/>
      <c r="EV21" s="55"/>
      <c r="EW21" s="55"/>
      <c r="EX21" s="55"/>
      <c r="EY21" s="55"/>
      <c r="EZ21" s="55"/>
      <c r="FA21" s="55"/>
      <c r="FB21" s="55"/>
      <c r="FC21" s="55"/>
      <c r="FD21" s="55"/>
      <c r="FE21" s="55"/>
      <c r="FF21" s="55"/>
      <c r="FG21" s="55"/>
      <c r="FH21" s="55"/>
      <c r="FI21" s="55"/>
      <c r="FJ21" s="55"/>
      <c r="FK21" s="55"/>
      <c r="FL21" s="55"/>
      <c r="FM21" s="55"/>
      <c r="FN21" s="55"/>
      <c r="FO21" s="55"/>
      <c r="FP21" s="55"/>
      <c r="FQ21" s="55"/>
      <c r="FR21" s="55"/>
      <c r="FS21" s="55"/>
      <c r="FT21" s="55"/>
      <c r="FU21" s="55"/>
      <c r="FV21" s="55"/>
      <c r="FW21" s="55"/>
      <c r="FX21" s="55"/>
      <c r="FY21" s="55"/>
      <c r="FZ21" s="55"/>
      <c r="GA21" s="55"/>
      <c r="GB21" s="55"/>
      <c r="GC21" s="55"/>
      <c r="GD21" s="55"/>
      <c r="GE21" s="55"/>
      <c r="GF21" s="55"/>
      <c r="GG21" s="55"/>
      <c r="GH21" s="55"/>
      <c r="GI21" s="55"/>
      <c r="GJ21" s="55"/>
      <c r="GK21" s="55"/>
      <c r="GL21" s="55"/>
      <c r="GM21" s="55"/>
      <c r="GN21" s="55"/>
      <c r="GO21" s="55"/>
      <c r="GP21" s="55"/>
      <c r="GQ21" s="55"/>
      <c r="GR21" s="55"/>
      <c r="GS21" s="55"/>
      <c r="GT21" s="55"/>
      <c r="GU21" s="55"/>
      <c r="GV21" s="55"/>
      <c r="GW21" s="55"/>
      <c r="GX21" s="55"/>
      <c r="GY21" s="55"/>
      <c r="GZ21" s="55"/>
      <c r="HA21" s="55"/>
      <c r="HB21" s="55"/>
      <c r="HC21" s="55"/>
      <c r="HD21" s="55"/>
      <c r="HE21" s="55"/>
      <c r="HF21" s="55"/>
      <c r="HG21" s="55"/>
      <c r="HH21" s="55"/>
      <c r="HI21" s="55"/>
      <c r="HJ21" s="55"/>
      <c r="HK21" s="55"/>
      <c r="HL21" s="55"/>
      <c r="HM21" s="55"/>
      <c r="HN21" s="55"/>
      <c r="HO21" s="55"/>
      <c r="HP21" s="55"/>
      <c r="HQ21" s="55"/>
      <c r="HR21" s="55"/>
      <c r="HS21" s="55"/>
      <c r="HT21" s="55"/>
      <c r="HU21" s="55"/>
      <c r="HV21" s="55"/>
      <c r="HW21" s="55"/>
      <c r="HX21" s="55"/>
      <c r="HY21" s="55"/>
      <c r="HZ21" s="55"/>
      <c r="IA21" s="55"/>
      <c r="IB21" s="55"/>
      <c r="IC21" s="55"/>
      <c r="ID21" s="55"/>
      <c r="IE21" s="55"/>
      <c r="IF21" s="55"/>
      <c r="IG21" s="55"/>
      <c r="IH21" s="55"/>
      <c r="II21" s="55"/>
      <c r="IJ21" s="55"/>
      <c r="IK21" s="55"/>
      <c r="IL21" s="55"/>
      <c r="IM21" s="55"/>
      <c r="IN21" s="55"/>
      <c r="IO21" s="55"/>
      <c r="IP21" s="55"/>
      <c r="IQ21" s="55"/>
      <c r="IR21" s="55"/>
      <c r="IS21" s="55"/>
      <c r="IT21" s="55"/>
      <c r="IU21" s="55"/>
      <c r="IV21" s="55"/>
      <c r="IW21" s="55"/>
      <c r="IX21" s="55"/>
      <c r="IY21" s="55"/>
      <c r="IZ21" s="55"/>
      <c r="JA21" s="55"/>
      <c r="JB21" s="55"/>
      <c r="JC21" s="55"/>
      <c r="JD21" s="55"/>
      <c r="JE21" s="55"/>
      <c r="JF21" s="55"/>
      <c r="JG21" s="55"/>
      <c r="JH21" s="55"/>
      <c r="JI21" s="55"/>
      <c r="JJ21" s="55"/>
      <c r="JK21" s="55"/>
      <c r="JL21" s="55"/>
      <c r="JM21" s="55"/>
      <c r="JN21" s="55"/>
      <c r="JO21" s="55"/>
      <c r="JP21" s="55"/>
      <c r="JQ21" s="55"/>
      <c r="JR21" s="55"/>
      <c r="JS21" s="55"/>
      <c r="JT21" s="55"/>
      <c r="JU21" s="55"/>
      <c r="JV21" s="55"/>
      <c r="JW21" s="55"/>
      <c r="JX21" s="55"/>
      <c r="JY21" s="55"/>
      <c r="JZ21" s="55"/>
      <c r="KA21" s="55"/>
      <c r="KB21" s="55"/>
      <c r="KC21" s="55"/>
      <c r="KD21" s="55"/>
      <c r="KE21" s="55"/>
      <c r="KF21" s="55"/>
      <c r="KG21" s="55"/>
      <c r="KH21" s="55"/>
      <c r="KI21" s="55"/>
      <c r="KJ21" s="55"/>
      <c r="KK21" s="55"/>
      <c r="KL21" s="55"/>
      <c r="KM21" s="55"/>
      <c r="KN21" s="55"/>
      <c r="KO21" s="55"/>
      <c r="KP21" s="55"/>
      <c r="KQ21" s="55"/>
      <c r="KR21" s="55"/>
      <c r="KS21" s="55"/>
      <c r="KT21" s="55"/>
      <c r="KU21" s="55"/>
      <c r="KV21" s="55"/>
      <c r="KW21" s="55"/>
      <c r="KX21" s="55"/>
      <c r="KY21" s="55"/>
      <c r="KZ21" s="55"/>
      <c r="LA21" s="55"/>
      <c r="LB21" s="55"/>
      <c r="LC21" s="55"/>
      <c r="LD21" s="55"/>
      <c r="LE21" s="55"/>
      <c r="LF21" s="55"/>
      <c r="LG21" s="55"/>
      <c r="LH21" s="55"/>
      <c r="LI21" s="55"/>
      <c r="LJ21" s="55"/>
      <c r="LK21" s="55"/>
      <c r="LL21" s="55"/>
      <c r="LM21" s="55"/>
      <c r="LN21" s="55"/>
      <c r="LO21" s="55"/>
      <c r="LP21" s="55"/>
      <c r="LQ21" s="55"/>
      <c r="LR21" s="55"/>
      <c r="LS21" s="55"/>
      <c r="LT21" s="55"/>
      <c r="LU21" s="55"/>
      <c r="LV21" s="55"/>
      <c r="LW21" s="55"/>
      <c r="LX21" s="55"/>
      <c r="LY21" s="55"/>
      <c r="LZ21" s="55"/>
      <c r="MA21" s="55"/>
      <c r="MB21" s="55"/>
      <c r="MC21" s="55"/>
      <c r="MD21" s="55"/>
      <c r="ME21" s="55"/>
      <c r="MF21" s="55"/>
      <c r="MG21" s="55"/>
      <c r="MH21" s="55"/>
      <c r="MI21" s="55"/>
      <c r="MJ21" s="55"/>
      <c r="MK21" s="55"/>
      <c r="ML21" s="55"/>
      <c r="MM21" s="55"/>
      <c r="MN21" s="55"/>
      <c r="MO21" s="55"/>
      <c r="MP21" s="55"/>
      <c r="MQ21" s="55"/>
      <c r="MR21" s="55"/>
      <c r="MS21" s="55"/>
      <c r="MT21" s="55"/>
      <c r="MU21" s="55"/>
      <c r="MV21" s="55"/>
      <c r="MW21" s="55"/>
      <c r="MX21" s="55"/>
      <c r="MY21" s="55"/>
      <c r="MZ21" s="55"/>
      <c r="NA21" s="55"/>
      <c r="NB21" s="55"/>
      <c r="NC21" s="55"/>
      <c r="ND21" s="55"/>
      <c r="NE21" s="55"/>
      <c r="NF21" s="55"/>
      <c r="NG21" s="55"/>
      <c r="NH21" s="55"/>
      <c r="NI21" s="55"/>
      <c r="NJ21" s="55"/>
      <c r="NK21" s="55"/>
      <c r="NL21" s="55"/>
      <c r="NM21" s="55"/>
      <c r="NN21" s="55"/>
      <c r="NO21" s="55"/>
      <c r="NP21" s="55"/>
      <c r="NQ21" s="55"/>
      <c r="NR21" s="55"/>
      <c r="NS21" s="55"/>
      <c r="NT21" s="55"/>
      <c r="NU21" s="55"/>
      <c r="NV21" s="55"/>
      <c r="NW21" s="55"/>
      <c r="NX21" s="55"/>
      <c r="NY21" s="55"/>
      <c r="NZ21" s="55"/>
      <c r="OA21" s="55"/>
      <c r="OB21" s="55"/>
      <c r="OC21" s="55"/>
      <c r="OD21" s="55"/>
      <c r="OE21" s="55"/>
      <c r="OF21" s="55"/>
      <c r="OG21" s="55"/>
      <c r="OH21" s="55"/>
      <c r="OI21" s="55"/>
      <c r="OJ21" s="55"/>
      <c r="OK21" s="55"/>
      <c r="OL21" s="55"/>
      <c r="OM21" s="55"/>
      <c r="ON21" s="55"/>
      <c r="OO21" s="55"/>
      <c r="OP21" s="55"/>
      <c r="OQ21" s="55"/>
      <c r="OR21" s="55"/>
      <c r="OS21" s="55"/>
      <c r="OT21" s="55"/>
      <c r="OU21" s="55"/>
      <c r="OV21" s="55"/>
      <c r="OW21" s="55"/>
      <c r="OX21" s="55"/>
      <c r="OY21" s="55"/>
      <c r="OZ21" s="55"/>
      <c r="PA21" s="55"/>
      <c r="PB21" s="55"/>
      <c r="PC21" s="55"/>
      <c r="PD21" s="55"/>
      <c r="PE21" s="55"/>
      <c r="PF21" s="55"/>
      <c r="PG21" s="55"/>
      <c r="PH21" s="55"/>
      <c r="PI21" s="55"/>
      <c r="PJ21" s="55"/>
      <c r="PK21" s="55"/>
      <c r="PL21" s="55"/>
      <c r="PM21" s="55"/>
      <c r="PN21" s="55"/>
      <c r="PO21" s="55"/>
      <c r="PP21" s="55"/>
      <c r="PQ21" s="55"/>
      <c r="PR21" s="55"/>
      <c r="PS21" s="55"/>
      <c r="PT21" s="55"/>
      <c r="PU21" s="55"/>
      <c r="PV21" s="55"/>
      <c r="PW21" s="55"/>
      <c r="PX21" s="55"/>
      <c r="PY21" s="55"/>
      <c r="PZ21" s="55"/>
      <c r="QA21" s="55"/>
      <c r="QB21" s="55"/>
      <c r="QC21" s="55"/>
      <c r="QD21" s="55"/>
      <c r="QE21" s="55"/>
      <c r="QF21" s="55"/>
      <c r="QG21" s="55"/>
      <c r="QH21" s="55"/>
      <c r="QI21" s="55"/>
      <c r="QJ21" s="55"/>
      <c r="QK21" s="55"/>
      <c r="QL21" s="55"/>
      <c r="QM21" s="55"/>
      <c r="QN21" s="55"/>
      <c r="QO21" s="55"/>
      <c r="QP21" s="55"/>
      <c r="QQ21" s="55"/>
      <c r="QR21" s="55"/>
      <c r="QS21" s="55"/>
      <c r="QT21" s="55"/>
      <c r="QU21" s="55"/>
      <c r="QV21" s="55"/>
      <c r="QW21" s="55"/>
      <c r="QX21" s="55"/>
      <c r="QY21" s="55"/>
      <c r="QZ21" s="55"/>
      <c r="RA21" s="55"/>
      <c r="RB21" s="55"/>
      <c r="RC21" s="55"/>
      <c r="RD21" s="55"/>
      <c r="RE21" s="55"/>
      <c r="RF21" s="55"/>
      <c r="RG21" s="55"/>
      <c r="RH21" s="55"/>
      <c r="RI21" s="55"/>
      <c r="RJ21" s="55"/>
      <c r="RK21" s="55"/>
      <c r="RL21" s="55"/>
      <c r="RM21" s="55"/>
      <c r="RN21" s="55"/>
      <c r="RO21" s="55"/>
      <c r="RP21" s="55"/>
      <c r="RQ21" s="55"/>
      <c r="RR21" s="55"/>
      <c r="RS21" s="55"/>
      <c r="RT21" s="55"/>
      <c r="RU21" s="55"/>
      <c r="RV21" s="55"/>
      <c r="RW21" s="55"/>
      <c r="RX21" s="55"/>
      <c r="RY21" s="55"/>
      <c r="RZ21" s="55"/>
      <c r="SA21" s="55"/>
      <c r="SB21" s="55"/>
      <c r="SC21" s="55"/>
      <c r="SD21" s="55"/>
      <c r="SE21" s="55"/>
      <c r="SF21" s="55"/>
      <c r="SG21" s="55"/>
      <c r="SH21" s="55"/>
      <c r="SI21" s="55"/>
      <c r="SJ21" s="55"/>
      <c r="SK21" s="55"/>
      <c r="SL21" s="55"/>
      <c r="SM21" s="55"/>
      <c r="SN21" s="55"/>
      <c r="SO21" s="55"/>
      <c r="SP21" s="55"/>
      <c r="SQ21" s="55"/>
      <c r="SR21" s="55"/>
      <c r="SS21" s="55"/>
      <c r="ST21" s="55"/>
      <c r="SU21" s="55"/>
      <c r="SV21" s="55"/>
      <c r="SW21" s="55"/>
      <c r="SX21" s="55"/>
      <c r="SY21" s="55"/>
      <c r="SZ21" s="55"/>
      <c r="TA21" s="55"/>
      <c r="TB21" s="55"/>
      <c r="TC21" s="55"/>
      <c r="TD21" s="55"/>
      <c r="TE21" s="55"/>
      <c r="TF21" s="55"/>
      <c r="TG21" s="55"/>
      <c r="TH21" s="55"/>
      <c r="TI21" s="55"/>
      <c r="TJ21" s="55"/>
      <c r="TK21" s="55"/>
      <c r="TL21" s="55"/>
      <c r="TM21" s="55"/>
      <c r="TN21" s="55"/>
      <c r="TO21" s="55"/>
      <c r="TP21" s="55"/>
      <c r="TQ21" s="55"/>
      <c r="TR21" s="55"/>
      <c r="TS21" s="55"/>
      <c r="TT21" s="55"/>
      <c r="TU21" s="55"/>
      <c r="TV21" s="55"/>
      <c r="TW21" s="55"/>
      <c r="TX21" s="55"/>
      <c r="TY21" s="55"/>
      <c r="TZ21" s="55"/>
      <c r="UA21" s="55"/>
      <c r="UB21" s="55"/>
      <c r="UC21" s="55"/>
      <c r="UD21" s="55"/>
      <c r="UE21" s="55"/>
      <c r="UF21" s="55"/>
      <c r="UG21" s="55"/>
      <c r="UH21" s="55"/>
      <c r="UI21" s="55"/>
      <c r="UJ21" s="55"/>
      <c r="UK21" s="55"/>
      <c r="UL21" s="55"/>
      <c r="UM21" s="55"/>
      <c r="UN21" s="55"/>
      <c r="UO21" s="55"/>
      <c r="UP21" s="55"/>
      <c r="UQ21" s="55"/>
      <c r="UR21" s="55"/>
      <c r="US21" s="55"/>
      <c r="UT21" s="55"/>
      <c r="UU21" s="55"/>
      <c r="UV21" s="55"/>
      <c r="UW21" s="55"/>
      <c r="UX21" s="55"/>
      <c r="UY21" s="55"/>
      <c r="UZ21" s="55"/>
      <c r="VA21" s="55"/>
      <c r="VB21" s="55"/>
      <c r="VC21" s="55"/>
      <c r="VD21" s="55"/>
      <c r="VE21" s="55"/>
      <c r="VF21" s="55"/>
      <c r="VG21" s="55"/>
      <c r="VH21" s="55"/>
      <c r="VI21" s="55"/>
      <c r="VJ21" s="55"/>
      <c r="VK21" s="55"/>
      <c r="VL21" s="55"/>
      <c r="VM21" s="55"/>
      <c r="VN21" s="55"/>
      <c r="VO21" s="55"/>
      <c r="VP21" s="55"/>
      <c r="VQ21" s="55"/>
      <c r="VR21" s="55"/>
      <c r="VS21" s="55"/>
      <c r="VT21" s="55"/>
      <c r="VU21" s="55"/>
      <c r="VV21" s="55"/>
      <c r="VW21" s="55"/>
      <c r="VX21" s="55"/>
      <c r="VY21" s="55"/>
      <c r="VZ21" s="55"/>
      <c r="WA21" s="55"/>
      <c r="WB21" s="55"/>
      <c r="WC21" s="55"/>
      <c r="WD21" s="55"/>
      <c r="WE21" s="55"/>
      <c r="WF21" s="55"/>
      <c r="WG21" s="55"/>
      <c r="WH21" s="55"/>
      <c r="WI21" s="55"/>
      <c r="WJ21" s="55"/>
      <c r="WK21" s="55"/>
      <c r="WL21" s="55"/>
      <c r="WM21" s="55"/>
      <c r="WN21" s="55"/>
      <c r="WO21" s="55"/>
      <c r="WP21" s="55"/>
      <c r="WQ21" s="55"/>
      <c r="WR21" s="55"/>
      <c r="WS21" s="55"/>
      <c r="WT21" s="55"/>
      <c r="WU21" s="55"/>
      <c r="WV21" s="55"/>
      <c r="WW21" s="55"/>
      <c r="WX21" s="55"/>
      <c r="WY21" s="55"/>
      <c r="WZ21" s="55"/>
      <c r="XA21" s="55"/>
      <c r="XB21" s="55"/>
      <c r="XC21" s="55"/>
      <c r="XD21" s="55"/>
      <c r="XE21" s="55"/>
      <c r="XF21" s="55"/>
      <c r="XG21" s="55"/>
      <c r="XH21" s="55"/>
      <c r="XI21" s="55"/>
      <c r="XJ21" s="55"/>
      <c r="XK21" s="55"/>
      <c r="XL21" s="55"/>
      <c r="XM21" s="55"/>
      <c r="XN21" s="55"/>
      <c r="XO21" s="55"/>
      <c r="XP21" s="55"/>
      <c r="XQ21" s="55"/>
      <c r="XR21" s="55"/>
      <c r="XS21" s="55"/>
      <c r="XT21" s="55"/>
      <c r="XU21" s="55"/>
      <c r="XV21" s="55"/>
      <c r="XW21" s="55"/>
      <c r="XX21" s="55"/>
      <c r="XY21" s="55"/>
      <c r="XZ21" s="55"/>
      <c r="YA21" s="55"/>
      <c r="YB21" s="55"/>
      <c r="YC21" s="55"/>
      <c r="YD21" s="55"/>
      <c r="YE21" s="55"/>
      <c r="YF21" s="55"/>
      <c r="YG21" s="55"/>
      <c r="YH21" s="55"/>
      <c r="YI21" s="55"/>
      <c r="YJ21" s="55"/>
      <c r="YK21" s="55"/>
      <c r="YL21" s="55"/>
      <c r="YM21" s="55"/>
      <c r="YN21" s="55"/>
      <c r="YO21" s="55"/>
      <c r="YP21" s="55"/>
      <c r="YQ21" s="55"/>
      <c r="YR21" s="55"/>
      <c r="YS21" s="55"/>
      <c r="YT21" s="55"/>
      <c r="YU21" s="55"/>
      <c r="YV21" s="55"/>
      <c r="YW21" s="55"/>
      <c r="YX21" s="55"/>
      <c r="YY21" s="55"/>
      <c r="YZ21" s="55"/>
      <c r="ZA21" s="55"/>
      <c r="ZB21" s="55"/>
      <c r="ZC21" s="55"/>
      <c r="ZD21" s="55"/>
      <c r="ZE21" s="55"/>
      <c r="ZF21" s="55"/>
      <c r="ZG21" s="55"/>
      <c r="ZH21" s="55"/>
      <c r="ZI21" s="55"/>
      <c r="ZJ21" s="55"/>
      <c r="ZK21" s="55"/>
      <c r="ZL21" s="55"/>
      <c r="ZM21" s="55"/>
      <c r="ZN21" s="55"/>
      <c r="ZO21" s="55"/>
      <c r="ZP21" s="55"/>
      <c r="ZQ21" s="55"/>
      <c r="ZR21" s="55"/>
      <c r="ZS21" s="55"/>
      <c r="ZT21" s="55"/>
      <c r="ZU21" s="55"/>
      <c r="ZV21" s="55"/>
      <c r="ZW21" s="55"/>
      <c r="ZX21" s="55"/>
      <c r="ZY21" s="55"/>
      <c r="ZZ21" s="55"/>
      <c r="AAA21" s="55"/>
      <c r="AAB21" s="55"/>
      <c r="AAC21" s="55"/>
      <c r="AAD21" s="55"/>
      <c r="AAE21" s="55"/>
      <c r="AAF21" s="55"/>
      <c r="AAG21" s="55"/>
      <c r="AAH21" s="55"/>
      <c r="AAI21" s="55"/>
      <c r="AAJ21" s="55"/>
      <c r="AAK21" s="55"/>
      <c r="AAL21" s="55"/>
      <c r="AAM21" s="55"/>
      <c r="AAN21" s="55"/>
      <c r="AAO21" s="55"/>
      <c r="AAP21" s="55"/>
      <c r="AAQ21" s="55"/>
      <c r="AAR21" s="55"/>
      <c r="AAS21" s="55"/>
      <c r="AAT21" s="55"/>
      <c r="AAU21" s="55"/>
      <c r="AAV21" s="55"/>
      <c r="AAW21" s="55"/>
      <c r="AAX21" s="55"/>
      <c r="AAY21" s="55"/>
      <c r="AAZ21" s="55"/>
      <c r="ABA21" s="55"/>
      <c r="ABB21" s="55"/>
      <c r="ABC21" s="55"/>
      <c r="ABD21" s="55"/>
      <c r="ABE21" s="55"/>
      <c r="ABF21" s="55"/>
      <c r="ABG21" s="55"/>
      <c r="ABH21" s="55"/>
      <c r="ABI21" s="55"/>
      <c r="ABJ21" s="55"/>
      <c r="ABK21" s="55"/>
      <c r="ABL21" s="55"/>
      <c r="ABM21" s="55"/>
      <c r="ABN21" s="55"/>
      <c r="ABO21" s="55"/>
      <c r="ABP21" s="55"/>
      <c r="ABQ21" s="55"/>
      <c r="ABR21" s="55"/>
      <c r="ABS21" s="55"/>
      <c r="ABT21" s="55"/>
      <c r="ABU21" s="55"/>
      <c r="ABV21" s="55"/>
      <c r="ABW21" s="55"/>
      <c r="ABX21" s="55"/>
      <c r="ABY21" s="55"/>
      <c r="ABZ21" s="55"/>
      <c r="ACA21" s="55"/>
      <c r="ACB21" s="55"/>
      <c r="ACC21" s="55"/>
      <c r="ACD21" s="55"/>
      <c r="ACE21" s="55"/>
      <c r="ACF21" s="55"/>
      <c r="ACG21" s="55"/>
      <c r="ACH21" s="55"/>
      <c r="ACI21" s="55"/>
      <c r="ACJ21" s="55"/>
      <c r="ACK21" s="55"/>
      <c r="ACL21" s="55"/>
      <c r="ACM21" s="55"/>
      <c r="ACN21" s="55"/>
      <c r="ACO21" s="55"/>
      <c r="ACP21" s="55"/>
      <c r="ACQ21" s="55"/>
      <c r="ACR21" s="55"/>
      <c r="ACS21" s="55"/>
      <c r="ACT21" s="55"/>
      <c r="ACU21" s="55"/>
      <c r="ACV21" s="55"/>
      <c r="ACW21" s="55"/>
      <c r="ACX21" s="55"/>
      <c r="ACY21" s="55"/>
      <c r="ACZ21" s="55"/>
      <c r="ADA21" s="55"/>
      <c r="ADB21" s="55"/>
      <c r="ADC21" s="55"/>
      <c r="ADD21" s="55"/>
      <c r="ADE21" s="55"/>
      <c r="ADF21" s="55"/>
      <c r="ADG21" s="55"/>
      <c r="ADH21" s="55"/>
      <c r="ADI21" s="55"/>
      <c r="ADJ21" s="55"/>
      <c r="ADK21" s="55"/>
      <c r="ADL21" s="55"/>
      <c r="ADM21" s="55"/>
      <c r="ADN21" s="55"/>
      <c r="ADO21" s="55"/>
      <c r="ADP21" s="55"/>
      <c r="ADQ21" s="55"/>
      <c r="ADR21" s="55"/>
      <c r="ADS21" s="55"/>
      <c r="ADT21" s="55"/>
      <c r="ADU21" s="55"/>
      <c r="ADV21" s="55"/>
      <c r="ADW21" s="55"/>
      <c r="ADX21" s="55"/>
      <c r="ADY21" s="55"/>
      <c r="ADZ21" s="55"/>
      <c r="AEA21" s="55"/>
      <c r="AEB21" s="55"/>
      <c r="AEC21" s="55"/>
      <c r="AED21" s="55"/>
      <c r="AEE21" s="55"/>
      <c r="AEF21" s="55"/>
      <c r="AEG21" s="55"/>
      <c r="AEH21" s="55"/>
      <c r="AEI21" s="55"/>
      <c r="AEJ21" s="55"/>
      <c r="AEK21" s="55"/>
      <c r="AEL21" s="55"/>
      <c r="AEM21" s="55"/>
      <c r="AEN21" s="55"/>
      <c r="AEO21" s="55"/>
      <c r="AEP21" s="55"/>
      <c r="AEQ21" s="55"/>
      <c r="AER21" s="55"/>
      <c r="AES21" s="55"/>
      <c r="AET21" s="55"/>
      <c r="AEU21" s="55"/>
      <c r="AEV21" s="55"/>
      <c r="AEW21" s="55"/>
      <c r="AEX21" s="55"/>
      <c r="AEY21" s="55"/>
      <c r="AEZ21" s="55"/>
      <c r="AFA21" s="55"/>
      <c r="AFB21" s="55"/>
      <c r="AFC21" s="55"/>
      <c r="AFD21" s="55"/>
      <c r="AFE21" s="55"/>
      <c r="AFF21" s="55"/>
      <c r="AFG21" s="55"/>
      <c r="AFH21" s="55"/>
      <c r="AFI21" s="55"/>
      <c r="AFJ21" s="55"/>
      <c r="AFK21" s="55"/>
      <c r="AFL21" s="55"/>
      <c r="AFM21" s="55"/>
      <c r="AFN21" s="55"/>
      <c r="AFO21" s="55"/>
      <c r="AFP21" s="55"/>
      <c r="AFQ21" s="55"/>
      <c r="AFR21" s="55"/>
      <c r="AFS21" s="55"/>
      <c r="AFT21" s="55"/>
      <c r="AFU21" s="55"/>
      <c r="AFV21" s="55"/>
      <c r="AFW21" s="55"/>
      <c r="AFX21" s="55"/>
      <c r="AFY21" s="55"/>
      <c r="AFZ21" s="55"/>
      <c r="AGA21" s="55"/>
      <c r="AGB21" s="55"/>
      <c r="AGC21" s="55"/>
      <c r="AGD21" s="55"/>
      <c r="AGE21" s="55"/>
      <c r="AGF21" s="55"/>
      <c r="AGG21" s="55"/>
      <c r="AGH21" s="55"/>
      <c r="AGI21" s="55"/>
      <c r="AGJ21" s="55"/>
      <c r="AGK21" s="55"/>
      <c r="AGL21" s="55"/>
      <c r="AGM21" s="55"/>
      <c r="AGN21" s="55"/>
      <c r="AGO21" s="55"/>
      <c r="AGP21" s="55"/>
      <c r="AGQ21" s="55"/>
      <c r="AGR21" s="55"/>
      <c r="AGS21" s="55"/>
      <c r="AGT21" s="55"/>
      <c r="AGU21" s="55"/>
      <c r="AGV21" s="55"/>
      <c r="AGW21" s="55"/>
      <c r="AGX21" s="55"/>
      <c r="AGY21" s="55"/>
      <c r="AGZ21" s="55"/>
      <c r="AHA21" s="55"/>
      <c r="AHB21" s="55"/>
      <c r="AHC21" s="55"/>
      <c r="AHD21" s="55"/>
      <c r="AHE21" s="55"/>
      <c r="AHF21" s="55"/>
      <c r="AHG21" s="55"/>
      <c r="AHH21" s="55"/>
      <c r="AHI21" s="55"/>
      <c r="AHJ21" s="55"/>
      <c r="AHK21" s="55"/>
      <c r="AHL21" s="55"/>
      <c r="AHM21" s="55"/>
      <c r="AHN21" s="55"/>
      <c r="AHO21" s="55"/>
      <c r="AHP21" s="55"/>
      <c r="AHQ21" s="55"/>
      <c r="AHR21" s="55"/>
      <c r="AHS21" s="55"/>
      <c r="AHT21" s="55"/>
      <c r="AHU21" s="55"/>
      <c r="AHV21" s="55"/>
      <c r="AHW21" s="55"/>
      <c r="AHX21" s="55"/>
      <c r="AHY21" s="55"/>
      <c r="AHZ21" s="55"/>
      <c r="AIA21" s="55"/>
      <c r="AIB21" s="55"/>
      <c r="AIC21" s="55"/>
      <c r="AID21" s="55"/>
      <c r="AIE21" s="55"/>
      <c r="AIF21" s="55"/>
      <c r="AIG21" s="55"/>
      <c r="AIH21" s="55"/>
      <c r="AII21" s="55"/>
      <c r="AIJ21" s="55"/>
      <c r="AIK21" s="55"/>
      <c r="AIL21" s="55"/>
      <c r="AIM21" s="55"/>
      <c r="AIN21" s="55"/>
      <c r="AIO21" s="55"/>
      <c r="AIP21" s="55"/>
      <c r="AIQ21" s="55"/>
      <c r="AIR21" s="55"/>
      <c r="AIS21" s="55"/>
      <c r="AIT21" s="55"/>
      <c r="AIU21" s="55"/>
      <c r="AIV21" s="55"/>
      <c r="AIW21" s="55"/>
      <c r="AIX21" s="55"/>
      <c r="AIY21" s="55"/>
      <c r="AIZ21" s="55"/>
      <c r="AJA21" s="55"/>
      <c r="AJB21" s="55"/>
      <c r="AJC21" s="55"/>
      <c r="AJD21" s="55"/>
      <c r="AJE21" s="55"/>
      <c r="AJF21" s="55"/>
      <c r="AJG21" s="55"/>
      <c r="AJH21" s="55"/>
      <c r="AJI21" s="55"/>
      <c r="AJJ21" s="55"/>
      <c r="AJK21" s="55"/>
      <c r="AJL21" s="55"/>
      <c r="AJM21" s="55"/>
      <c r="AJN21" s="55"/>
      <c r="AJO21" s="55"/>
      <c r="AJP21" s="55"/>
      <c r="AJQ21" s="55"/>
      <c r="AJR21" s="55"/>
      <c r="AJS21" s="55"/>
      <c r="AJT21" s="55"/>
      <c r="AJU21" s="55"/>
      <c r="AJV21" s="55"/>
      <c r="AJW21" s="55"/>
      <c r="AJX21" s="55"/>
      <c r="AJY21" s="55"/>
      <c r="AJZ21" s="55"/>
      <c r="AKA21" s="55"/>
      <c r="AKB21" s="55"/>
      <c r="AKC21" s="55"/>
      <c r="AKD21" s="55"/>
      <c r="AKE21" s="55"/>
      <c r="AKF21" s="55"/>
      <c r="AKG21" s="55"/>
      <c r="AKH21" s="55"/>
      <c r="AKI21" s="55"/>
      <c r="AKJ21" s="55"/>
      <c r="AKK21" s="55"/>
      <c r="AKL21" s="55"/>
      <c r="AKM21" s="55"/>
      <c r="AKN21" s="55"/>
      <c r="AKO21" s="55"/>
      <c r="AKP21" s="55"/>
      <c r="AKQ21" s="55"/>
      <c r="AKR21" s="55"/>
      <c r="AKS21" s="55"/>
      <c r="AKT21" s="55"/>
      <c r="AKU21" s="55"/>
      <c r="AKV21" s="55"/>
      <c r="AKW21" s="55"/>
      <c r="AKX21" s="55"/>
      <c r="AKY21" s="55"/>
      <c r="AKZ21" s="55"/>
      <c r="ALA21" s="55"/>
      <c r="ALB21" s="55"/>
      <c r="ALC21" s="55"/>
      <c r="ALD21" s="55"/>
      <c r="ALE21" s="55"/>
      <c r="ALF21" s="55"/>
      <c r="ALG21" s="55"/>
      <c r="ALH21" s="55"/>
      <c r="ALI21" s="55"/>
      <c r="ALJ21" s="55"/>
      <c r="ALK21" s="55"/>
      <c r="ALL21" s="55"/>
      <c r="ALM21" s="55"/>
      <c r="ALN21" s="55"/>
      <c r="ALO21" s="55"/>
      <c r="ALP21" s="55"/>
      <c r="ALQ21" s="55"/>
      <c r="ALR21" s="55"/>
      <c r="ALS21" s="55"/>
      <c r="ALT21" s="55"/>
      <c r="ALU21" s="55"/>
      <c r="ALV21" s="55"/>
      <c r="ALW21" s="55"/>
      <c r="ALX21" s="55"/>
      <c r="ALY21" s="55"/>
      <c r="ALZ21" s="55"/>
      <c r="AMA21" s="55"/>
      <c r="AMB21" s="55"/>
      <c r="AMC21" s="55"/>
      <c r="AMD21" s="55"/>
      <c r="AME21" s="55"/>
      <c r="AMF21" s="55"/>
      <c r="AMG21" s="55"/>
      <c r="AMH21" s="55"/>
      <c r="AMI21" s="55"/>
      <c r="AMJ21" s="55"/>
      <c r="AMK21" s="55"/>
      <c r="AML21" s="55"/>
      <c r="AMM21" s="55"/>
      <c r="AMN21" s="55"/>
      <c r="AMO21" s="55"/>
      <c r="AMP21" s="55"/>
      <c r="AMQ21" s="55"/>
      <c r="AMR21" s="55"/>
      <c r="AMS21" s="55"/>
      <c r="AMT21" s="55"/>
      <c r="AMU21" s="55"/>
      <c r="AMV21" s="55"/>
      <c r="AMW21" s="55"/>
      <c r="AMX21" s="55"/>
      <c r="AMY21" s="55"/>
      <c r="AMZ21" s="55"/>
      <c r="ANA21" s="55"/>
      <c r="ANB21" s="55"/>
      <c r="ANC21" s="55"/>
      <c r="AND21" s="55"/>
      <c r="ANE21" s="55"/>
      <c r="ANF21" s="55"/>
      <c r="ANG21" s="55"/>
      <c r="ANH21" s="55"/>
      <c r="ANI21" s="55"/>
      <c r="ANJ21" s="55"/>
      <c r="ANK21" s="55"/>
      <c r="ANL21" s="55"/>
      <c r="ANM21" s="55"/>
      <c r="ANN21" s="55"/>
      <c r="ANO21" s="55"/>
      <c r="ANP21" s="55"/>
      <c r="ANQ21" s="55"/>
      <c r="ANR21" s="55"/>
      <c r="ANS21" s="55"/>
      <c r="ANT21" s="55"/>
      <c r="ANU21" s="55"/>
      <c r="ANV21" s="55"/>
      <c r="ANW21" s="55"/>
      <c r="ANX21" s="55"/>
      <c r="ANY21" s="55"/>
      <c r="ANZ21" s="55"/>
      <c r="AOA21" s="55"/>
      <c r="AOB21" s="55"/>
      <c r="AOC21" s="55"/>
      <c r="AOD21" s="55"/>
      <c r="AOE21" s="55"/>
      <c r="AOF21" s="55"/>
      <c r="AOG21" s="55"/>
      <c r="AOH21" s="55"/>
      <c r="AOI21" s="55"/>
      <c r="AOJ21" s="55"/>
      <c r="AOK21" s="55"/>
      <c r="AOL21" s="55"/>
      <c r="AOM21" s="55"/>
      <c r="AON21" s="55"/>
      <c r="AOO21" s="55"/>
      <c r="AOP21" s="55"/>
      <c r="AOQ21" s="55"/>
      <c r="AOR21" s="55"/>
      <c r="AOS21" s="55"/>
      <c r="AOT21" s="55"/>
      <c r="AOU21" s="55"/>
      <c r="AOV21" s="55"/>
      <c r="AOW21" s="55"/>
      <c r="AOX21" s="55"/>
      <c r="AOY21" s="55"/>
      <c r="AOZ21" s="55"/>
      <c r="APA21" s="55"/>
      <c r="APB21" s="55"/>
      <c r="APC21" s="55"/>
      <c r="APD21" s="55"/>
      <c r="APE21" s="55"/>
      <c r="APF21" s="55"/>
      <c r="APG21" s="55"/>
      <c r="APH21" s="55"/>
      <c r="API21" s="55"/>
      <c r="APJ21" s="55"/>
      <c r="APK21" s="55"/>
      <c r="APL21" s="55"/>
      <c r="APM21" s="55"/>
      <c r="APN21" s="55"/>
      <c r="APO21" s="55"/>
      <c r="APP21" s="55"/>
      <c r="APQ21" s="55"/>
      <c r="APR21" s="55"/>
      <c r="APS21" s="55"/>
      <c r="APT21" s="55"/>
      <c r="APU21" s="55"/>
      <c r="APV21" s="55"/>
      <c r="APW21" s="55"/>
      <c r="APX21" s="55"/>
      <c r="APY21" s="55"/>
      <c r="APZ21" s="55"/>
      <c r="AQA21" s="55"/>
      <c r="AQB21" s="55"/>
      <c r="AQC21" s="55"/>
      <c r="AQD21" s="55"/>
      <c r="AQE21" s="55"/>
      <c r="AQF21" s="55"/>
      <c r="AQG21" s="55"/>
      <c r="AQH21" s="55"/>
      <c r="AQI21" s="55"/>
      <c r="AQJ21" s="55"/>
      <c r="AQK21" s="55"/>
      <c r="AQL21" s="55"/>
      <c r="AQM21" s="55"/>
      <c r="AQN21" s="55"/>
      <c r="AQO21" s="55"/>
      <c r="AQP21" s="55"/>
      <c r="AQQ21" s="55"/>
      <c r="AQR21" s="55"/>
      <c r="AQS21" s="55"/>
      <c r="AQT21" s="55"/>
      <c r="AQU21" s="55"/>
      <c r="AQV21" s="55"/>
      <c r="AQW21" s="55"/>
      <c r="AQX21" s="55"/>
      <c r="AQY21" s="55"/>
      <c r="AQZ21" s="55"/>
      <c r="ARA21" s="55"/>
      <c r="ARB21" s="55"/>
      <c r="ARC21" s="55"/>
      <c r="ARD21" s="55"/>
      <c r="ARE21" s="55"/>
      <c r="ARF21" s="55"/>
      <c r="ARG21" s="55"/>
      <c r="ARH21" s="55"/>
      <c r="ARI21" s="55"/>
      <c r="ARJ21" s="55"/>
      <c r="ARK21" s="55"/>
      <c r="ARL21" s="55"/>
      <c r="ARM21" s="55"/>
      <c r="ARN21" s="55"/>
      <c r="ARO21" s="55"/>
      <c r="ARP21" s="55"/>
      <c r="ARQ21" s="55"/>
      <c r="ARR21" s="55"/>
      <c r="ARS21" s="55"/>
      <c r="ART21" s="55"/>
      <c r="ARU21" s="55"/>
      <c r="ARV21" s="55"/>
      <c r="ARW21" s="55"/>
      <c r="ARX21" s="55"/>
      <c r="ARY21" s="55"/>
      <c r="ARZ21" s="55"/>
      <c r="ASA21" s="55"/>
      <c r="ASB21" s="55"/>
      <c r="ASC21" s="55"/>
      <c r="ASD21" s="55"/>
      <c r="ASE21" s="55"/>
      <c r="ASF21" s="55"/>
      <c r="ASG21" s="55"/>
      <c r="ASH21" s="55"/>
      <c r="ASI21" s="55"/>
      <c r="ASJ21" s="55"/>
      <c r="ASK21" s="55"/>
      <c r="ASL21" s="55"/>
      <c r="ASM21" s="55"/>
      <c r="ASN21" s="55"/>
      <c r="ASO21" s="55"/>
      <c r="ASP21" s="55"/>
      <c r="ASQ21" s="55"/>
      <c r="ASR21" s="55"/>
      <c r="ASS21" s="55"/>
      <c r="AST21" s="55"/>
      <c r="ASU21" s="55"/>
      <c r="ASV21" s="55"/>
      <c r="ASW21" s="55"/>
      <c r="ASX21" s="55"/>
      <c r="ASY21" s="55"/>
      <c r="ASZ21" s="55"/>
      <c r="ATA21" s="55"/>
      <c r="ATB21" s="55"/>
      <c r="ATC21" s="55"/>
      <c r="ATD21" s="55"/>
      <c r="ATE21" s="55"/>
      <c r="ATF21" s="55"/>
      <c r="ATG21" s="55"/>
      <c r="ATH21" s="55"/>
      <c r="ATI21" s="55"/>
      <c r="ATJ21" s="55"/>
      <c r="ATK21" s="55"/>
      <c r="ATL21" s="55"/>
      <c r="ATM21" s="55"/>
      <c r="ATN21" s="55"/>
      <c r="ATO21" s="55"/>
      <c r="ATP21" s="55"/>
      <c r="ATQ21" s="55"/>
      <c r="ATR21" s="55"/>
      <c r="ATS21" s="55"/>
      <c r="ATT21" s="55"/>
      <c r="ATU21" s="55"/>
      <c r="ATV21" s="55"/>
      <c r="ATW21" s="55"/>
      <c r="ATX21" s="55"/>
      <c r="ATY21" s="55"/>
      <c r="ATZ21" s="55"/>
      <c r="AUA21" s="55"/>
      <c r="AUB21" s="55"/>
      <c r="AUC21" s="55"/>
      <c r="AUD21" s="55"/>
      <c r="AUE21" s="55"/>
      <c r="AUF21" s="55"/>
      <c r="AUG21" s="55"/>
      <c r="AUH21" s="55"/>
      <c r="AUI21" s="55"/>
      <c r="AUJ21" s="55"/>
      <c r="AUK21" s="55"/>
      <c r="AUL21" s="55"/>
      <c r="AUM21" s="55"/>
      <c r="AUN21" s="55"/>
      <c r="AUO21" s="55"/>
      <c r="AUP21" s="55"/>
      <c r="AUQ21" s="55"/>
      <c r="AUR21" s="55"/>
      <c r="AUS21" s="55"/>
      <c r="AUT21" s="55"/>
      <c r="AUU21" s="55"/>
      <c r="AUV21" s="55"/>
      <c r="AUW21" s="55"/>
      <c r="AUX21" s="55"/>
      <c r="AUY21" s="55"/>
      <c r="AUZ21" s="55"/>
      <c r="AVA21" s="55"/>
      <c r="AVB21" s="55"/>
      <c r="AVC21" s="55"/>
      <c r="AVD21" s="55"/>
      <c r="AVE21" s="55"/>
      <c r="AVF21" s="55"/>
      <c r="AVG21" s="55"/>
      <c r="AVH21" s="55"/>
      <c r="AVI21" s="55"/>
      <c r="AVJ21" s="55"/>
      <c r="AVK21" s="55"/>
      <c r="AVL21" s="55"/>
      <c r="AVM21" s="55"/>
      <c r="AVN21" s="55"/>
      <c r="AVO21" s="55"/>
      <c r="AVP21" s="55"/>
      <c r="AVQ21" s="55"/>
      <c r="AVR21" s="55"/>
      <c r="AVS21" s="55"/>
      <c r="AVT21" s="55"/>
      <c r="AVU21" s="55"/>
      <c r="AVV21" s="55"/>
      <c r="AVW21" s="55"/>
      <c r="AVX21" s="55"/>
      <c r="AVY21" s="55"/>
      <c r="AVZ21" s="55"/>
      <c r="AWA21" s="55"/>
      <c r="AWB21" s="55"/>
      <c r="AWC21" s="55"/>
      <c r="AWD21" s="55"/>
      <c r="AWE21" s="55"/>
      <c r="AWF21" s="55"/>
      <c r="AWG21" s="55"/>
      <c r="AWH21" s="55"/>
      <c r="AWI21" s="55"/>
      <c r="AWJ21" s="55"/>
      <c r="AWK21" s="55"/>
      <c r="AWL21" s="55"/>
      <c r="AWM21" s="55"/>
      <c r="AWN21" s="55"/>
      <c r="AWO21" s="55"/>
      <c r="AWP21" s="55"/>
      <c r="AWQ21" s="55"/>
      <c r="AWR21" s="55"/>
      <c r="AWS21" s="55"/>
      <c r="AWT21" s="55"/>
      <c r="AWU21" s="55"/>
      <c r="AWV21" s="55"/>
      <c r="AWW21" s="55"/>
      <c r="AWX21" s="55"/>
      <c r="AWY21" s="55"/>
      <c r="AWZ21" s="55"/>
      <c r="AXA21" s="55"/>
      <c r="AXB21" s="55"/>
      <c r="AXC21" s="55"/>
      <c r="AXD21" s="55"/>
      <c r="AXE21" s="55"/>
      <c r="AXF21" s="55"/>
      <c r="AXG21" s="55"/>
      <c r="AXH21" s="55"/>
      <c r="AXI21" s="55"/>
      <c r="AXJ21" s="55"/>
      <c r="AXK21" s="55"/>
      <c r="AXL21" s="55"/>
      <c r="AXM21" s="55"/>
      <c r="AXN21" s="55"/>
      <c r="AXO21" s="55"/>
      <c r="AXP21" s="55"/>
      <c r="AXQ21" s="55"/>
      <c r="AXR21" s="55"/>
      <c r="AXS21" s="55"/>
      <c r="AXT21" s="55"/>
      <c r="AXU21" s="55"/>
      <c r="AXV21" s="55"/>
      <c r="AXW21" s="55"/>
      <c r="AXX21" s="55"/>
      <c r="AXY21" s="55"/>
      <c r="AXZ21" s="55"/>
      <c r="AYA21" s="55"/>
      <c r="AYB21" s="55"/>
      <c r="AYC21" s="55"/>
      <c r="AYD21" s="55"/>
      <c r="AYE21" s="55"/>
      <c r="AYF21" s="55"/>
      <c r="AYG21" s="55"/>
      <c r="AYH21" s="55"/>
      <c r="AYI21" s="55"/>
      <c r="AYJ21" s="55"/>
      <c r="AYK21" s="55"/>
      <c r="AYL21" s="55"/>
      <c r="AYM21" s="55"/>
      <c r="AYN21" s="55"/>
      <c r="AYO21" s="55"/>
      <c r="AYP21" s="55"/>
      <c r="AYQ21" s="55"/>
      <c r="AYR21" s="55"/>
      <c r="AYS21" s="55"/>
      <c r="AYT21" s="55"/>
      <c r="AYU21" s="55"/>
      <c r="AYV21" s="55"/>
      <c r="AYW21" s="55"/>
      <c r="AYX21" s="55"/>
      <c r="AYY21" s="55"/>
      <c r="AYZ21" s="55"/>
      <c r="AZA21" s="55"/>
      <c r="AZB21" s="55"/>
      <c r="AZC21" s="55"/>
      <c r="AZD21" s="55"/>
      <c r="AZE21" s="55"/>
      <c r="AZF21" s="55"/>
      <c r="AZG21" s="55"/>
      <c r="AZH21" s="55"/>
      <c r="AZI21" s="55"/>
      <c r="AZJ21" s="55"/>
      <c r="AZK21" s="55"/>
      <c r="AZL21" s="55"/>
      <c r="AZM21" s="55"/>
      <c r="AZN21" s="55"/>
      <c r="AZO21" s="55"/>
      <c r="AZP21" s="55"/>
      <c r="AZQ21" s="55"/>
      <c r="AZR21" s="55"/>
      <c r="AZS21" s="55"/>
      <c r="AZT21" s="55"/>
      <c r="AZU21" s="55"/>
      <c r="AZV21" s="55"/>
      <c r="AZW21" s="55"/>
      <c r="AZX21" s="55"/>
      <c r="AZY21" s="55"/>
      <c r="AZZ21" s="55"/>
      <c r="BAA21" s="55"/>
      <c r="BAB21" s="55"/>
      <c r="BAC21" s="55"/>
      <c r="BAD21" s="55"/>
      <c r="BAE21" s="55"/>
      <c r="BAF21" s="55"/>
      <c r="BAG21" s="55"/>
      <c r="BAH21" s="55"/>
      <c r="BAI21" s="55"/>
      <c r="BAJ21" s="55"/>
      <c r="BAK21" s="55"/>
      <c r="BAL21" s="55"/>
      <c r="BAM21" s="55"/>
      <c r="BAN21" s="55"/>
      <c r="BAO21" s="55"/>
      <c r="BAP21" s="55"/>
      <c r="BAQ21" s="55"/>
      <c r="BAR21" s="55"/>
      <c r="BAS21" s="55"/>
      <c r="BAT21" s="55"/>
      <c r="BAU21" s="55"/>
      <c r="BAV21" s="55"/>
      <c r="BAW21" s="55"/>
      <c r="BAX21" s="55"/>
      <c r="BAY21" s="55"/>
      <c r="BAZ21" s="55"/>
      <c r="BBA21" s="55"/>
      <c r="BBB21" s="55"/>
      <c r="BBC21" s="55"/>
      <c r="BBD21" s="55"/>
      <c r="BBE21" s="55"/>
      <c r="BBF21" s="55"/>
      <c r="BBG21" s="55"/>
      <c r="BBH21" s="55"/>
      <c r="BBI21" s="55"/>
      <c r="BBJ21" s="55"/>
      <c r="BBK21" s="55"/>
      <c r="BBL21" s="55"/>
      <c r="BBM21" s="55"/>
      <c r="BBN21" s="55"/>
      <c r="BBO21" s="55"/>
      <c r="BBP21" s="55"/>
      <c r="BBQ21" s="55"/>
      <c r="BBR21" s="55"/>
      <c r="BBS21" s="55"/>
      <c r="BBT21" s="55"/>
      <c r="BBU21" s="55"/>
      <c r="BBV21" s="55"/>
      <c r="BBW21" s="55"/>
      <c r="BBX21" s="55"/>
      <c r="BBY21" s="55"/>
      <c r="BBZ21" s="55"/>
      <c r="BCA21" s="55"/>
      <c r="BCB21" s="55"/>
      <c r="BCC21" s="55"/>
      <c r="BCD21" s="55"/>
      <c r="BCE21" s="55"/>
      <c r="BCF21" s="55"/>
      <c r="BCG21" s="55"/>
      <c r="BCH21" s="55"/>
      <c r="BCI21" s="55"/>
      <c r="BCJ21" s="55"/>
      <c r="BCK21" s="55"/>
      <c r="BCL21" s="55"/>
      <c r="BCM21" s="55"/>
      <c r="BCN21" s="55"/>
      <c r="BCO21" s="55"/>
      <c r="BCP21" s="55"/>
      <c r="BCQ21" s="55"/>
      <c r="BCR21" s="55"/>
      <c r="BCS21" s="55"/>
      <c r="BCT21" s="55"/>
      <c r="BCU21" s="55"/>
      <c r="BCV21" s="55"/>
      <c r="BCW21" s="55"/>
      <c r="BCX21" s="55"/>
      <c r="BCY21" s="55"/>
      <c r="BCZ21" s="55"/>
      <c r="BDA21" s="55"/>
      <c r="BDB21" s="55"/>
      <c r="BDC21" s="55"/>
      <c r="BDD21" s="55"/>
      <c r="BDE21" s="55"/>
      <c r="BDF21" s="55"/>
      <c r="BDG21" s="55"/>
      <c r="BDH21" s="55"/>
      <c r="BDI21" s="55"/>
      <c r="BDJ21" s="55"/>
      <c r="BDK21" s="55"/>
      <c r="BDL21" s="55"/>
      <c r="BDM21" s="55"/>
      <c r="BDN21" s="55"/>
      <c r="BDO21" s="55"/>
      <c r="BDP21" s="55"/>
      <c r="BDQ21" s="55"/>
      <c r="BDR21" s="55"/>
      <c r="BDS21" s="55"/>
      <c r="BDT21" s="55"/>
      <c r="BDU21" s="55"/>
      <c r="BDV21" s="55"/>
      <c r="BDW21" s="55"/>
      <c r="BDX21" s="55"/>
      <c r="BDY21" s="55"/>
      <c r="BDZ21" s="55"/>
      <c r="BEA21" s="55"/>
      <c r="BEB21" s="55"/>
      <c r="BEC21" s="55"/>
      <c r="BED21" s="55"/>
      <c r="BEE21" s="55"/>
      <c r="BEF21" s="55"/>
      <c r="BEG21" s="55"/>
      <c r="BEH21" s="55"/>
      <c r="BEI21" s="55"/>
      <c r="BEJ21" s="55"/>
      <c r="BEK21" s="55"/>
      <c r="BEL21" s="55"/>
      <c r="BEM21" s="55"/>
      <c r="BEN21" s="55"/>
      <c r="BEO21" s="55"/>
      <c r="BEP21" s="55"/>
      <c r="BEQ21" s="55"/>
      <c r="BER21" s="55"/>
      <c r="BES21" s="55"/>
      <c r="BET21" s="55"/>
      <c r="BEU21" s="55"/>
      <c r="BEV21" s="55"/>
      <c r="BEW21" s="55"/>
      <c r="BEX21" s="55"/>
      <c r="BEY21" s="55"/>
      <c r="BEZ21" s="55"/>
      <c r="BFA21" s="55"/>
      <c r="BFB21" s="55"/>
      <c r="BFC21" s="55"/>
      <c r="BFD21" s="55"/>
      <c r="BFE21" s="55"/>
      <c r="BFF21" s="55"/>
      <c r="BFG21" s="55"/>
      <c r="BFH21" s="55"/>
      <c r="BFI21" s="55"/>
      <c r="BFJ21" s="55"/>
      <c r="BFK21" s="55"/>
      <c r="BFL21" s="55"/>
      <c r="BFM21" s="55"/>
      <c r="BFN21" s="55"/>
      <c r="BFO21" s="55"/>
      <c r="BFP21" s="55"/>
      <c r="BFQ21" s="55"/>
      <c r="BFR21" s="55"/>
      <c r="BFS21" s="55"/>
      <c r="BFT21" s="55"/>
      <c r="BFU21" s="55"/>
      <c r="BFV21" s="55"/>
      <c r="BFW21" s="55"/>
      <c r="BFX21" s="55"/>
      <c r="BFY21" s="55"/>
      <c r="BFZ21" s="55"/>
      <c r="BGA21" s="55"/>
      <c r="BGB21" s="55"/>
      <c r="BGC21" s="55"/>
      <c r="BGD21" s="55"/>
      <c r="BGE21" s="55"/>
      <c r="BGF21" s="55"/>
      <c r="BGG21" s="55"/>
      <c r="BGH21" s="55"/>
      <c r="BGI21" s="55"/>
      <c r="BGJ21" s="55"/>
      <c r="BGK21" s="55"/>
      <c r="BGL21" s="55"/>
      <c r="BGM21" s="55"/>
      <c r="BGN21" s="55"/>
      <c r="BGO21" s="55"/>
      <c r="BGP21" s="55"/>
      <c r="BGQ21" s="55"/>
      <c r="BGR21" s="55"/>
      <c r="BGS21" s="55"/>
      <c r="BGT21" s="55"/>
      <c r="BGU21" s="55"/>
      <c r="BGV21" s="55"/>
      <c r="BGW21" s="55"/>
      <c r="BGX21" s="55"/>
      <c r="BGY21" s="55"/>
      <c r="BGZ21" s="55"/>
      <c r="BHA21" s="55"/>
      <c r="BHB21" s="55"/>
      <c r="BHC21" s="55"/>
      <c r="BHD21" s="55"/>
      <c r="BHE21" s="55"/>
      <c r="BHF21" s="55"/>
      <c r="BHG21" s="55"/>
      <c r="BHH21" s="55"/>
      <c r="BHI21" s="55"/>
      <c r="BHJ21" s="55"/>
      <c r="BHK21" s="55"/>
      <c r="BHL21" s="55"/>
      <c r="BHM21" s="55"/>
      <c r="BHN21" s="55"/>
      <c r="BHO21" s="55"/>
      <c r="BHP21" s="55"/>
      <c r="BHQ21" s="55"/>
      <c r="BHR21" s="55"/>
      <c r="BHS21" s="55"/>
      <c r="BHT21" s="55"/>
      <c r="BHU21" s="55"/>
      <c r="BHV21" s="55"/>
      <c r="BHW21" s="55"/>
      <c r="BHX21" s="55"/>
      <c r="BHY21" s="55"/>
      <c r="BHZ21" s="55"/>
      <c r="BIA21" s="55"/>
      <c r="BIB21" s="55"/>
      <c r="BIC21" s="55"/>
      <c r="BID21" s="55"/>
      <c r="BIE21" s="55"/>
      <c r="BIF21" s="55"/>
      <c r="BIG21" s="55"/>
      <c r="BIH21" s="55"/>
      <c r="BII21" s="55"/>
      <c r="BIJ21" s="55"/>
      <c r="BIK21" s="55"/>
      <c r="BIL21" s="55"/>
      <c r="BIM21" s="55"/>
      <c r="BIN21" s="55"/>
      <c r="BIO21" s="55"/>
      <c r="BIP21" s="55"/>
      <c r="BIQ21" s="55"/>
      <c r="BIR21" s="55"/>
      <c r="BIS21" s="55"/>
      <c r="BIT21" s="55"/>
      <c r="BIU21" s="55"/>
      <c r="BIV21" s="55"/>
      <c r="BIW21" s="55"/>
      <c r="BIX21" s="55"/>
      <c r="BIY21" s="55"/>
      <c r="BIZ21" s="55"/>
      <c r="BJA21" s="55"/>
      <c r="BJB21" s="55"/>
      <c r="BJC21" s="55"/>
      <c r="BJD21" s="55"/>
      <c r="BJE21" s="55"/>
      <c r="BJF21" s="55"/>
      <c r="BJG21" s="55"/>
      <c r="BJH21" s="55"/>
      <c r="BJI21" s="55"/>
      <c r="BJJ21" s="55"/>
      <c r="BJK21" s="55"/>
      <c r="BJL21" s="55"/>
      <c r="BJM21" s="55"/>
      <c r="BJN21" s="55"/>
      <c r="BJO21" s="55"/>
      <c r="BJP21" s="55"/>
      <c r="BJQ21" s="55"/>
      <c r="BJR21" s="55"/>
      <c r="BJS21" s="55"/>
      <c r="BJT21" s="55"/>
      <c r="BJU21" s="55"/>
      <c r="BJV21" s="55"/>
      <c r="BJW21" s="55"/>
      <c r="BJX21" s="55"/>
      <c r="BJY21" s="55"/>
      <c r="BJZ21" s="55"/>
      <c r="BKA21" s="55"/>
      <c r="BKB21" s="55"/>
      <c r="BKC21" s="55"/>
      <c r="BKD21" s="55"/>
      <c r="BKE21" s="55"/>
      <c r="BKF21" s="55"/>
      <c r="BKG21" s="55"/>
      <c r="BKH21" s="55"/>
      <c r="BKI21" s="55"/>
      <c r="BKJ21" s="55"/>
      <c r="BKK21" s="55"/>
      <c r="BKL21" s="55"/>
      <c r="BKM21" s="55"/>
      <c r="BKN21" s="55"/>
      <c r="BKO21" s="55"/>
      <c r="BKP21" s="55"/>
      <c r="BKQ21" s="55"/>
      <c r="BKR21" s="55"/>
      <c r="BKS21" s="55"/>
      <c r="BKT21" s="55"/>
      <c r="BKU21" s="55"/>
      <c r="BKV21" s="55"/>
      <c r="BKW21" s="55"/>
      <c r="BKX21" s="55"/>
      <c r="BKY21" s="55"/>
      <c r="BKZ21" s="55"/>
      <c r="BLA21" s="55"/>
      <c r="BLB21" s="55"/>
      <c r="BLC21" s="55"/>
      <c r="BLD21" s="55"/>
      <c r="BLE21" s="55"/>
      <c r="BLF21" s="55"/>
      <c r="BLG21" s="55"/>
      <c r="BLH21" s="55"/>
      <c r="BLI21" s="55"/>
      <c r="BLJ21" s="55"/>
      <c r="BLK21" s="55"/>
      <c r="BLL21" s="55"/>
      <c r="BLM21" s="55"/>
      <c r="BLN21" s="55"/>
      <c r="BLO21" s="55"/>
      <c r="BLP21" s="55"/>
      <c r="BLQ21" s="55"/>
      <c r="BLR21" s="55"/>
      <c r="BLS21" s="55"/>
      <c r="BLT21" s="55"/>
      <c r="BLU21" s="55"/>
      <c r="BLV21" s="55"/>
      <c r="BLW21" s="55"/>
      <c r="BLX21" s="55"/>
      <c r="BLY21" s="55"/>
      <c r="BLZ21" s="55"/>
      <c r="BMA21" s="55"/>
      <c r="BMB21" s="55"/>
      <c r="BMC21" s="55"/>
      <c r="BMD21" s="55"/>
      <c r="BME21" s="55"/>
      <c r="BMF21" s="55"/>
      <c r="BMG21" s="55"/>
      <c r="BMH21" s="55"/>
      <c r="BMI21" s="55"/>
      <c r="BMJ21" s="55"/>
      <c r="BMK21" s="55"/>
      <c r="BML21" s="55"/>
      <c r="BMM21" s="55"/>
      <c r="BMN21" s="55"/>
      <c r="BMO21" s="55"/>
      <c r="BMP21" s="55"/>
      <c r="BMQ21" s="55"/>
      <c r="BMR21" s="55"/>
      <c r="BMS21" s="55"/>
      <c r="BMT21" s="55"/>
      <c r="BMU21" s="55"/>
      <c r="BMV21" s="55"/>
      <c r="BMW21" s="55"/>
      <c r="BMX21" s="55"/>
      <c r="BMY21" s="55"/>
      <c r="BMZ21" s="55"/>
      <c r="BNA21" s="55"/>
      <c r="BNB21" s="55"/>
      <c r="BNC21" s="55"/>
      <c r="BND21" s="55"/>
      <c r="BNE21" s="55"/>
      <c r="BNF21" s="55"/>
      <c r="BNG21" s="55"/>
      <c r="BNH21" s="55"/>
      <c r="BNI21" s="55"/>
      <c r="BNJ21" s="55"/>
      <c r="BNK21" s="55"/>
      <c r="BNL21" s="55"/>
      <c r="BNM21" s="55"/>
      <c r="BNN21" s="55"/>
      <c r="BNO21" s="55"/>
      <c r="BNP21" s="55"/>
      <c r="BNQ21" s="55"/>
      <c r="BNR21" s="55"/>
      <c r="BNS21" s="55"/>
      <c r="BNT21" s="55"/>
      <c r="BNU21" s="55"/>
      <c r="BNV21" s="55"/>
      <c r="BNW21" s="55"/>
      <c r="BNX21" s="55"/>
      <c r="BNY21" s="55"/>
      <c r="BNZ21" s="55"/>
      <c r="BOA21" s="55"/>
      <c r="BOB21" s="55"/>
      <c r="BOC21" s="55"/>
      <c r="BOD21" s="55"/>
      <c r="BOE21" s="55"/>
      <c r="BOF21" s="55"/>
      <c r="BOG21" s="55"/>
      <c r="BOH21" s="55"/>
      <c r="BOI21" s="55"/>
      <c r="BOJ21" s="55"/>
      <c r="BOK21" s="55"/>
      <c r="BOL21" s="55"/>
      <c r="BOM21" s="55"/>
      <c r="BON21" s="55"/>
      <c r="BOO21" s="55"/>
      <c r="BOP21" s="55"/>
      <c r="BOQ21" s="55"/>
      <c r="BOR21" s="55"/>
      <c r="BOS21" s="55"/>
      <c r="BOT21" s="55"/>
      <c r="BOU21" s="55"/>
      <c r="BOV21" s="55"/>
      <c r="BOW21" s="55"/>
      <c r="BOX21" s="55"/>
      <c r="BOY21" s="55"/>
      <c r="BOZ21" s="55"/>
      <c r="BPA21" s="55"/>
      <c r="BPB21" s="55"/>
      <c r="BPC21" s="55"/>
      <c r="BPD21" s="55"/>
      <c r="BPE21" s="55"/>
      <c r="BPF21" s="55"/>
      <c r="BPG21" s="55"/>
      <c r="BPH21" s="55"/>
      <c r="BPI21" s="55"/>
      <c r="BPJ21" s="55"/>
      <c r="BPK21" s="55"/>
      <c r="BPL21" s="55"/>
      <c r="BPM21" s="55"/>
      <c r="BPN21" s="55"/>
      <c r="BPO21" s="55"/>
      <c r="BPP21" s="55"/>
      <c r="BPQ21" s="55"/>
      <c r="BPR21" s="55"/>
      <c r="BPS21" s="55"/>
      <c r="BPT21" s="55"/>
      <c r="BPU21" s="55"/>
      <c r="BPV21" s="55"/>
      <c r="BPW21" s="55"/>
      <c r="BPX21" s="55"/>
      <c r="BPY21" s="55"/>
      <c r="BPZ21" s="55"/>
      <c r="BQA21" s="55"/>
      <c r="BQB21" s="55"/>
      <c r="BQC21" s="55"/>
      <c r="BQD21" s="55"/>
      <c r="BQE21" s="55"/>
      <c r="BQF21" s="55"/>
      <c r="BQG21" s="55"/>
      <c r="BQH21" s="55"/>
      <c r="BQI21" s="55"/>
      <c r="BQJ21" s="55"/>
      <c r="BQK21" s="55"/>
      <c r="BQL21" s="55"/>
      <c r="BQM21" s="55"/>
      <c r="BQN21" s="55"/>
      <c r="BQO21" s="55"/>
      <c r="BQP21" s="55"/>
      <c r="BQQ21" s="55"/>
      <c r="BQR21" s="55"/>
      <c r="BQS21" s="55"/>
      <c r="BQT21" s="55"/>
      <c r="BQU21" s="55"/>
      <c r="BQV21" s="55"/>
      <c r="BQW21" s="55"/>
      <c r="BQX21" s="55"/>
      <c r="BQY21" s="55"/>
      <c r="BQZ21" s="55"/>
      <c r="BRA21" s="55"/>
      <c r="BRB21" s="55"/>
      <c r="BRC21" s="55"/>
      <c r="BRD21" s="55"/>
      <c r="BRE21" s="55"/>
      <c r="BRF21" s="55"/>
      <c r="BRG21" s="55"/>
      <c r="BRH21" s="55"/>
      <c r="BRI21" s="55"/>
      <c r="BRJ21" s="55"/>
      <c r="BRK21" s="55"/>
      <c r="BRL21" s="55"/>
      <c r="BRM21" s="55"/>
      <c r="BRN21" s="55"/>
      <c r="BRO21" s="55"/>
      <c r="BRP21" s="55"/>
      <c r="BRQ21" s="55"/>
      <c r="BRR21" s="55"/>
      <c r="BRS21" s="55"/>
      <c r="BRT21" s="55"/>
      <c r="BRU21" s="55"/>
      <c r="BRV21" s="55"/>
      <c r="BRW21" s="55"/>
      <c r="BRX21" s="55"/>
      <c r="BRY21" s="55"/>
      <c r="BRZ21" s="55"/>
      <c r="BSA21" s="55"/>
      <c r="BSB21" s="55"/>
      <c r="BSC21" s="55"/>
      <c r="BSD21" s="55"/>
      <c r="BSE21" s="55"/>
      <c r="BSF21" s="55"/>
      <c r="BSG21" s="55"/>
      <c r="BSH21" s="55"/>
      <c r="BSI21" s="55"/>
      <c r="BSJ21" s="55"/>
      <c r="BSK21" s="55"/>
      <c r="BSL21" s="55"/>
      <c r="BSM21" s="55"/>
      <c r="BSN21" s="55"/>
      <c r="BSO21" s="55"/>
      <c r="BSP21" s="55"/>
      <c r="BSQ21" s="55"/>
      <c r="BSR21" s="55"/>
      <c r="BSS21" s="55"/>
      <c r="BST21" s="55"/>
      <c r="BSU21" s="55"/>
      <c r="BSV21" s="55"/>
      <c r="BSW21" s="55"/>
      <c r="BSX21" s="55"/>
      <c r="BSY21" s="55"/>
      <c r="BSZ21" s="55"/>
      <c r="BTA21" s="55"/>
      <c r="BTB21" s="55"/>
      <c r="BTC21" s="55"/>
      <c r="BTD21" s="55"/>
      <c r="BTE21" s="55"/>
      <c r="BTF21" s="55"/>
      <c r="BTG21" s="55"/>
      <c r="BTH21" s="55"/>
      <c r="BTI21" s="55"/>
      <c r="BTJ21" s="55"/>
      <c r="BTK21" s="55"/>
      <c r="BTL21" s="55"/>
      <c r="BTM21" s="55"/>
      <c r="BTN21" s="55"/>
      <c r="BTO21" s="55"/>
      <c r="BTP21" s="55"/>
      <c r="BTQ21" s="55"/>
      <c r="BTR21" s="55"/>
      <c r="BTS21" s="55"/>
      <c r="BTT21" s="55"/>
      <c r="BTU21" s="55"/>
      <c r="BTV21" s="55"/>
      <c r="BTW21" s="55"/>
      <c r="BTX21" s="55"/>
      <c r="BTY21" s="55"/>
      <c r="BTZ21" s="55"/>
      <c r="BUA21" s="55"/>
      <c r="BUB21" s="55"/>
      <c r="BUC21" s="55"/>
      <c r="BUD21" s="55"/>
      <c r="BUE21" s="55"/>
      <c r="BUF21" s="55"/>
      <c r="BUG21" s="55"/>
      <c r="BUH21" s="55"/>
      <c r="BUI21" s="55"/>
      <c r="BUJ21" s="55"/>
      <c r="BUK21" s="55"/>
      <c r="BUL21" s="55"/>
      <c r="BUM21" s="55"/>
      <c r="BUN21" s="55"/>
      <c r="BUO21" s="55"/>
      <c r="BUP21" s="55"/>
      <c r="BUQ21" s="55"/>
      <c r="BUR21" s="55"/>
      <c r="BUS21" s="55"/>
      <c r="BUT21" s="55"/>
      <c r="BUU21" s="55"/>
      <c r="BUV21" s="55"/>
      <c r="BUW21" s="55"/>
      <c r="BUX21" s="55"/>
      <c r="BUY21" s="55"/>
      <c r="BUZ21" s="55"/>
      <c r="BVA21" s="55"/>
      <c r="BVB21" s="55"/>
      <c r="BVC21" s="55"/>
      <c r="BVD21" s="55"/>
      <c r="BVE21" s="55"/>
      <c r="BVF21" s="55"/>
      <c r="BVG21" s="55"/>
      <c r="BVH21" s="55"/>
      <c r="BVI21" s="55"/>
      <c r="BVJ21" s="55"/>
      <c r="BVK21" s="55"/>
      <c r="BVL21" s="55"/>
      <c r="BVM21" s="55"/>
      <c r="BVN21" s="55"/>
      <c r="BVO21" s="55"/>
      <c r="BVP21" s="55"/>
      <c r="BVQ21" s="55"/>
      <c r="BVR21" s="55"/>
      <c r="BVS21" s="55"/>
      <c r="BVT21" s="55"/>
      <c r="BVU21" s="55"/>
      <c r="BVV21" s="55"/>
      <c r="BVW21" s="55"/>
      <c r="BVX21" s="55"/>
      <c r="BVY21" s="55"/>
      <c r="BVZ21" s="55"/>
      <c r="BWA21" s="55"/>
      <c r="BWB21" s="55"/>
      <c r="BWC21" s="55"/>
      <c r="BWD21" s="55"/>
      <c r="BWE21" s="55"/>
      <c r="BWF21" s="55"/>
      <c r="BWG21" s="55"/>
      <c r="BWH21" s="55"/>
      <c r="BWI21" s="55"/>
      <c r="BWJ21" s="55"/>
      <c r="BWK21" s="55"/>
      <c r="BWL21" s="55"/>
      <c r="BWM21" s="55"/>
      <c r="BWN21" s="55"/>
      <c r="BWO21" s="55"/>
      <c r="BWP21" s="55"/>
      <c r="BWQ21" s="55"/>
      <c r="BWR21" s="55"/>
      <c r="BWS21" s="55"/>
      <c r="BWT21" s="55"/>
      <c r="BWU21" s="55"/>
      <c r="BWV21" s="55"/>
      <c r="BWW21" s="55"/>
      <c r="BWX21" s="55"/>
      <c r="BWY21" s="55"/>
      <c r="BWZ21" s="55"/>
      <c r="BXA21" s="55"/>
      <c r="BXB21" s="55"/>
      <c r="BXC21" s="55"/>
      <c r="BXD21" s="55"/>
      <c r="BXE21" s="55"/>
      <c r="BXF21" s="55"/>
      <c r="BXG21" s="55"/>
      <c r="BXH21" s="55"/>
      <c r="BXI21" s="55"/>
      <c r="BXJ21" s="55"/>
      <c r="BXK21" s="55"/>
      <c r="BXL21" s="55"/>
      <c r="BXM21" s="55"/>
      <c r="BXN21" s="55"/>
      <c r="BXO21" s="55"/>
      <c r="BXP21" s="55"/>
      <c r="BXQ21" s="55"/>
      <c r="BXR21" s="55"/>
      <c r="BXS21" s="55"/>
      <c r="BXT21" s="55"/>
      <c r="BXU21" s="55"/>
      <c r="BXV21" s="55"/>
      <c r="BXW21" s="55"/>
      <c r="BXX21" s="55"/>
      <c r="BXY21" s="55"/>
      <c r="BXZ21" s="55"/>
      <c r="BYA21" s="55"/>
      <c r="BYB21" s="55"/>
      <c r="BYC21" s="55"/>
      <c r="BYD21" s="55"/>
      <c r="BYE21" s="55"/>
      <c r="BYF21" s="55"/>
      <c r="BYG21" s="55"/>
      <c r="BYH21" s="55"/>
      <c r="BYI21" s="55"/>
      <c r="BYJ21" s="55"/>
      <c r="BYK21" s="55"/>
      <c r="BYL21" s="55"/>
      <c r="BYM21" s="55"/>
      <c r="BYN21" s="55"/>
      <c r="BYO21" s="55"/>
      <c r="BYP21" s="55"/>
      <c r="BYQ21" s="55"/>
      <c r="BYR21" s="55"/>
      <c r="BYS21" s="55"/>
      <c r="BYT21" s="55"/>
      <c r="BYU21" s="55"/>
      <c r="BYV21" s="55"/>
      <c r="BYW21" s="55"/>
      <c r="BYX21" s="55"/>
      <c r="BYY21" s="55"/>
      <c r="BYZ21" s="55"/>
      <c r="BZA21" s="55"/>
      <c r="BZB21" s="55"/>
      <c r="BZC21" s="55"/>
      <c r="BZD21" s="55"/>
      <c r="BZE21" s="55"/>
      <c r="BZF21" s="55"/>
      <c r="BZG21" s="55"/>
      <c r="BZH21" s="55"/>
      <c r="BZI21" s="55"/>
      <c r="BZJ21" s="55"/>
      <c r="BZK21" s="55"/>
      <c r="BZL21" s="55"/>
      <c r="BZM21" s="55"/>
      <c r="BZN21" s="55"/>
      <c r="BZO21" s="55"/>
      <c r="BZP21" s="55"/>
      <c r="BZQ21" s="55"/>
      <c r="BZR21" s="55"/>
      <c r="BZS21" s="55"/>
      <c r="BZT21" s="55"/>
      <c r="BZU21" s="55"/>
      <c r="BZV21" s="55"/>
      <c r="BZW21" s="55"/>
      <c r="BZX21" s="55"/>
      <c r="BZY21" s="55"/>
      <c r="BZZ21" s="55"/>
      <c r="CAA21" s="55"/>
      <c r="CAB21" s="55"/>
      <c r="CAC21" s="55"/>
      <c r="CAD21" s="55"/>
      <c r="CAE21" s="55"/>
      <c r="CAF21" s="55"/>
      <c r="CAG21" s="55"/>
      <c r="CAH21" s="55"/>
      <c r="CAI21" s="55"/>
      <c r="CAJ21" s="55"/>
      <c r="CAK21" s="55"/>
      <c r="CAL21" s="55"/>
      <c r="CAM21" s="55"/>
      <c r="CAN21" s="55"/>
      <c r="CAO21" s="55"/>
      <c r="CAP21" s="55"/>
      <c r="CAQ21" s="55"/>
      <c r="CAR21" s="55"/>
      <c r="CAS21" s="55"/>
      <c r="CAT21" s="55"/>
      <c r="CAU21" s="55"/>
      <c r="CAV21" s="55"/>
      <c r="CAW21" s="55"/>
      <c r="CAX21" s="55"/>
      <c r="CAY21" s="55"/>
      <c r="CAZ21" s="55"/>
      <c r="CBA21" s="55"/>
      <c r="CBB21" s="55"/>
      <c r="CBC21" s="55"/>
      <c r="CBD21" s="55"/>
      <c r="CBE21" s="55"/>
      <c r="CBF21" s="55"/>
      <c r="CBG21" s="55"/>
      <c r="CBH21" s="55"/>
      <c r="CBI21" s="55"/>
      <c r="CBJ21" s="55"/>
      <c r="CBK21" s="55"/>
      <c r="CBL21" s="55"/>
      <c r="CBM21" s="55"/>
      <c r="CBN21" s="55"/>
      <c r="CBO21" s="55"/>
      <c r="CBP21" s="55"/>
      <c r="CBQ21" s="55"/>
      <c r="CBR21" s="55"/>
      <c r="CBS21" s="55"/>
      <c r="CBT21" s="55"/>
      <c r="CBU21" s="55"/>
      <c r="CBV21" s="55"/>
      <c r="CBW21" s="55"/>
      <c r="CBX21" s="55"/>
      <c r="CBY21" s="55"/>
      <c r="CBZ21" s="55"/>
      <c r="CCA21" s="55"/>
      <c r="CCB21" s="55"/>
      <c r="CCC21" s="55"/>
      <c r="CCD21" s="55"/>
      <c r="CCE21" s="55"/>
      <c r="CCF21" s="55"/>
      <c r="CCG21" s="55"/>
      <c r="CCH21" s="55"/>
      <c r="CCI21" s="55"/>
      <c r="CCJ21" s="55"/>
      <c r="CCK21" s="55"/>
      <c r="CCL21" s="55"/>
      <c r="CCM21" s="55"/>
      <c r="CCN21" s="55"/>
      <c r="CCO21" s="55"/>
      <c r="CCP21" s="55"/>
      <c r="CCQ21" s="55"/>
      <c r="CCR21" s="55"/>
      <c r="CCS21" s="55"/>
      <c r="CCT21" s="55"/>
      <c r="CCU21" s="55"/>
      <c r="CCV21" s="55"/>
      <c r="CCW21" s="55"/>
      <c r="CCX21" s="55"/>
      <c r="CCY21" s="55"/>
      <c r="CCZ21" s="55"/>
      <c r="CDA21" s="55"/>
      <c r="CDB21" s="55"/>
      <c r="CDC21" s="55"/>
      <c r="CDD21" s="55"/>
      <c r="CDE21" s="55"/>
      <c r="CDF21" s="55"/>
      <c r="CDG21" s="55"/>
      <c r="CDH21" s="55"/>
      <c r="CDI21" s="55"/>
      <c r="CDJ21" s="55"/>
      <c r="CDK21" s="55"/>
      <c r="CDL21" s="55"/>
      <c r="CDM21" s="55"/>
      <c r="CDN21" s="55"/>
      <c r="CDO21" s="55"/>
      <c r="CDP21" s="55"/>
      <c r="CDQ21" s="55"/>
      <c r="CDR21" s="55"/>
      <c r="CDS21" s="55"/>
      <c r="CDT21" s="55"/>
      <c r="CDU21" s="55"/>
      <c r="CDV21" s="55"/>
      <c r="CDW21" s="55"/>
      <c r="CDX21" s="55"/>
      <c r="CDY21" s="55"/>
      <c r="CDZ21" s="55"/>
      <c r="CEA21" s="55"/>
      <c r="CEB21" s="55"/>
      <c r="CEC21" s="55"/>
      <c r="CED21" s="55"/>
      <c r="CEE21" s="55"/>
      <c r="CEF21" s="55"/>
      <c r="CEG21" s="55"/>
      <c r="CEH21" s="55"/>
      <c r="CEI21" s="55"/>
      <c r="CEJ21" s="55"/>
      <c r="CEK21" s="55"/>
      <c r="CEL21" s="55"/>
      <c r="CEM21" s="55"/>
      <c r="CEN21" s="55"/>
      <c r="CEO21" s="55"/>
      <c r="CEP21" s="55"/>
      <c r="CEQ21" s="55"/>
      <c r="CER21" s="55"/>
      <c r="CES21" s="55"/>
      <c r="CET21" s="55"/>
      <c r="CEU21" s="55"/>
      <c r="CEV21" s="55"/>
      <c r="CEW21" s="55"/>
      <c r="CEX21" s="55"/>
      <c r="CEY21" s="55"/>
      <c r="CEZ21" s="55"/>
      <c r="CFA21" s="55"/>
      <c r="CFB21" s="55"/>
      <c r="CFC21" s="55"/>
      <c r="CFD21" s="55"/>
      <c r="CFE21" s="55"/>
      <c r="CFF21" s="55"/>
      <c r="CFG21" s="55"/>
      <c r="CFH21" s="55"/>
      <c r="CFI21" s="55"/>
      <c r="CFJ21" s="55"/>
      <c r="CFK21" s="55"/>
      <c r="CFL21" s="55"/>
      <c r="CFM21" s="55"/>
      <c r="CFN21" s="55"/>
      <c r="CFO21" s="55"/>
      <c r="CFP21" s="55"/>
      <c r="CFQ21" s="55"/>
      <c r="CFR21" s="55"/>
      <c r="CFS21" s="55"/>
      <c r="CFT21" s="55"/>
      <c r="CFU21" s="55"/>
      <c r="CFV21" s="55"/>
      <c r="CFW21" s="55"/>
      <c r="CFX21" s="55"/>
      <c r="CFY21" s="55"/>
      <c r="CFZ21" s="55"/>
      <c r="CGA21" s="55"/>
      <c r="CGB21" s="55"/>
      <c r="CGC21" s="55"/>
      <c r="CGD21" s="55"/>
      <c r="CGE21" s="55"/>
      <c r="CGF21" s="55"/>
      <c r="CGG21" s="55"/>
      <c r="CGH21" s="55"/>
      <c r="CGI21" s="55"/>
      <c r="CGJ21" s="55"/>
      <c r="CGK21" s="55"/>
      <c r="CGL21" s="55"/>
      <c r="CGM21" s="55"/>
      <c r="CGN21" s="55"/>
      <c r="CGO21" s="55"/>
      <c r="CGP21" s="55"/>
      <c r="CGQ21" s="55"/>
      <c r="CGR21" s="55"/>
      <c r="CGS21" s="55"/>
      <c r="CGT21" s="55"/>
      <c r="CGU21" s="55"/>
      <c r="CGV21" s="55"/>
      <c r="CGW21" s="55"/>
      <c r="CGX21" s="55"/>
      <c r="CGY21" s="55"/>
      <c r="CGZ21" s="55"/>
      <c r="CHA21" s="55"/>
      <c r="CHB21" s="55"/>
      <c r="CHC21" s="55"/>
      <c r="CHD21" s="55"/>
      <c r="CHE21" s="55"/>
      <c r="CHF21" s="55"/>
      <c r="CHG21" s="55"/>
      <c r="CHH21" s="55"/>
      <c r="CHI21" s="55"/>
      <c r="CHJ21" s="55"/>
      <c r="CHK21" s="55"/>
      <c r="CHL21" s="55"/>
      <c r="CHM21" s="55"/>
      <c r="CHN21" s="55"/>
      <c r="CHO21" s="55"/>
      <c r="CHP21" s="55"/>
      <c r="CHQ21" s="55"/>
      <c r="CHR21" s="55"/>
      <c r="CHS21" s="55"/>
      <c r="CHT21" s="55"/>
      <c r="CHU21" s="55"/>
      <c r="CHV21" s="55"/>
      <c r="CHW21" s="55"/>
      <c r="CHX21" s="55"/>
      <c r="CHY21" s="55"/>
      <c r="CHZ21" s="55"/>
      <c r="CIA21" s="55"/>
      <c r="CIB21" s="55"/>
      <c r="CIC21" s="55"/>
      <c r="CID21" s="55"/>
      <c r="CIE21" s="55"/>
      <c r="CIF21" s="55"/>
      <c r="CIG21" s="55"/>
      <c r="CIH21" s="55"/>
      <c r="CII21" s="55"/>
      <c r="CIJ21" s="55"/>
      <c r="CIK21" s="55"/>
      <c r="CIL21" s="55"/>
      <c r="CIM21" s="55"/>
      <c r="CIN21" s="55"/>
      <c r="CIO21" s="55"/>
      <c r="CIP21" s="55"/>
      <c r="CIQ21" s="55"/>
      <c r="CIR21" s="55"/>
      <c r="CIS21" s="55"/>
      <c r="CIT21" s="55"/>
      <c r="CIU21" s="55"/>
      <c r="CIV21" s="55"/>
      <c r="CIW21" s="55"/>
      <c r="CIX21" s="55"/>
      <c r="CIY21" s="55"/>
      <c r="CIZ21" s="55"/>
      <c r="CJA21" s="55"/>
      <c r="CJB21" s="55"/>
      <c r="CJC21" s="55"/>
      <c r="CJD21" s="55"/>
      <c r="CJE21" s="55"/>
      <c r="CJF21" s="55"/>
      <c r="CJG21" s="55"/>
      <c r="CJH21" s="55"/>
      <c r="CJI21" s="55"/>
      <c r="CJJ21" s="55"/>
      <c r="CJK21" s="55"/>
      <c r="CJL21" s="55"/>
      <c r="CJM21" s="55"/>
      <c r="CJN21" s="55"/>
      <c r="CJO21" s="55"/>
      <c r="CJP21" s="55"/>
      <c r="CJQ21" s="55"/>
      <c r="CJR21" s="55"/>
      <c r="CJS21" s="55"/>
      <c r="CJT21" s="55"/>
      <c r="CJU21" s="55"/>
      <c r="CJV21" s="55"/>
      <c r="CJW21" s="55"/>
      <c r="CJX21" s="55"/>
      <c r="CJY21" s="55"/>
      <c r="CJZ21" s="55"/>
      <c r="CKA21" s="55"/>
      <c r="CKB21" s="55"/>
      <c r="CKC21" s="55"/>
      <c r="CKD21" s="55"/>
      <c r="CKE21" s="55"/>
      <c r="CKF21" s="55"/>
      <c r="CKG21" s="55"/>
      <c r="CKH21" s="55"/>
      <c r="CKI21" s="55"/>
      <c r="CKJ21" s="55"/>
      <c r="CKK21" s="55"/>
      <c r="CKL21" s="55"/>
      <c r="CKM21" s="55"/>
      <c r="CKN21" s="55"/>
      <c r="CKO21" s="55"/>
      <c r="CKP21" s="55"/>
      <c r="CKQ21" s="55"/>
      <c r="CKR21" s="55"/>
      <c r="CKS21" s="55"/>
      <c r="CKT21" s="55"/>
      <c r="CKU21" s="55"/>
      <c r="CKV21" s="55"/>
      <c r="CKW21" s="55"/>
      <c r="CKX21" s="55"/>
      <c r="CKY21" s="55"/>
      <c r="CKZ21" s="55"/>
      <c r="CLA21" s="55"/>
      <c r="CLB21" s="55"/>
      <c r="CLC21" s="55"/>
      <c r="CLD21" s="55"/>
      <c r="CLE21" s="55"/>
      <c r="CLF21" s="55"/>
      <c r="CLG21" s="55"/>
      <c r="CLH21" s="55"/>
      <c r="CLI21" s="55"/>
      <c r="CLJ21" s="55"/>
      <c r="CLK21" s="55"/>
      <c r="CLL21" s="55"/>
      <c r="CLM21" s="55"/>
      <c r="CLN21" s="55"/>
      <c r="CLO21" s="55"/>
      <c r="CLP21" s="55"/>
      <c r="CLQ21" s="55"/>
      <c r="CLR21" s="55"/>
      <c r="CLS21" s="55"/>
      <c r="CLT21" s="55"/>
      <c r="CLU21" s="55"/>
      <c r="CLV21" s="55"/>
      <c r="CLW21" s="55"/>
      <c r="CLX21" s="55"/>
      <c r="CLY21" s="55"/>
      <c r="CLZ21" s="55"/>
      <c r="CMA21" s="55"/>
      <c r="CMB21" s="55"/>
      <c r="CMC21" s="55"/>
      <c r="CMD21" s="55"/>
      <c r="CME21" s="55"/>
      <c r="CMF21" s="55"/>
      <c r="CMG21" s="55"/>
      <c r="CMH21" s="55"/>
      <c r="CMI21" s="55"/>
      <c r="CMJ21" s="55"/>
      <c r="CMK21" s="55"/>
      <c r="CML21" s="55"/>
      <c r="CMM21" s="55"/>
      <c r="CMN21" s="55"/>
      <c r="CMO21" s="55"/>
      <c r="CMP21" s="55"/>
      <c r="CMQ21" s="55"/>
      <c r="CMR21" s="55"/>
      <c r="CMS21" s="55"/>
      <c r="CMT21" s="55"/>
      <c r="CMU21" s="55"/>
      <c r="CMV21" s="55"/>
      <c r="CMW21" s="55"/>
      <c r="CMX21" s="55"/>
      <c r="CMY21" s="55"/>
      <c r="CMZ21" s="55"/>
      <c r="CNA21" s="55"/>
      <c r="CNB21" s="55"/>
      <c r="CNC21" s="55"/>
      <c r="CND21" s="55"/>
      <c r="CNE21" s="55"/>
      <c r="CNF21" s="55"/>
      <c r="CNG21" s="55"/>
      <c r="CNH21" s="55"/>
      <c r="CNI21" s="55"/>
      <c r="CNJ21" s="55"/>
      <c r="CNK21" s="55"/>
      <c r="CNL21" s="55"/>
      <c r="CNM21" s="55"/>
      <c r="CNN21" s="55"/>
      <c r="CNO21" s="55"/>
      <c r="CNP21" s="55"/>
      <c r="CNQ21" s="55"/>
      <c r="CNR21" s="55"/>
      <c r="CNS21" s="55"/>
      <c r="CNT21" s="55"/>
      <c r="CNU21" s="55"/>
      <c r="CNV21" s="55"/>
      <c r="CNW21" s="55"/>
      <c r="CNX21" s="55"/>
      <c r="CNY21" s="55"/>
      <c r="CNZ21" s="55"/>
      <c r="COA21" s="55"/>
      <c r="COB21" s="55"/>
      <c r="COC21" s="55"/>
      <c r="COD21" s="55"/>
      <c r="COE21" s="55"/>
      <c r="COF21" s="55"/>
      <c r="COG21" s="55"/>
      <c r="COH21" s="55"/>
      <c r="COI21" s="55"/>
      <c r="COJ21" s="55"/>
      <c r="COK21" s="55"/>
      <c r="COL21" s="55"/>
      <c r="COM21" s="55"/>
      <c r="CON21" s="55"/>
      <c r="COO21" s="55"/>
      <c r="COP21" s="55"/>
      <c r="COQ21" s="55"/>
      <c r="COR21" s="55"/>
      <c r="COS21" s="55"/>
      <c r="COT21" s="55"/>
      <c r="COU21" s="55"/>
      <c r="COV21" s="55"/>
      <c r="COW21" s="55"/>
      <c r="COX21" s="55"/>
      <c r="COY21" s="55"/>
      <c r="COZ21" s="55"/>
      <c r="CPA21" s="55"/>
      <c r="CPB21" s="55"/>
      <c r="CPC21" s="55"/>
      <c r="CPD21" s="55"/>
      <c r="CPE21" s="55"/>
      <c r="CPF21" s="55"/>
      <c r="CPG21" s="55"/>
      <c r="CPH21" s="55"/>
      <c r="CPI21" s="55"/>
      <c r="CPJ21" s="55"/>
      <c r="CPK21" s="55"/>
      <c r="CPL21" s="55"/>
      <c r="CPM21" s="55"/>
      <c r="CPN21" s="55"/>
      <c r="CPO21" s="55"/>
      <c r="CPP21" s="55"/>
      <c r="CPQ21" s="55"/>
      <c r="CPR21" s="55"/>
      <c r="CPS21" s="55"/>
      <c r="CPT21" s="55"/>
      <c r="CPU21" s="55"/>
      <c r="CPV21" s="55"/>
      <c r="CPW21" s="55"/>
      <c r="CPX21" s="55"/>
      <c r="CPY21" s="55"/>
      <c r="CPZ21" s="55"/>
      <c r="CQA21" s="55"/>
      <c r="CQB21" s="55"/>
      <c r="CQC21" s="55"/>
      <c r="CQD21" s="55"/>
      <c r="CQE21" s="55"/>
      <c r="CQF21" s="55"/>
      <c r="CQG21" s="55"/>
      <c r="CQH21" s="55"/>
      <c r="CQI21" s="55"/>
      <c r="CQJ21" s="55"/>
      <c r="CQK21" s="55"/>
      <c r="CQL21" s="55"/>
      <c r="CQM21" s="55"/>
      <c r="CQN21" s="55"/>
      <c r="CQO21" s="55"/>
      <c r="CQP21" s="55"/>
      <c r="CQQ21" s="55"/>
      <c r="CQR21" s="55"/>
      <c r="CQS21" s="55"/>
      <c r="CQT21" s="55"/>
      <c r="CQU21" s="55"/>
      <c r="CQV21" s="55"/>
      <c r="CQW21" s="55"/>
      <c r="CQX21" s="55"/>
      <c r="CQY21" s="55"/>
      <c r="CQZ21" s="55"/>
      <c r="CRA21" s="55"/>
      <c r="CRB21" s="55"/>
      <c r="CRC21" s="55"/>
      <c r="CRD21" s="55"/>
      <c r="CRE21" s="55"/>
      <c r="CRF21" s="55"/>
      <c r="CRG21" s="55"/>
      <c r="CRH21" s="55"/>
      <c r="CRI21" s="55"/>
      <c r="CRJ21" s="55"/>
      <c r="CRK21" s="55"/>
      <c r="CRL21" s="55"/>
      <c r="CRM21" s="55"/>
      <c r="CRN21" s="55"/>
      <c r="CRO21" s="55"/>
      <c r="CRP21" s="55"/>
      <c r="CRQ21" s="55"/>
      <c r="CRR21" s="55"/>
      <c r="CRS21" s="55"/>
      <c r="CRT21" s="55"/>
      <c r="CRU21" s="55"/>
      <c r="CRV21" s="55"/>
      <c r="CRW21" s="55"/>
      <c r="CRX21" s="55"/>
      <c r="CRY21" s="55"/>
      <c r="CRZ21" s="55"/>
      <c r="CSA21" s="55"/>
      <c r="CSB21" s="55"/>
      <c r="CSC21" s="55"/>
      <c r="CSD21" s="55"/>
      <c r="CSE21" s="55"/>
      <c r="CSF21" s="55"/>
      <c r="CSG21" s="55"/>
      <c r="CSH21" s="55"/>
      <c r="CSI21" s="55"/>
      <c r="CSJ21" s="55"/>
      <c r="CSK21" s="55"/>
      <c r="CSL21" s="55"/>
      <c r="CSM21" s="55"/>
      <c r="CSN21" s="55"/>
      <c r="CSO21" s="55"/>
      <c r="CSP21" s="55"/>
      <c r="CSQ21" s="55"/>
      <c r="CSR21" s="55"/>
      <c r="CSS21" s="55"/>
      <c r="CST21" s="55"/>
      <c r="CSU21" s="55"/>
      <c r="CSV21" s="55"/>
      <c r="CSW21" s="55"/>
      <c r="CSX21" s="55"/>
      <c r="CSY21" s="55"/>
      <c r="CSZ21" s="55"/>
      <c r="CTA21" s="55"/>
      <c r="CTB21" s="55"/>
      <c r="CTC21" s="55"/>
      <c r="CTD21" s="55"/>
      <c r="CTE21" s="55"/>
      <c r="CTF21" s="55"/>
      <c r="CTG21" s="55"/>
      <c r="CTH21" s="55"/>
      <c r="CTI21" s="55"/>
      <c r="CTJ21" s="55"/>
      <c r="CTK21" s="55"/>
      <c r="CTL21" s="55"/>
      <c r="CTM21" s="55"/>
      <c r="CTN21" s="55"/>
      <c r="CTO21" s="55"/>
      <c r="CTP21" s="55"/>
      <c r="CTQ21" s="55"/>
      <c r="CTR21" s="55"/>
      <c r="CTS21" s="55"/>
      <c r="CTT21" s="55"/>
      <c r="CTU21" s="55"/>
      <c r="CTV21" s="55"/>
      <c r="CTW21" s="55"/>
      <c r="CTX21" s="55"/>
      <c r="CTY21" s="55"/>
      <c r="CTZ21" s="55"/>
      <c r="CUA21" s="55"/>
      <c r="CUB21" s="55"/>
      <c r="CUC21" s="55"/>
      <c r="CUD21" s="55"/>
      <c r="CUE21" s="55"/>
      <c r="CUF21" s="55"/>
      <c r="CUG21" s="55"/>
      <c r="CUH21" s="55"/>
      <c r="CUI21" s="55"/>
      <c r="CUJ21" s="55"/>
      <c r="CUK21" s="55"/>
      <c r="CUL21" s="55"/>
      <c r="CUM21" s="55"/>
      <c r="CUN21" s="55"/>
      <c r="CUO21" s="55"/>
      <c r="CUP21" s="55"/>
      <c r="CUQ21" s="55"/>
      <c r="CUR21" s="55"/>
      <c r="CUS21" s="55"/>
      <c r="CUT21" s="55"/>
      <c r="CUU21" s="55"/>
      <c r="CUV21" s="55"/>
      <c r="CUW21" s="55"/>
      <c r="CUX21" s="55"/>
      <c r="CUY21" s="55"/>
      <c r="CUZ21" s="55"/>
      <c r="CVA21" s="55"/>
      <c r="CVB21" s="55"/>
      <c r="CVC21" s="55"/>
      <c r="CVD21" s="55"/>
      <c r="CVE21" s="55"/>
      <c r="CVF21" s="55"/>
      <c r="CVG21" s="55"/>
      <c r="CVH21" s="55"/>
      <c r="CVI21" s="55"/>
      <c r="CVJ21" s="55"/>
      <c r="CVK21" s="55"/>
      <c r="CVL21" s="55"/>
      <c r="CVM21" s="55"/>
      <c r="CVN21" s="55"/>
      <c r="CVO21" s="55"/>
      <c r="CVP21" s="55"/>
      <c r="CVQ21" s="55"/>
      <c r="CVR21" s="55"/>
      <c r="CVS21" s="55"/>
      <c r="CVT21" s="55"/>
      <c r="CVU21" s="55"/>
      <c r="CVV21" s="55"/>
      <c r="CVW21" s="55"/>
      <c r="CVX21" s="55"/>
      <c r="CVY21" s="55"/>
      <c r="CVZ21" s="55"/>
      <c r="CWA21" s="55"/>
      <c r="CWB21" s="55"/>
      <c r="CWC21" s="55"/>
      <c r="CWD21" s="55"/>
      <c r="CWE21" s="55"/>
      <c r="CWF21" s="55"/>
      <c r="CWG21" s="55"/>
      <c r="CWH21" s="55"/>
      <c r="CWI21" s="55"/>
      <c r="CWJ21" s="55"/>
      <c r="CWK21" s="55"/>
      <c r="CWL21" s="55"/>
      <c r="CWM21" s="55"/>
      <c r="CWN21" s="55"/>
      <c r="CWO21" s="55"/>
      <c r="CWP21" s="55"/>
      <c r="CWQ21" s="55"/>
      <c r="CWR21" s="55"/>
      <c r="CWS21" s="55"/>
      <c r="CWT21" s="55"/>
      <c r="CWU21" s="55"/>
      <c r="CWV21" s="55"/>
      <c r="CWW21" s="55"/>
      <c r="CWX21" s="55"/>
      <c r="CWY21" s="55"/>
      <c r="CWZ21" s="55"/>
      <c r="CXA21" s="55"/>
      <c r="CXB21" s="55"/>
      <c r="CXC21" s="55"/>
      <c r="CXD21" s="55"/>
      <c r="CXE21" s="55"/>
      <c r="CXF21" s="55"/>
      <c r="CXG21" s="55"/>
      <c r="CXH21" s="55"/>
      <c r="CXI21" s="55"/>
      <c r="CXJ21" s="55"/>
      <c r="CXK21" s="55"/>
      <c r="CXL21" s="55"/>
      <c r="CXM21" s="55"/>
      <c r="CXN21" s="55"/>
      <c r="CXO21" s="55"/>
      <c r="CXP21" s="55"/>
      <c r="CXQ21" s="55"/>
      <c r="CXR21" s="55"/>
      <c r="CXS21" s="55"/>
      <c r="CXT21" s="55"/>
      <c r="CXU21" s="55"/>
      <c r="CXV21" s="55"/>
      <c r="CXW21" s="55"/>
      <c r="CXX21" s="55"/>
      <c r="CXY21" s="55"/>
      <c r="CXZ21" s="55"/>
      <c r="CYA21" s="55"/>
      <c r="CYB21" s="55"/>
      <c r="CYC21" s="55"/>
      <c r="CYD21" s="55"/>
      <c r="CYE21" s="55"/>
      <c r="CYF21" s="55"/>
      <c r="CYG21" s="55"/>
      <c r="CYH21" s="55"/>
      <c r="CYI21" s="55"/>
      <c r="CYJ21" s="55"/>
      <c r="CYK21" s="55"/>
      <c r="CYL21" s="55"/>
      <c r="CYM21" s="55"/>
      <c r="CYN21" s="55"/>
      <c r="CYO21" s="55"/>
      <c r="CYP21" s="55"/>
      <c r="CYQ21" s="55"/>
      <c r="CYR21" s="55"/>
      <c r="CYS21" s="55"/>
      <c r="CYT21" s="55"/>
      <c r="CYU21" s="55"/>
      <c r="CYV21" s="55"/>
      <c r="CYW21" s="55"/>
      <c r="CYX21" s="55"/>
      <c r="CYY21" s="55"/>
      <c r="CYZ21" s="55"/>
      <c r="CZA21" s="55"/>
      <c r="CZB21" s="55"/>
      <c r="CZC21" s="55"/>
      <c r="CZD21" s="55"/>
      <c r="CZE21" s="55"/>
      <c r="CZF21" s="55"/>
      <c r="CZG21" s="55"/>
      <c r="CZH21" s="55"/>
      <c r="CZI21" s="55"/>
      <c r="CZJ21" s="55"/>
      <c r="CZK21" s="55"/>
      <c r="CZL21" s="55"/>
      <c r="CZM21" s="55"/>
      <c r="CZN21" s="55"/>
      <c r="CZO21" s="55"/>
      <c r="CZP21" s="55"/>
      <c r="CZQ21" s="55"/>
      <c r="CZR21" s="55"/>
      <c r="CZS21" s="55"/>
      <c r="CZT21" s="55"/>
      <c r="CZU21" s="55"/>
      <c r="CZV21" s="55"/>
      <c r="CZW21" s="55"/>
      <c r="CZX21" s="55"/>
      <c r="CZY21" s="55"/>
      <c r="CZZ21" s="55"/>
      <c r="DAA21" s="55"/>
      <c r="DAB21" s="55"/>
      <c r="DAC21" s="55"/>
      <c r="DAD21" s="55"/>
      <c r="DAE21" s="55"/>
      <c r="DAF21" s="55"/>
      <c r="DAG21" s="55"/>
      <c r="DAH21" s="55"/>
      <c r="DAI21" s="55"/>
      <c r="DAJ21" s="55"/>
      <c r="DAK21" s="55"/>
      <c r="DAL21" s="55"/>
      <c r="DAM21" s="55"/>
      <c r="DAN21" s="55"/>
      <c r="DAO21" s="55"/>
      <c r="DAP21" s="55"/>
      <c r="DAQ21" s="55"/>
      <c r="DAR21" s="55"/>
      <c r="DAS21" s="55"/>
      <c r="DAT21" s="55"/>
      <c r="DAU21" s="55"/>
      <c r="DAV21" s="55"/>
      <c r="DAW21" s="55"/>
      <c r="DAX21" s="55"/>
      <c r="DAY21" s="55"/>
      <c r="DAZ21" s="55"/>
      <c r="DBA21" s="55"/>
      <c r="DBB21" s="55"/>
      <c r="DBC21" s="55"/>
      <c r="DBD21" s="55"/>
      <c r="DBE21" s="55"/>
      <c r="DBF21" s="55"/>
      <c r="DBG21" s="55"/>
      <c r="DBH21" s="55"/>
      <c r="DBI21" s="55"/>
      <c r="DBJ21" s="55"/>
      <c r="DBK21" s="55"/>
      <c r="DBL21" s="55"/>
      <c r="DBM21" s="55"/>
      <c r="DBN21" s="55"/>
      <c r="DBO21" s="55"/>
      <c r="DBP21" s="55"/>
      <c r="DBQ21" s="55"/>
      <c r="DBR21" s="55"/>
      <c r="DBS21" s="55"/>
      <c r="DBT21" s="55"/>
      <c r="DBU21" s="55"/>
      <c r="DBV21" s="55"/>
      <c r="DBW21" s="55"/>
      <c r="DBX21" s="55"/>
      <c r="DBY21" s="55"/>
      <c r="DBZ21" s="55"/>
      <c r="DCA21" s="55"/>
      <c r="DCB21" s="55"/>
      <c r="DCC21" s="55"/>
      <c r="DCD21" s="55"/>
      <c r="DCE21" s="55"/>
      <c r="DCF21" s="55"/>
      <c r="DCG21" s="55"/>
      <c r="DCH21" s="55"/>
      <c r="DCI21" s="55"/>
      <c r="DCJ21" s="55"/>
      <c r="DCK21" s="55"/>
      <c r="DCL21" s="55"/>
      <c r="DCM21" s="55"/>
      <c r="DCN21" s="55"/>
      <c r="DCO21" s="55"/>
      <c r="DCP21" s="55"/>
      <c r="DCQ21" s="55"/>
      <c r="DCR21" s="55"/>
      <c r="DCS21" s="55"/>
      <c r="DCT21" s="55"/>
      <c r="DCU21" s="55"/>
      <c r="DCV21" s="55"/>
      <c r="DCW21" s="55"/>
      <c r="DCX21" s="55"/>
      <c r="DCY21" s="55"/>
      <c r="DCZ21" s="55"/>
      <c r="DDA21" s="55"/>
      <c r="DDB21" s="55"/>
      <c r="DDC21" s="55"/>
      <c r="DDD21" s="55"/>
      <c r="DDE21" s="55"/>
      <c r="DDF21" s="55"/>
      <c r="DDG21" s="55"/>
      <c r="DDH21" s="55"/>
      <c r="DDI21" s="55"/>
      <c r="DDJ21" s="55"/>
      <c r="DDK21" s="55"/>
      <c r="DDL21" s="55"/>
      <c r="DDM21" s="55"/>
      <c r="DDN21" s="55"/>
      <c r="DDO21" s="55"/>
      <c r="DDP21" s="55"/>
      <c r="DDQ21" s="55"/>
      <c r="DDR21" s="55"/>
      <c r="DDS21" s="55"/>
      <c r="DDT21" s="55"/>
      <c r="DDU21" s="55"/>
      <c r="DDV21" s="55"/>
      <c r="DDW21" s="55"/>
      <c r="DDX21" s="55"/>
      <c r="DDY21" s="55"/>
      <c r="DDZ21" s="55"/>
      <c r="DEA21" s="55"/>
      <c r="DEB21" s="55"/>
      <c r="DEC21" s="55"/>
      <c r="DED21" s="55"/>
      <c r="DEE21" s="55"/>
      <c r="DEF21" s="55"/>
      <c r="DEG21" s="55"/>
      <c r="DEH21" s="55"/>
      <c r="DEI21" s="55"/>
      <c r="DEJ21" s="55"/>
      <c r="DEK21" s="55"/>
      <c r="DEL21" s="55"/>
      <c r="DEM21" s="55"/>
      <c r="DEN21" s="55"/>
      <c r="DEO21" s="55"/>
      <c r="DEP21" s="55"/>
      <c r="DEQ21" s="55"/>
      <c r="DER21" s="55"/>
      <c r="DES21" s="55"/>
      <c r="DET21" s="55"/>
      <c r="DEU21" s="55"/>
      <c r="DEV21" s="55"/>
      <c r="DEW21" s="55"/>
      <c r="DEX21" s="55"/>
      <c r="DEY21" s="55"/>
      <c r="DEZ21" s="55"/>
      <c r="DFA21" s="55"/>
      <c r="DFB21" s="55"/>
      <c r="DFC21" s="55"/>
      <c r="DFD21" s="55"/>
      <c r="DFE21" s="55"/>
      <c r="DFF21" s="55"/>
      <c r="DFG21" s="55"/>
      <c r="DFH21" s="55"/>
      <c r="DFI21" s="55"/>
      <c r="DFJ21" s="55"/>
      <c r="DFK21" s="55"/>
      <c r="DFL21" s="55"/>
      <c r="DFM21" s="55"/>
      <c r="DFN21" s="55"/>
      <c r="DFO21" s="55"/>
      <c r="DFP21" s="55"/>
      <c r="DFQ21" s="55"/>
      <c r="DFR21" s="55"/>
      <c r="DFS21" s="55"/>
      <c r="DFT21" s="55"/>
      <c r="DFU21" s="55"/>
      <c r="DFV21" s="55"/>
      <c r="DFW21" s="55"/>
      <c r="DFX21" s="55"/>
      <c r="DFY21" s="55"/>
      <c r="DFZ21" s="55"/>
      <c r="DGA21" s="55"/>
      <c r="DGB21" s="55"/>
      <c r="DGC21" s="55"/>
      <c r="DGD21" s="55"/>
      <c r="DGE21" s="55"/>
      <c r="DGF21" s="55"/>
      <c r="DGG21" s="55"/>
      <c r="DGH21" s="55"/>
      <c r="DGI21" s="55"/>
      <c r="DGJ21" s="55"/>
      <c r="DGK21" s="55"/>
      <c r="DGL21" s="55"/>
      <c r="DGM21" s="55"/>
      <c r="DGN21" s="55"/>
      <c r="DGO21" s="55"/>
      <c r="DGP21" s="55"/>
      <c r="DGQ21" s="55"/>
      <c r="DGR21" s="55"/>
      <c r="DGS21" s="55"/>
      <c r="DGT21" s="55"/>
      <c r="DGU21" s="55"/>
      <c r="DGV21" s="55"/>
      <c r="DGW21" s="55"/>
      <c r="DGX21" s="55"/>
      <c r="DGY21" s="55"/>
      <c r="DGZ21" s="55"/>
      <c r="DHA21" s="55"/>
      <c r="DHB21" s="55"/>
      <c r="DHC21" s="55"/>
      <c r="DHD21" s="55"/>
      <c r="DHE21" s="55"/>
      <c r="DHF21" s="55"/>
      <c r="DHG21" s="55"/>
      <c r="DHH21" s="55"/>
      <c r="DHI21" s="55"/>
      <c r="DHJ21" s="55"/>
      <c r="DHK21" s="55"/>
      <c r="DHL21" s="55"/>
      <c r="DHM21" s="55"/>
      <c r="DHN21" s="55"/>
      <c r="DHO21" s="55"/>
      <c r="DHP21" s="55"/>
      <c r="DHQ21" s="55"/>
      <c r="DHR21" s="55"/>
      <c r="DHS21" s="55"/>
      <c r="DHT21" s="55"/>
      <c r="DHU21" s="55"/>
      <c r="DHV21" s="55"/>
      <c r="DHW21" s="55"/>
      <c r="DHX21" s="55"/>
      <c r="DHY21" s="55"/>
      <c r="DHZ21" s="55"/>
      <c r="DIA21" s="55"/>
      <c r="DIB21" s="55"/>
      <c r="DIC21" s="55"/>
      <c r="DID21" s="55"/>
      <c r="DIE21" s="55"/>
      <c r="DIF21" s="55"/>
      <c r="DIG21" s="55"/>
      <c r="DIH21" s="55"/>
      <c r="DII21" s="55"/>
      <c r="DIJ21" s="55"/>
      <c r="DIK21" s="55"/>
      <c r="DIL21" s="55"/>
      <c r="DIM21" s="55"/>
      <c r="DIN21" s="55"/>
      <c r="DIO21" s="55"/>
      <c r="DIP21" s="55"/>
      <c r="DIQ21" s="55"/>
      <c r="DIR21" s="55"/>
      <c r="DIS21" s="55"/>
      <c r="DIT21" s="55"/>
      <c r="DIU21" s="55"/>
      <c r="DIV21" s="55"/>
      <c r="DIW21" s="55"/>
      <c r="DIX21" s="55"/>
      <c r="DIY21" s="55"/>
      <c r="DIZ21" s="55"/>
      <c r="DJA21" s="55"/>
      <c r="DJB21" s="55"/>
      <c r="DJC21" s="55"/>
      <c r="DJD21" s="55"/>
      <c r="DJE21" s="55"/>
      <c r="DJF21" s="55"/>
      <c r="DJG21" s="55"/>
      <c r="DJH21" s="55"/>
      <c r="DJI21" s="55"/>
      <c r="DJJ21" s="55"/>
      <c r="DJK21" s="55"/>
      <c r="DJL21" s="55"/>
      <c r="DJM21" s="55"/>
      <c r="DJN21" s="55"/>
      <c r="DJO21" s="55"/>
      <c r="DJP21" s="55"/>
      <c r="DJQ21" s="55"/>
      <c r="DJR21" s="55"/>
      <c r="DJS21" s="55"/>
      <c r="DJT21" s="55"/>
      <c r="DJU21" s="55"/>
      <c r="DJV21" s="55"/>
      <c r="DJW21" s="55"/>
      <c r="DJX21" s="55"/>
      <c r="DJY21" s="55"/>
      <c r="DJZ21" s="55"/>
      <c r="DKA21" s="55"/>
      <c r="DKB21" s="55"/>
      <c r="DKC21" s="55"/>
      <c r="DKD21" s="55"/>
      <c r="DKE21" s="55"/>
      <c r="DKF21" s="55"/>
      <c r="DKG21" s="55"/>
      <c r="DKH21" s="55"/>
      <c r="DKI21" s="55"/>
      <c r="DKJ21" s="55"/>
      <c r="DKK21" s="55"/>
      <c r="DKL21" s="55"/>
      <c r="DKM21" s="55"/>
      <c r="DKN21" s="55"/>
      <c r="DKO21" s="55"/>
      <c r="DKP21" s="55"/>
      <c r="DKQ21" s="55"/>
      <c r="DKR21" s="55"/>
      <c r="DKS21" s="55"/>
      <c r="DKT21" s="55"/>
      <c r="DKU21" s="55"/>
      <c r="DKV21" s="55"/>
      <c r="DKW21" s="55"/>
      <c r="DKX21" s="55"/>
      <c r="DKY21" s="55"/>
      <c r="DKZ21" s="55"/>
      <c r="DLA21" s="55"/>
      <c r="DLB21" s="55"/>
      <c r="DLC21" s="55"/>
      <c r="DLD21" s="55"/>
      <c r="DLE21" s="55"/>
      <c r="DLF21" s="55"/>
      <c r="DLG21" s="55"/>
      <c r="DLH21" s="55"/>
      <c r="DLI21" s="55"/>
      <c r="DLJ21" s="55"/>
      <c r="DLK21" s="55"/>
      <c r="DLL21" s="55"/>
      <c r="DLM21" s="55"/>
      <c r="DLN21" s="55"/>
      <c r="DLO21" s="55"/>
      <c r="DLP21" s="55"/>
      <c r="DLQ21" s="55"/>
      <c r="DLR21" s="55"/>
      <c r="DLS21" s="55"/>
      <c r="DLT21" s="55"/>
      <c r="DLU21" s="55"/>
      <c r="DLV21" s="55"/>
      <c r="DLW21" s="55"/>
      <c r="DLX21" s="55"/>
      <c r="DLY21" s="55"/>
      <c r="DLZ21" s="55"/>
      <c r="DMA21" s="55"/>
      <c r="DMB21" s="55"/>
      <c r="DMC21" s="55"/>
      <c r="DMD21" s="55"/>
      <c r="DME21" s="55"/>
      <c r="DMF21" s="55"/>
      <c r="DMG21" s="55"/>
      <c r="DMH21" s="55"/>
      <c r="DMI21" s="55"/>
      <c r="DMJ21" s="55"/>
      <c r="DMK21" s="55"/>
      <c r="DML21" s="55"/>
      <c r="DMM21" s="55"/>
      <c r="DMN21" s="55"/>
      <c r="DMO21" s="55"/>
      <c r="DMP21" s="55"/>
      <c r="DMQ21" s="55"/>
      <c r="DMR21" s="55"/>
      <c r="DMS21" s="55"/>
      <c r="DMT21" s="55"/>
      <c r="DMU21" s="55"/>
      <c r="DMV21" s="55"/>
      <c r="DMW21" s="55"/>
      <c r="DMX21" s="55"/>
      <c r="DMY21" s="55"/>
      <c r="DMZ21" s="55"/>
      <c r="DNA21" s="55"/>
      <c r="DNB21" s="55"/>
      <c r="DNC21" s="55"/>
      <c r="DND21" s="55"/>
      <c r="DNE21" s="55"/>
      <c r="DNF21" s="55"/>
      <c r="DNG21" s="55"/>
      <c r="DNH21" s="55"/>
      <c r="DNI21" s="55"/>
      <c r="DNJ21" s="55"/>
      <c r="DNK21" s="55"/>
      <c r="DNL21" s="55"/>
      <c r="DNM21" s="55"/>
      <c r="DNN21" s="55"/>
      <c r="DNO21" s="55"/>
      <c r="DNP21" s="55"/>
      <c r="DNQ21" s="55"/>
      <c r="DNR21" s="55"/>
      <c r="DNS21" s="55"/>
      <c r="DNT21" s="55"/>
      <c r="DNU21" s="55"/>
      <c r="DNV21" s="55"/>
      <c r="DNW21" s="55"/>
      <c r="DNX21" s="55"/>
      <c r="DNY21" s="55"/>
      <c r="DNZ21" s="55"/>
      <c r="DOA21" s="55"/>
      <c r="DOB21" s="55"/>
      <c r="DOC21" s="55"/>
      <c r="DOD21" s="55"/>
      <c r="DOE21" s="55"/>
      <c r="DOF21" s="55"/>
      <c r="DOG21" s="55"/>
      <c r="DOH21" s="55"/>
      <c r="DOI21" s="55"/>
      <c r="DOJ21" s="55"/>
      <c r="DOK21" s="55"/>
      <c r="DOL21" s="55"/>
      <c r="DOM21" s="55"/>
      <c r="DON21" s="55"/>
      <c r="DOO21" s="55"/>
      <c r="DOP21" s="55"/>
      <c r="DOQ21" s="55"/>
      <c r="DOR21" s="55"/>
      <c r="DOS21" s="55"/>
      <c r="DOT21" s="55"/>
      <c r="DOU21" s="55"/>
      <c r="DOV21" s="55"/>
      <c r="DOW21" s="55"/>
      <c r="DOX21" s="55"/>
      <c r="DOY21" s="55"/>
      <c r="DOZ21" s="55"/>
      <c r="DPA21" s="55"/>
      <c r="DPB21" s="55"/>
      <c r="DPC21" s="55"/>
      <c r="DPD21" s="55"/>
      <c r="DPE21" s="55"/>
      <c r="DPF21" s="55"/>
      <c r="DPG21" s="55"/>
      <c r="DPH21" s="55"/>
      <c r="DPI21" s="55"/>
      <c r="DPJ21" s="55"/>
      <c r="DPK21" s="55"/>
      <c r="DPL21" s="55"/>
      <c r="DPM21" s="55"/>
      <c r="DPN21" s="55"/>
      <c r="DPO21" s="55"/>
      <c r="DPP21" s="55"/>
      <c r="DPQ21" s="55"/>
      <c r="DPR21" s="55"/>
      <c r="DPS21" s="55"/>
      <c r="DPT21" s="55"/>
      <c r="DPU21" s="55"/>
      <c r="DPV21" s="55"/>
      <c r="DPW21" s="55"/>
      <c r="DPX21" s="55"/>
      <c r="DPY21" s="55"/>
      <c r="DPZ21" s="55"/>
      <c r="DQA21" s="55"/>
      <c r="DQB21" s="55"/>
      <c r="DQC21" s="55"/>
      <c r="DQD21" s="55"/>
      <c r="DQE21" s="55"/>
      <c r="DQF21" s="55"/>
      <c r="DQG21" s="55"/>
      <c r="DQH21" s="55"/>
      <c r="DQI21" s="55"/>
      <c r="DQJ21" s="55"/>
      <c r="DQK21" s="55"/>
      <c r="DQL21" s="55"/>
      <c r="DQM21" s="55"/>
      <c r="DQN21" s="55"/>
      <c r="DQO21" s="55"/>
      <c r="DQP21" s="55"/>
      <c r="DQQ21" s="55"/>
      <c r="DQR21" s="55"/>
      <c r="DQS21" s="55"/>
      <c r="DQT21" s="55"/>
      <c r="DQU21" s="55"/>
      <c r="DQV21" s="55"/>
      <c r="DQW21" s="55"/>
      <c r="DQX21" s="55"/>
      <c r="DQY21" s="55"/>
      <c r="DQZ21" s="55"/>
      <c r="DRA21" s="55"/>
      <c r="DRB21" s="55"/>
      <c r="DRC21" s="55"/>
      <c r="DRD21" s="55"/>
      <c r="DRE21" s="55"/>
      <c r="DRF21" s="55"/>
      <c r="DRG21" s="55"/>
      <c r="DRH21" s="55"/>
      <c r="DRI21" s="55"/>
      <c r="DRJ21" s="55"/>
      <c r="DRK21" s="55"/>
      <c r="DRL21" s="55"/>
      <c r="DRM21" s="55"/>
      <c r="DRN21" s="55"/>
      <c r="DRO21" s="55"/>
      <c r="DRP21" s="55"/>
      <c r="DRQ21" s="55"/>
      <c r="DRR21" s="55"/>
      <c r="DRS21" s="55"/>
      <c r="DRT21" s="55"/>
      <c r="DRU21" s="55"/>
      <c r="DRV21" s="55"/>
      <c r="DRW21" s="55"/>
      <c r="DRX21" s="55"/>
      <c r="DRY21" s="55"/>
      <c r="DRZ21" s="55"/>
      <c r="DSA21" s="55"/>
      <c r="DSB21" s="55"/>
      <c r="DSC21" s="55"/>
      <c r="DSD21" s="55"/>
      <c r="DSE21" s="55"/>
      <c r="DSF21" s="55"/>
      <c r="DSG21" s="55"/>
      <c r="DSH21" s="55"/>
      <c r="DSI21" s="55"/>
      <c r="DSJ21" s="55"/>
      <c r="DSK21" s="55"/>
      <c r="DSL21" s="55"/>
      <c r="DSM21" s="55"/>
      <c r="DSN21" s="55"/>
      <c r="DSO21" s="55"/>
      <c r="DSP21" s="55"/>
      <c r="DSQ21" s="55"/>
      <c r="DSR21" s="55"/>
      <c r="DSS21" s="55"/>
      <c r="DST21" s="55"/>
      <c r="DSU21" s="55"/>
      <c r="DSV21" s="55"/>
      <c r="DSW21" s="55"/>
      <c r="DSX21" s="55"/>
      <c r="DSY21" s="55"/>
      <c r="DSZ21" s="55"/>
      <c r="DTA21" s="55"/>
      <c r="DTB21" s="55"/>
      <c r="DTC21" s="55"/>
      <c r="DTD21" s="55"/>
      <c r="DTE21" s="55"/>
      <c r="DTF21" s="55"/>
      <c r="DTG21" s="55"/>
      <c r="DTH21" s="55"/>
      <c r="DTI21" s="55"/>
      <c r="DTJ21" s="55"/>
      <c r="DTK21" s="55"/>
      <c r="DTL21" s="55"/>
      <c r="DTM21" s="55"/>
      <c r="DTN21" s="55"/>
      <c r="DTO21" s="55"/>
      <c r="DTP21" s="55"/>
      <c r="DTQ21" s="55"/>
      <c r="DTR21" s="55"/>
      <c r="DTS21" s="55"/>
      <c r="DTT21" s="55"/>
      <c r="DTU21" s="55"/>
      <c r="DTV21" s="55"/>
      <c r="DTW21" s="55"/>
      <c r="DTX21" s="55"/>
      <c r="DTY21" s="55"/>
      <c r="DTZ21" s="55"/>
      <c r="DUA21" s="55"/>
      <c r="DUB21" s="55"/>
      <c r="DUC21" s="55"/>
      <c r="DUD21" s="55"/>
      <c r="DUE21" s="55"/>
      <c r="DUF21" s="55"/>
      <c r="DUG21" s="55"/>
      <c r="DUH21" s="55"/>
      <c r="DUI21" s="55"/>
      <c r="DUJ21" s="55"/>
      <c r="DUK21" s="55"/>
      <c r="DUL21" s="55"/>
      <c r="DUM21" s="55"/>
      <c r="DUN21" s="55"/>
      <c r="DUO21" s="55"/>
      <c r="DUP21" s="55"/>
      <c r="DUQ21" s="55"/>
      <c r="DUR21" s="55"/>
      <c r="DUS21" s="55"/>
      <c r="DUT21" s="55"/>
      <c r="DUU21" s="55"/>
      <c r="DUV21" s="55"/>
      <c r="DUW21" s="55"/>
      <c r="DUX21" s="55"/>
      <c r="DUY21" s="55"/>
      <c r="DUZ21" s="55"/>
      <c r="DVA21" s="55"/>
      <c r="DVB21" s="55"/>
      <c r="DVC21" s="55"/>
      <c r="DVD21" s="55"/>
      <c r="DVE21" s="55"/>
      <c r="DVF21" s="55"/>
      <c r="DVG21" s="55"/>
      <c r="DVH21" s="55"/>
      <c r="DVI21" s="55"/>
      <c r="DVJ21" s="55"/>
      <c r="DVK21" s="55"/>
      <c r="DVL21" s="55"/>
      <c r="DVM21" s="55"/>
      <c r="DVN21" s="55"/>
      <c r="DVO21" s="55"/>
      <c r="DVP21" s="55"/>
      <c r="DVQ21" s="55"/>
      <c r="DVR21" s="55"/>
      <c r="DVS21" s="55"/>
      <c r="DVT21" s="55"/>
      <c r="DVU21" s="55"/>
      <c r="DVV21" s="55"/>
      <c r="DVW21" s="55"/>
      <c r="DVX21" s="55"/>
      <c r="DVY21" s="55"/>
      <c r="DVZ21" s="55"/>
      <c r="DWA21" s="55"/>
      <c r="DWB21" s="55"/>
      <c r="DWC21" s="55"/>
      <c r="DWD21" s="55"/>
      <c r="DWE21" s="55"/>
      <c r="DWF21" s="55"/>
      <c r="DWG21" s="55"/>
      <c r="DWH21" s="55"/>
      <c r="DWI21" s="55"/>
      <c r="DWJ21" s="55"/>
      <c r="DWK21" s="55"/>
      <c r="DWL21" s="55"/>
      <c r="DWM21" s="55"/>
      <c r="DWN21" s="55"/>
      <c r="DWO21" s="55"/>
      <c r="DWP21" s="55"/>
      <c r="DWQ21" s="55"/>
      <c r="DWR21" s="55"/>
      <c r="DWS21" s="55"/>
      <c r="DWT21" s="55"/>
      <c r="DWU21" s="55"/>
      <c r="DWV21" s="55"/>
      <c r="DWW21" s="55"/>
      <c r="DWX21" s="55"/>
      <c r="DWY21" s="55"/>
      <c r="DWZ21" s="55"/>
      <c r="DXA21" s="55"/>
      <c r="DXB21" s="55"/>
      <c r="DXC21" s="55"/>
      <c r="DXD21" s="55"/>
      <c r="DXE21" s="55"/>
      <c r="DXF21" s="55"/>
      <c r="DXG21" s="55"/>
      <c r="DXH21" s="55"/>
      <c r="DXI21" s="55"/>
      <c r="DXJ21" s="55"/>
      <c r="DXK21" s="55"/>
      <c r="DXL21" s="55"/>
      <c r="DXM21" s="55"/>
      <c r="DXN21" s="55"/>
      <c r="DXO21" s="55"/>
      <c r="DXP21" s="55"/>
      <c r="DXQ21" s="55"/>
      <c r="DXR21" s="55"/>
      <c r="DXS21" s="55"/>
      <c r="DXT21" s="55"/>
      <c r="DXU21" s="55"/>
      <c r="DXV21" s="55"/>
      <c r="DXW21" s="55"/>
      <c r="DXX21" s="55"/>
      <c r="DXY21" s="55"/>
      <c r="DXZ21" s="55"/>
      <c r="DYA21" s="55"/>
      <c r="DYB21" s="55"/>
      <c r="DYC21" s="55"/>
      <c r="DYD21" s="55"/>
      <c r="DYE21" s="55"/>
      <c r="DYF21" s="55"/>
      <c r="DYG21" s="55"/>
      <c r="DYH21" s="55"/>
      <c r="DYI21" s="55"/>
      <c r="DYJ21" s="55"/>
      <c r="DYK21" s="55"/>
      <c r="DYL21" s="55"/>
      <c r="DYM21" s="55"/>
      <c r="DYN21" s="55"/>
      <c r="DYO21" s="55"/>
      <c r="DYP21" s="55"/>
      <c r="DYQ21" s="55"/>
      <c r="DYR21" s="55"/>
      <c r="DYS21" s="55"/>
      <c r="DYT21" s="55"/>
      <c r="DYU21" s="55"/>
      <c r="DYV21" s="55"/>
      <c r="DYW21" s="55"/>
      <c r="DYX21" s="55"/>
      <c r="DYY21" s="55"/>
      <c r="DYZ21" s="55"/>
      <c r="DZA21" s="55"/>
      <c r="DZB21" s="55"/>
      <c r="DZC21" s="55"/>
      <c r="DZD21" s="55"/>
      <c r="DZE21" s="55"/>
      <c r="DZF21" s="55"/>
      <c r="DZG21" s="55"/>
      <c r="DZH21" s="55"/>
      <c r="DZI21" s="55"/>
      <c r="DZJ21" s="55"/>
      <c r="DZK21" s="55"/>
      <c r="DZL21" s="55"/>
      <c r="DZM21" s="55"/>
      <c r="DZN21" s="55"/>
      <c r="DZO21" s="55"/>
      <c r="DZP21" s="55"/>
      <c r="DZQ21" s="55"/>
      <c r="DZR21" s="55"/>
      <c r="DZS21" s="55"/>
      <c r="DZT21" s="55"/>
      <c r="DZU21" s="55"/>
      <c r="DZV21" s="55"/>
      <c r="DZW21" s="55"/>
      <c r="DZX21" s="55"/>
      <c r="DZY21" s="55"/>
      <c r="DZZ21" s="55"/>
      <c r="EAA21" s="55"/>
      <c r="EAB21" s="55"/>
      <c r="EAC21" s="55"/>
      <c r="EAD21" s="55"/>
      <c r="EAE21" s="55"/>
      <c r="EAF21" s="55"/>
      <c r="EAG21" s="55"/>
      <c r="EAH21" s="55"/>
      <c r="EAI21" s="55"/>
      <c r="EAJ21" s="55"/>
      <c r="EAK21" s="55"/>
      <c r="EAL21" s="55"/>
      <c r="EAM21" s="55"/>
      <c r="EAN21" s="55"/>
      <c r="EAO21" s="55"/>
      <c r="EAP21" s="55"/>
      <c r="EAQ21" s="55"/>
      <c r="EAR21" s="55"/>
      <c r="EAS21" s="55"/>
      <c r="EAT21" s="55"/>
      <c r="EAU21" s="55"/>
      <c r="EAV21" s="55"/>
      <c r="EAW21" s="55"/>
      <c r="EAX21" s="55"/>
      <c r="EAY21" s="55"/>
      <c r="EAZ21" s="55"/>
      <c r="EBA21" s="55"/>
      <c r="EBB21" s="55"/>
      <c r="EBC21" s="55"/>
      <c r="EBD21" s="55"/>
      <c r="EBE21" s="55"/>
      <c r="EBF21" s="55"/>
      <c r="EBG21" s="55"/>
      <c r="EBH21" s="55"/>
      <c r="EBI21" s="55"/>
      <c r="EBJ21" s="55"/>
      <c r="EBK21" s="55"/>
      <c r="EBL21" s="55"/>
      <c r="EBM21" s="55"/>
      <c r="EBN21" s="55"/>
      <c r="EBO21" s="55"/>
      <c r="EBP21" s="55"/>
      <c r="EBQ21" s="55"/>
      <c r="EBR21" s="55"/>
      <c r="EBS21" s="55"/>
      <c r="EBT21" s="55"/>
      <c r="EBU21" s="55"/>
      <c r="EBV21" s="55"/>
      <c r="EBW21" s="55"/>
      <c r="EBX21" s="55"/>
      <c r="EBY21" s="55"/>
      <c r="EBZ21" s="55"/>
      <c r="ECA21" s="55"/>
      <c r="ECB21" s="55"/>
      <c r="ECC21" s="55"/>
      <c r="ECD21" s="55"/>
      <c r="ECE21" s="55"/>
      <c r="ECF21" s="55"/>
      <c r="ECG21" s="55"/>
      <c r="ECH21" s="55"/>
      <c r="ECI21" s="55"/>
      <c r="ECJ21" s="55"/>
      <c r="ECK21" s="55"/>
      <c r="ECL21" s="55"/>
      <c r="ECM21" s="55"/>
      <c r="ECN21" s="55"/>
      <c r="ECO21" s="55"/>
      <c r="ECP21" s="55"/>
      <c r="ECQ21" s="55"/>
      <c r="ECR21" s="55"/>
      <c r="ECS21" s="55"/>
      <c r="ECT21" s="55"/>
      <c r="ECU21" s="55"/>
      <c r="ECV21" s="55"/>
      <c r="ECW21" s="55"/>
      <c r="ECX21" s="55"/>
      <c r="ECY21" s="55"/>
      <c r="ECZ21" s="55"/>
      <c r="EDA21" s="55"/>
      <c r="EDB21" s="55"/>
      <c r="EDC21" s="55"/>
      <c r="EDD21" s="55"/>
      <c r="EDE21" s="55"/>
      <c r="EDF21" s="55"/>
      <c r="EDG21" s="55"/>
      <c r="EDH21" s="55"/>
      <c r="EDI21" s="55"/>
      <c r="EDJ21" s="55"/>
      <c r="EDK21" s="55"/>
      <c r="EDL21" s="55"/>
      <c r="EDM21" s="55"/>
      <c r="EDN21" s="55"/>
      <c r="EDO21" s="55"/>
      <c r="EDP21" s="55"/>
      <c r="EDQ21" s="55"/>
      <c r="EDR21" s="55"/>
      <c r="EDS21" s="55"/>
      <c r="EDT21" s="55"/>
      <c r="EDU21" s="55"/>
      <c r="EDV21" s="55"/>
      <c r="EDW21" s="55"/>
      <c r="EDX21" s="55"/>
      <c r="EDY21" s="55"/>
      <c r="EDZ21" s="55"/>
      <c r="EEA21" s="55"/>
      <c r="EEB21" s="55"/>
      <c r="EEC21" s="55"/>
      <c r="EED21" s="55"/>
      <c r="EEE21" s="55"/>
      <c r="EEF21" s="55"/>
      <c r="EEG21" s="55"/>
      <c r="EEH21" s="55"/>
      <c r="EEI21" s="55"/>
      <c r="EEJ21" s="55"/>
      <c r="EEK21" s="55"/>
      <c r="EEL21" s="55"/>
      <c r="EEM21" s="55"/>
      <c r="EEN21" s="55"/>
      <c r="EEO21" s="55"/>
      <c r="EEP21" s="55"/>
      <c r="EEQ21" s="55"/>
      <c r="EER21" s="55"/>
      <c r="EES21" s="55"/>
      <c r="EET21" s="55"/>
      <c r="EEU21" s="55"/>
      <c r="EEV21" s="55"/>
      <c r="EEW21" s="55"/>
      <c r="EEX21" s="55"/>
      <c r="EEY21" s="55"/>
      <c r="EEZ21" s="55"/>
      <c r="EFA21" s="55"/>
      <c r="EFB21" s="55"/>
      <c r="EFC21" s="55"/>
      <c r="EFD21" s="55"/>
      <c r="EFE21" s="55"/>
      <c r="EFF21" s="55"/>
      <c r="EFG21" s="55"/>
      <c r="EFH21" s="55"/>
      <c r="EFI21" s="55"/>
      <c r="EFJ21" s="55"/>
      <c r="EFK21" s="55"/>
      <c r="EFL21" s="55"/>
      <c r="EFM21" s="55"/>
      <c r="EFN21" s="55"/>
      <c r="EFO21" s="55"/>
      <c r="EFP21" s="55"/>
      <c r="EFQ21" s="55"/>
      <c r="EFR21" s="55"/>
      <c r="EFS21" s="55"/>
      <c r="EFT21" s="55"/>
      <c r="EFU21" s="55"/>
      <c r="EFV21" s="55"/>
      <c r="EFW21" s="55"/>
      <c r="EFX21" s="55"/>
      <c r="EFY21" s="55"/>
      <c r="EFZ21" s="55"/>
      <c r="EGA21" s="55"/>
      <c r="EGB21" s="55"/>
      <c r="EGC21" s="55"/>
      <c r="EGD21" s="55"/>
      <c r="EGE21" s="55"/>
      <c r="EGF21" s="55"/>
      <c r="EGG21" s="55"/>
      <c r="EGH21" s="55"/>
      <c r="EGI21" s="55"/>
      <c r="EGJ21" s="55"/>
      <c r="EGK21" s="55"/>
      <c r="EGL21" s="55"/>
      <c r="EGM21" s="55"/>
      <c r="EGN21" s="55"/>
      <c r="EGO21" s="55"/>
      <c r="EGP21" s="55"/>
      <c r="EGQ21" s="55"/>
      <c r="EGR21" s="55"/>
      <c r="EGS21" s="55"/>
      <c r="EGT21" s="55"/>
      <c r="EGU21" s="55"/>
      <c r="EGV21" s="55"/>
      <c r="EGW21" s="55"/>
      <c r="EGX21" s="55"/>
      <c r="EGY21" s="55"/>
      <c r="EGZ21" s="55"/>
      <c r="EHA21" s="55"/>
      <c r="EHB21" s="55"/>
      <c r="EHC21" s="55"/>
      <c r="EHD21" s="55"/>
      <c r="EHE21" s="55"/>
      <c r="EHF21" s="55"/>
      <c r="EHG21" s="55"/>
      <c r="EHH21" s="55"/>
      <c r="EHI21" s="55"/>
      <c r="EHJ21" s="55"/>
      <c r="EHK21" s="55"/>
      <c r="EHL21" s="55"/>
      <c r="EHM21" s="55"/>
      <c r="EHN21" s="55"/>
      <c r="EHO21" s="55"/>
      <c r="EHP21" s="55"/>
      <c r="EHQ21" s="55"/>
      <c r="EHR21" s="55"/>
      <c r="EHS21" s="55"/>
      <c r="EHT21" s="55"/>
      <c r="EHU21" s="55"/>
      <c r="EHV21" s="55"/>
      <c r="EHW21" s="55"/>
      <c r="EHX21" s="55"/>
      <c r="EHY21" s="55"/>
      <c r="EHZ21" s="55"/>
      <c r="EIA21" s="55"/>
      <c r="EIB21" s="55"/>
      <c r="EIC21" s="55"/>
      <c r="EID21" s="55"/>
      <c r="EIE21" s="55"/>
      <c r="EIF21" s="55"/>
      <c r="EIG21" s="55"/>
      <c r="EIH21" s="55"/>
      <c r="EII21" s="55"/>
      <c r="EIJ21" s="55"/>
      <c r="EIK21" s="55"/>
      <c r="EIL21" s="55"/>
      <c r="EIM21" s="55"/>
      <c r="EIN21" s="55"/>
      <c r="EIO21" s="55"/>
      <c r="EIP21" s="55"/>
      <c r="EIQ21" s="55"/>
      <c r="EIR21" s="55"/>
      <c r="EIS21" s="55"/>
      <c r="EIT21" s="55"/>
      <c r="EIU21" s="55"/>
      <c r="EIV21" s="55"/>
      <c r="EIW21" s="55"/>
      <c r="EIX21" s="55"/>
      <c r="EIY21" s="55"/>
      <c r="EIZ21" s="55"/>
      <c r="EJA21" s="55"/>
      <c r="EJB21" s="55"/>
      <c r="EJC21" s="55"/>
      <c r="EJD21" s="55"/>
      <c r="EJE21" s="55"/>
      <c r="EJF21" s="55"/>
      <c r="EJG21" s="55"/>
      <c r="EJH21" s="55"/>
      <c r="EJI21" s="55"/>
      <c r="EJJ21" s="55"/>
      <c r="EJK21" s="55"/>
      <c r="EJL21" s="55"/>
      <c r="EJM21" s="55"/>
      <c r="EJN21" s="55"/>
      <c r="EJO21" s="55"/>
      <c r="EJP21" s="55"/>
      <c r="EJQ21" s="55"/>
      <c r="EJR21" s="55"/>
      <c r="EJS21" s="55"/>
      <c r="EJT21" s="55"/>
      <c r="EJU21" s="55"/>
      <c r="EJV21" s="55"/>
      <c r="EJW21" s="55"/>
      <c r="EJX21" s="55"/>
      <c r="EJY21" s="55"/>
      <c r="EJZ21" s="55"/>
      <c r="EKA21" s="55"/>
      <c r="EKB21" s="55"/>
      <c r="EKC21" s="55"/>
      <c r="EKD21" s="55"/>
      <c r="EKE21" s="55"/>
      <c r="EKF21" s="55"/>
      <c r="EKG21" s="55"/>
      <c r="EKH21" s="55"/>
      <c r="EKI21" s="55"/>
      <c r="EKJ21" s="55"/>
      <c r="EKK21" s="55"/>
      <c r="EKL21" s="55"/>
      <c r="EKM21" s="55"/>
      <c r="EKN21" s="55"/>
      <c r="EKO21" s="55"/>
      <c r="EKP21" s="55"/>
      <c r="EKQ21" s="55"/>
      <c r="EKR21" s="55"/>
      <c r="EKS21" s="55"/>
      <c r="EKT21" s="55"/>
      <c r="EKU21" s="55"/>
      <c r="EKV21" s="55"/>
      <c r="EKW21" s="55"/>
      <c r="EKX21" s="55"/>
      <c r="EKY21" s="55"/>
      <c r="EKZ21" s="55"/>
      <c r="ELA21" s="55"/>
      <c r="ELB21" s="55"/>
      <c r="ELC21" s="55"/>
      <c r="ELD21" s="55"/>
      <c r="ELE21" s="55"/>
      <c r="ELF21" s="55"/>
      <c r="ELG21" s="55"/>
      <c r="ELH21" s="55"/>
      <c r="ELI21" s="55"/>
      <c r="ELJ21" s="55"/>
      <c r="ELK21" s="55"/>
      <c r="ELL21" s="55"/>
      <c r="ELM21" s="55"/>
      <c r="ELN21" s="55"/>
      <c r="ELO21" s="55"/>
      <c r="ELP21" s="55"/>
      <c r="ELQ21" s="55"/>
      <c r="ELR21" s="55"/>
      <c r="ELS21" s="55"/>
      <c r="ELT21" s="55"/>
      <c r="ELU21" s="55"/>
      <c r="ELV21" s="55"/>
      <c r="ELW21" s="55"/>
      <c r="ELX21" s="55"/>
      <c r="ELY21" s="55"/>
      <c r="ELZ21" s="55"/>
      <c r="EMA21" s="55"/>
      <c r="EMB21" s="55"/>
      <c r="EMC21" s="55"/>
      <c r="EMD21" s="55"/>
      <c r="EME21" s="55"/>
      <c r="EMF21" s="55"/>
      <c r="EMG21" s="55"/>
      <c r="EMH21" s="55"/>
      <c r="EMI21" s="55"/>
      <c r="EMJ21" s="55"/>
      <c r="EMK21" s="55"/>
      <c r="EML21" s="55"/>
      <c r="EMM21" s="55"/>
      <c r="EMN21" s="55"/>
      <c r="EMO21" s="55"/>
      <c r="EMP21" s="55"/>
      <c r="EMQ21" s="55"/>
      <c r="EMR21" s="55"/>
      <c r="EMS21" s="55"/>
      <c r="EMT21" s="55"/>
      <c r="EMU21" s="55"/>
      <c r="EMV21" s="55"/>
      <c r="EMW21" s="55"/>
      <c r="EMX21" s="55"/>
      <c r="EMY21" s="55"/>
      <c r="EMZ21" s="55"/>
      <c r="ENA21" s="55"/>
      <c r="ENB21" s="55"/>
      <c r="ENC21" s="55"/>
      <c r="END21" s="55"/>
      <c r="ENE21" s="55"/>
      <c r="ENF21" s="55"/>
      <c r="ENG21" s="55"/>
      <c r="ENH21" s="55"/>
      <c r="ENI21" s="55"/>
      <c r="ENJ21" s="55"/>
      <c r="ENK21" s="55"/>
      <c r="ENL21" s="55"/>
      <c r="ENM21" s="55"/>
      <c r="ENN21" s="55"/>
      <c r="ENO21" s="55"/>
      <c r="ENP21" s="55"/>
      <c r="ENQ21" s="55"/>
      <c r="ENR21" s="55"/>
      <c r="ENS21" s="55"/>
      <c r="ENT21" s="55"/>
      <c r="ENU21" s="55"/>
      <c r="ENV21" s="55"/>
      <c r="ENW21" s="55"/>
      <c r="ENX21" s="55"/>
      <c r="ENY21" s="55"/>
      <c r="ENZ21" s="55"/>
      <c r="EOA21" s="55"/>
      <c r="EOB21" s="55"/>
      <c r="EOC21" s="55"/>
      <c r="EOD21" s="55"/>
      <c r="EOE21" s="55"/>
      <c r="EOF21" s="55"/>
      <c r="EOG21" s="55"/>
      <c r="EOH21" s="55"/>
      <c r="EOI21" s="55"/>
      <c r="EOJ21" s="55"/>
      <c r="EOK21" s="55"/>
      <c r="EOL21" s="55"/>
      <c r="EOM21" s="55"/>
      <c r="EON21" s="55"/>
      <c r="EOO21" s="55"/>
      <c r="EOP21" s="55"/>
      <c r="EOQ21" s="55"/>
      <c r="EOR21" s="55"/>
      <c r="EOS21" s="55"/>
      <c r="EOT21" s="55"/>
      <c r="EOU21" s="55"/>
      <c r="EOV21" s="55"/>
      <c r="EOW21" s="55"/>
      <c r="EOX21" s="55"/>
      <c r="EOY21" s="55"/>
      <c r="EOZ21" s="55"/>
      <c r="EPA21" s="55"/>
      <c r="EPB21" s="55"/>
      <c r="EPC21" s="55"/>
      <c r="EPD21" s="55"/>
      <c r="EPE21" s="55"/>
      <c r="EPF21" s="55"/>
      <c r="EPG21" s="55"/>
      <c r="EPH21" s="55"/>
      <c r="EPI21" s="55"/>
      <c r="EPJ21" s="55"/>
      <c r="EPK21" s="55"/>
      <c r="EPL21" s="55"/>
      <c r="EPM21" s="55"/>
      <c r="EPN21" s="55"/>
      <c r="EPO21" s="55"/>
      <c r="EPP21" s="55"/>
      <c r="EPQ21" s="55"/>
      <c r="EPR21" s="55"/>
      <c r="EPS21" s="55"/>
      <c r="EPT21" s="55"/>
      <c r="EPU21" s="55"/>
      <c r="EPV21" s="55"/>
      <c r="EPW21" s="55"/>
      <c r="EPX21" s="55"/>
      <c r="EPY21" s="55"/>
      <c r="EPZ21" s="55"/>
      <c r="EQA21" s="55"/>
      <c r="EQB21" s="55"/>
      <c r="EQC21" s="55"/>
      <c r="EQD21" s="55"/>
      <c r="EQE21" s="55"/>
      <c r="EQF21" s="55"/>
      <c r="EQG21" s="55"/>
      <c r="EQH21" s="55"/>
      <c r="EQI21" s="55"/>
      <c r="EQJ21" s="55"/>
      <c r="EQK21" s="55"/>
      <c r="EQL21" s="55"/>
      <c r="EQM21" s="55"/>
      <c r="EQN21" s="55"/>
      <c r="EQO21" s="55"/>
      <c r="EQP21" s="55"/>
      <c r="EQQ21" s="55"/>
      <c r="EQR21" s="55"/>
      <c r="EQS21" s="55"/>
      <c r="EQT21" s="55"/>
      <c r="EQU21" s="55"/>
      <c r="EQV21" s="55"/>
      <c r="EQW21" s="55"/>
      <c r="EQX21" s="55"/>
      <c r="EQY21" s="55"/>
      <c r="EQZ21" s="55"/>
      <c r="ERA21" s="55"/>
      <c r="ERB21" s="55"/>
      <c r="ERC21" s="55"/>
      <c r="ERD21" s="55"/>
      <c r="ERE21" s="55"/>
      <c r="ERF21" s="55"/>
      <c r="ERG21" s="55"/>
      <c r="ERH21" s="55"/>
      <c r="ERI21" s="55"/>
      <c r="ERJ21" s="55"/>
      <c r="ERK21" s="55"/>
      <c r="ERL21" s="55"/>
      <c r="ERM21" s="55"/>
      <c r="ERN21" s="55"/>
      <c r="ERO21" s="55"/>
      <c r="ERP21" s="55"/>
      <c r="ERQ21" s="55"/>
      <c r="ERR21" s="55"/>
      <c r="ERS21" s="55"/>
      <c r="ERT21" s="55"/>
      <c r="ERU21" s="55"/>
      <c r="ERV21" s="55"/>
      <c r="ERW21" s="55"/>
      <c r="ERX21" s="55"/>
      <c r="ERY21" s="55"/>
      <c r="ERZ21" s="55"/>
      <c r="ESA21" s="55"/>
      <c r="ESB21" s="55"/>
      <c r="ESC21" s="55"/>
      <c r="ESD21" s="55"/>
      <c r="ESE21" s="55"/>
      <c r="ESF21" s="55"/>
      <c r="ESG21" s="55"/>
      <c r="ESH21" s="55"/>
      <c r="ESI21" s="55"/>
      <c r="ESJ21" s="55"/>
      <c r="ESK21" s="55"/>
      <c r="ESL21" s="55"/>
      <c r="ESM21" s="55"/>
      <c r="ESN21" s="55"/>
      <c r="ESO21" s="55"/>
      <c r="ESP21" s="55"/>
      <c r="ESQ21" s="55"/>
      <c r="ESR21" s="55"/>
      <c r="ESS21" s="55"/>
      <c r="EST21" s="55"/>
      <c r="ESU21" s="55"/>
      <c r="ESV21" s="55"/>
      <c r="ESW21" s="55"/>
      <c r="ESX21" s="55"/>
      <c r="ESY21" s="55"/>
      <c r="ESZ21" s="55"/>
      <c r="ETA21" s="55"/>
      <c r="ETB21" s="55"/>
      <c r="ETC21" s="55"/>
      <c r="ETD21" s="55"/>
      <c r="ETE21" s="55"/>
      <c r="ETF21" s="55"/>
      <c r="ETG21" s="55"/>
      <c r="ETH21" s="55"/>
      <c r="ETI21" s="55"/>
      <c r="ETJ21" s="55"/>
      <c r="ETK21" s="55"/>
      <c r="ETL21" s="55"/>
      <c r="ETM21" s="55"/>
      <c r="ETN21" s="55"/>
      <c r="ETO21" s="55"/>
      <c r="ETP21" s="55"/>
      <c r="ETQ21" s="55"/>
      <c r="ETR21" s="55"/>
      <c r="ETS21" s="55"/>
      <c r="ETT21" s="55"/>
      <c r="ETU21" s="55"/>
      <c r="ETV21" s="55"/>
      <c r="ETW21" s="55"/>
      <c r="ETX21" s="55"/>
      <c r="ETY21" s="55"/>
      <c r="ETZ21" s="55"/>
      <c r="EUA21" s="55"/>
      <c r="EUB21" s="55"/>
      <c r="EUC21" s="55"/>
      <c r="EUD21" s="55"/>
      <c r="EUE21" s="55"/>
      <c r="EUF21" s="55"/>
      <c r="EUG21" s="55"/>
      <c r="EUH21" s="55"/>
      <c r="EUI21" s="55"/>
      <c r="EUJ21" s="55"/>
      <c r="EUK21" s="55"/>
      <c r="EUL21" s="55"/>
      <c r="EUM21" s="55"/>
      <c r="EUN21" s="55"/>
      <c r="EUO21" s="55"/>
      <c r="EUP21" s="55"/>
      <c r="EUQ21" s="55"/>
      <c r="EUR21" s="55"/>
      <c r="EUS21" s="55"/>
      <c r="EUT21" s="55"/>
      <c r="EUU21" s="55"/>
      <c r="EUV21" s="55"/>
      <c r="EUW21" s="55"/>
      <c r="EUX21" s="55"/>
      <c r="EUY21" s="55"/>
      <c r="EUZ21" s="55"/>
      <c r="EVA21" s="55"/>
      <c r="EVB21" s="55"/>
      <c r="EVC21" s="55"/>
      <c r="EVD21" s="55"/>
      <c r="EVE21" s="55"/>
      <c r="EVF21" s="55"/>
      <c r="EVG21" s="55"/>
      <c r="EVH21" s="55"/>
      <c r="EVI21" s="55"/>
      <c r="EVJ21" s="55"/>
      <c r="EVK21" s="55"/>
      <c r="EVL21" s="55"/>
      <c r="EVM21" s="55"/>
      <c r="EVN21" s="55"/>
      <c r="EVO21" s="55"/>
      <c r="EVP21" s="55"/>
      <c r="EVQ21" s="55"/>
      <c r="EVR21" s="55"/>
      <c r="EVS21" s="55"/>
      <c r="EVT21" s="55"/>
      <c r="EVU21" s="55"/>
      <c r="EVV21" s="55"/>
      <c r="EVW21" s="55"/>
      <c r="EVX21" s="55"/>
      <c r="EVY21" s="55"/>
      <c r="EVZ21" s="55"/>
      <c r="EWA21" s="55"/>
      <c r="EWB21" s="55"/>
      <c r="EWC21" s="55"/>
      <c r="EWD21" s="55"/>
      <c r="EWE21" s="55"/>
      <c r="EWF21" s="55"/>
      <c r="EWG21" s="55"/>
      <c r="EWH21" s="55"/>
      <c r="EWI21" s="55"/>
      <c r="EWJ21" s="55"/>
      <c r="EWK21" s="55"/>
      <c r="EWL21" s="55"/>
      <c r="EWM21" s="55"/>
      <c r="EWN21" s="55"/>
      <c r="EWO21" s="55"/>
      <c r="EWP21" s="55"/>
      <c r="EWQ21" s="55"/>
      <c r="EWR21" s="55"/>
      <c r="EWS21" s="55"/>
      <c r="EWT21" s="55"/>
      <c r="EWU21" s="55"/>
      <c r="EWV21" s="55"/>
      <c r="EWW21" s="55"/>
      <c r="EWX21" s="55"/>
      <c r="EWY21" s="55"/>
      <c r="EWZ21" s="55"/>
      <c r="EXA21" s="55"/>
      <c r="EXB21" s="55"/>
      <c r="EXC21" s="55"/>
      <c r="EXD21" s="55"/>
      <c r="EXE21" s="55"/>
      <c r="EXF21" s="55"/>
      <c r="EXG21" s="55"/>
      <c r="EXH21" s="55"/>
      <c r="EXI21" s="55"/>
      <c r="EXJ21" s="55"/>
      <c r="EXK21" s="55"/>
      <c r="EXL21" s="55"/>
      <c r="EXM21" s="55"/>
      <c r="EXN21" s="55"/>
      <c r="EXO21" s="55"/>
      <c r="EXP21" s="55"/>
      <c r="EXQ21" s="55"/>
      <c r="EXR21" s="55"/>
      <c r="EXS21" s="55"/>
      <c r="EXT21" s="55"/>
      <c r="EXU21" s="55"/>
      <c r="EXV21" s="55"/>
      <c r="EXW21" s="55"/>
      <c r="EXX21" s="55"/>
      <c r="EXY21" s="55"/>
      <c r="EXZ21" s="55"/>
      <c r="EYA21" s="55"/>
      <c r="EYB21" s="55"/>
      <c r="EYC21" s="55"/>
      <c r="EYD21" s="55"/>
      <c r="EYE21" s="55"/>
      <c r="EYF21" s="55"/>
      <c r="EYG21" s="55"/>
      <c r="EYH21" s="55"/>
      <c r="EYI21" s="55"/>
      <c r="EYJ21" s="55"/>
      <c r="EYK21" s="55"/>
      <c r="EYL21" s="55"/>
      <c r="EYM21" s="55"/>
      <c r="EYN21" s="55"/>
      <c r="EYO21" s="55"/>
      <c r="EYP21" s="55"/>
      <c r="EYQ21" s="55"/>
      <c r="EYR21" s="55"/>
      <c r="EYS21" s="55"/>
      <c r="EYT21" s="55"/>
      <c r="EYU21" s="55"/>
      <c r="EYV21" s="55"/>
      <c r="EYW21" s="55"/>
      <c r="EYX21" s="55"/>
      <c r="EYY21" s="55"/>
      <c r="EYZ21" s="55"/>
      <c r="EZA21" s="55"/>
      <c r="EZB21" s="55"/>
      <c r="EZC21" s="55"/>
      <c r="EZD21" s="55"/>
      <c r="EZE21" s="55"/>
      <c r="EZF21" s="55"/>
      <c r="EZG21" s="55"/>
      <c r="EZH21" s="55"/>
      <c r="EZI21" s="55"/>
      <c r="EZJ21" s="55"/>
      <c r="EZK21" s="55"/>
      <c r="EZL21" s="55"/>
      <c r="EZM21" s="55"/>
      <c r="EZN21" s="55"/>
      <c r="EZO21" s="55"/>
      <c r="EZP21" s="55"/>
      <c r="EZQ21" s="55"/>
      <c r="EZR21" s="55"/>
      <c r="EZS21" s="55"/>
      <c r="EZT21" s="55"/>
      <c r="EZU21" s="55"/>
      <c r="EZV21" s="55"/>
      <c r="EZW21" s="55"/>
      <c r="EZX21" s="55"/>
      <c r="EZY21" s="55"/>
      <c r="EZZ21" s="55"/>
      <c r="FAA21" s="55"/>
      <c r="FAB21" s="55"/>
      <c r="FAC21" s="55"/>
      <c r="FAD21" s="55"/>
      <c r="FAE21" s="55"/>
      <c r="FAF21" s="55"/>
      <c r="FAG21" s="55"/>
      <c r="FAH21" s="55"/>
      <c r="FAI21" s="55"/>
      <c r="FAJ21" s="55"/>
      <c r="FAK21" s="55"/>
      <c r="FAL21" s="55"/>
      <c r="FAM21" s="55"/>
      <c r="FAN21" s="55"/>
      <c r="FAO21" s="55"/>
      <c r="FAP21" s="55"/>
      <c r="FAQ21" s="55"/>
      <c r="FAR21" s="55"/>
      <c r="FAS21" s="55"/>
      <c r="FAT21" s="55"/>
      <c r="FAU21" s="55"/>
      <c r="FAV21" s="55"/>
      <c r="FAW21" s="55"/>
      <c r="FAX21" s="55"/>
      <c r="FAY21" s="55"/>
      <c r="FAZ21" s="55"/>
      <c r="FBA21" s="55"/>
      <c r="FBB21" s="55"/>
      <c r="FBC21" s="55"/>
      <c r="FBD21" s="55"/>
      <c r="FBE21" s="55"/>
      <c r="FBF21" s="55"/>
      <c r="FBG21" s="55"/>
      <c r="FBH21" s="55"/>
      <c r="FBI21" s="55"/>
      <c r="FBJ21" s="55"/>
      <c r="FBK21" s="55"/>
      <c r="FBL21" s="55"/>
      <c r="FBM21" s="55"/>
      <c r="FBN21" s="55"/>
      <c r="FBO21" s="55"/>
      <c r="FBP21" s="55"/>
      <c r="FBQ21" s="55"/>
      <c r="FBR21" s="55"/>
      <c r="FBS21" s="55"/>
      <c r="FBT21" s="55"/>
      <c r="FBU21" s="55"/>
      <c r="FBV21" s="55"/>
      <c r="FBW21" s="55"/>
      <c r="FBX21" s="55"/>
      <c r="FBY21" s="55"/>
      <c r="FBZ21" s="55"/>
      <c r="FCA21" s="55"/>
      <c r="FCB21" s="55"/>
      <c r="FCC21" s="55"/>
      <c r="FCD21" s="55"/>
      <c r="FCE21" s="55"/>
      <c r="FCF21" s="55"/>
      <c r="FCG21" s="55"/>
      <c r="FCH21" s="55"/>
      <c r="FCI21" s="55"/>
      <c r="FCJ21" s="55"/>
      <c r="FCK21" s="55"/>
      <c r="FCL21" s="55"/>
      <c r="FCM21" s="55"/>
      <c r="FCN21" s="55"/>
      <c r="FCO21" s="55"/>
      <c r="FCP21" s="55"/>
      <c r="FCQ21" s="55"/>
      <c r="FCR21" s="55"/>
      <c r="FCS21" s="55"/>
      <c r="FCT21" s="55"/>
      <c r="FCU21" s="55"/>
      <c r="FCV21" s="55"/>
      <c r="FCW21" s="55"/>
      <c r="FCX21" s="55"/>
      <c r="FCY21" s="55"/>
      <c r="FCZ21" s="55"/>
      <c r="FDA21" s="55"/>
      <c r="FDB21" s="55"/>
      <c r="FDC21" s="55"/>
      <c r="FDD21" s="55"/>
      <c r="FDE21" s="55"/>
      <c r="FDF21" s="55"/>
      <c r="FDG21" s="55"/>
      <c r="FDH21" s="55"/>
      <c r="FDI21" s="55"/>
      <c r="FDJ21" s="55"/>
      <c r="FDK21" s="55"/>
      <c r="FDL21" s="55"/>
      <c r="FDM21" s="55"/>
      <c r="FDN21" s="55"/>
      <c r="FDO21" s="55"/>
      <c r="FDP21" s="55"/>
      <c r="FDQ21" s="55"/>
      <c r="FDR21" s="55"/>
      <c r="FDS21" s="55"/>
      <c r="FDT21" s="55"/>
      <c r="FDU21" s="55"/>
      <c r="FDV21" s="55"/>
      <c r="FDW21" s="55"/>
      <c r="FDX21" s="55"/>
      <c r="FDY21" s="55"/>
      <c r="FDZ21" s="55"/>
      <c r="FEA21" s="55"/>
      <c r="FEB21" s="55"/>
      <c r="FEC21" s="55"/>
      <c r="FED21" s="55"/>
      <c r="FEE21" s="55"/>
      <c r="FEF21" s="55"/>
      <c r="FEG21" s="55"/>
      <c r="FEH21" s="55"/>
      <c r="FEI21" s="55"/>
      <c r="FEJ21" s="55"/>
      <c r="FEK21" s="55"/>
      <c r="FEL21" s="55"/>
      <c r="FEM21" s="55"/>
      <c r="FEN21" s="55"/>
      <c r="FEO21" s="55"/>
      <c r="FEP21" s="55"/>
      <c r="FEQ21" s="55"/>
      <c r="FER21" s="55"/>
      <c r="FES21" s="55"/>
      <c r="FET21" s="55"/>
      <c r="FEU21" s="55"/>
      <c r="FEV21" s="55"/>
      <c r="FEW21" s="55"/>
      <c r="FEX21" s="55"/>
      <c r="FEY21" s="55"/>
      <c r="FEZ21" s="55"/>
      <c r="FFA21" s="55"/>
      <c r="FFB21" s="55"/>
      <c r="FFC21" s="55"/>
      <c r="FFD21" s="55"/>
      <c r="FFE21" s="55"/>
      <c r="FFF21" s="55"/>
      <c r="FFG21" s="55"/>
      <c r="FFH21" s="55"/>
      <c r="FFI21" s="55"/>
      <c r="FFJ21" s="55"/>
      <c r="FFK21" s="55"/>
      <c r="FFL21" s="55"/>
      <c r="FFM21" s="55"/>
      <c r="FFN21" s="55"/>
      <c r="FFO21" s="55"/>
      <c r="FFP21" s="55"/>
      <c r="FFQ21" s="55"/>
      <c r="FFR21" s="55"/>
      <c r="FFS21" s="55"/>
      <c r="FFT21" s="55"/>
      <c r="FFU21" s="55"/>
      <c r="FFV21" s="55"/>
      <c r="FFW21" s="55"/>
      <c r="FFX21" s="55"/>
      <c r="FFY21" s="55"/>
      <c r="FFZ21" s="55"/>
      <c r="FGA21" s="55"/>
      <c r="FGB21" s="55"/>
      <c r="FGC21" s="55"/>
      <c r="FGD21" s="55"/>
      <c r="FGE21" s="55"/>
      <c r="FGF21" s="55"/>
      <c r="FGG21" s="55"/>
      <c r="FGH21" s="55"/>
      <c r="FGI21" s="55"/>
      <c r="FGJ21" s="55"/>
      <c r="FGK21" s="55"/>
      <c r="FGL21" s="55"/>
      <c r="FGM21" s="55"/>
      <c r="FGN21" s="55"/>
      <c r="FGO21" s="55"/>
      <c r="FGP21" s="55"/>
      <c r="FGQ21" s="55"/>
      <c r="FGR21" s="55"/>
      <c r="FGS21" s="55"/>
      <c r="FGT21" s="55"/>
      <c r="FGU21" s="55"/>
      <c r="FGV21" s="55"/>
      <c r="FGW21" s="55"/>
      <c r="FGX21" s="55"/>
      <c r="FGY21" s="55"/>
      <c r="FGZ21" s="55"/>
      <c r="FHA21" s="55"/>
      <c r="FHB21" s="55"/>
      <c r="FHC21" s="55"/>
      <c r="FHD21" s="55"/>
      <c r="FHE21" s="55"/>
      <c r="FHF21" s="55"/>
      <c r="FHG21" s="55"/>
      <c r="FHH21" s="55"/>
      <c r="FHI21" s="55"/>
      <c r="FHJ21" s="55"/>
      <c r="FHK21" s="55"/>
      <c r="FHL21" s="55"/>
      <c r="FHM21" s="55"/>
      <c r="FHN21" s="55"/>
      <c r="FHO21" s="55"/>
      <c r="FHP21" s="55"/>
      <c r="FHQ21" s="55"/>
      <c r="FHR21" s="55"/>
      <c r="FHS21" s="55"/>
      <c r="FHT21" s="55"/>
      <c r="FHU21" s="55"/>
      <c r="FHV21" s="55"/>
      <c r="FHW21" s="55"/>
      <c r="FHX21" s="55"/>
      <c r="FHY21" s="55"/>
      <c r="FHZ21" s="55"/>
      <c r="FIA21" s="55"/>
      <c r="FIB21" s="55"/>
      <c r="FIC21" s="55"/>
      <c r="FID21" s="55"/>
      <c r="FIE21" s="55"/>
      <c r="FIF21" s="55"/>
      <c r="FIG21" s="55"/>
      <c r="FIH21" s="55"/>
      <c r="FII21" s="55"/>
      <c r="FIJ21" s="55"/>
      <c r="FIK21" s="55"/>
      <c r="FIL21" s="55"/>
      <c r="FIM21" s="55"/>
      <c r="FIN21" s="55"/>
      <c r="FIO21" s="55"/>
      <c r="FIP21" s="55"/>
      <c r="FIQ21" s="55"/>
      <c r="FIR21" s="55"/>
      <c r="FIS21" s="55"/>
      <c r="FIT21" s="55"/>
      <c r="FIU21" s="55"/>
      <c r="FIV21" s="55"/>
      <c r="FIW21" s="55"/>
      <c r="FIX21" s="55"/>
      <c r="FIY21" s="55"/>
      <c r="FIZ21" s="55"/>
      <c r="FJA21" s="55"/>
      <c r="FJB21" s="55"/>
      <c r="FJC21" s="55"/>
      <c r="FJD21" s="55"/>
      <c r="FJE21" s="55"/>
      <c r="FJF21" s="55"/>
      <c r="FJG21" s="55"/>
      <c r="FJH21" s="55"/>
      <c r="FJI21" s="55"/>
      <c r="FJJ21" s="55"/>
      <c r="FJK21" s="55"/>
      <c r="FJL21" s="55"/>
      <c r="FJM21" s="55"/>
      <c r="FJN21" s="55"/>
      <c r="FJO21" s="55"/>
      <c r="FJP21" s="55"/>
      <c r="FJQ21" s="55"/>
      <c r="FJR21" s="55"/>
      <c r="FJS21" s="55"/>
      <c r="FJT21" s="55"/>
      <c r="FJU21" s="55"/>
      <c r="FJV21" s="55"/>
      <c r="FJW21" s="55"/>
      <c r="FJX21" s="55"/>
      <c r="FJY21" s="55"/>
      <c r="FJZ21" s="55"/>
      <c r="FKA21" s="55"/>
      <c r="FKB21" s="55"/>
      <c r="FKC21" s="55"/>
      <c r="FKD21" s="55"/>
      <c r="FKE21" s="55"/>
      <c r="FKF21" s="55"/>
      <c r="FKG21" s="55"/>
      <c r="FKH21" s="55"/>
      <c r="FKI21" s="55"/>
      <c r="FKJ21" s="55"/>
      <c r="FKK21" s="55"/>
      <c r="FKL21" s="55"/>
      <c r="FKM21" s="55"/>
      <c r="FKN21" s="55"/>
      <c r="FKO21" s="55"/>
      <c r="FKP21" s="55"/>
      <c r="FKQ21" s="55"/>
      <c r="FKR21" s="55"/>
      <c r="FKS21" s="55"/>
      <c r="FKT21" s="55"/>
      <c r="FKU21" s="55"/>
      <c r="FKV21" s="55"/>
      <c r="FKW21" s="55"/>
      <c r="FKX21" s="55"/>
      <c r="FKY21" s="55"/>
      <c r="FKZ21" s="55"/>
      <c r="FLA21" s="55"/>
      <c r="FLB21" s="55"/>
      <c r="FLC21" s="55"/>
      <c r="FLD21" s="55"/>
      <c r="FLE21" s="55"/>
      <c r="FLF21" s="55"/>
      <c r="FLG21" s="55"/>
      <c r="FLH21" s="55"/>
      <c r="FLI21" s="55"/>
      <c r="FLJ21" s="55"/>
      <c r="FLK21" s="55"/>
      <c r="FLL21" s="55"/>
      <c r="FLM21" s="55"/>
      <c r="FLN21" s="55"/>
      <c r="FLO21" s="55"/>
      <c r="FLP21" s="55"/>
      <c r="FLQ21" s="55"/>
      <c r="FLR21" s="55"/>
      <c r="FLS21" s="55"/>
      <c r="FLT21" s="55"/>
      <c r="FLU21" s="55"/>
      <c r="FLV21" s="55"/>
      <c r="FLW21" s="55"/>
      <c r="FLX21" s="55"/>
      <c r="FLY21" s="55"/>
      <c r="FLZ21" s="55"/>
      <c r="FMA21" s="55"/>
      <c r="FMB21" s="55"/>
      <c r="FMC21" s="55"/>
      <c r="FMD21" s="55"/>
      <c r="FME21" s="55"/>
      <c r="FMF21" s="55"/>
      <c r="FMG21" s="55"/>
      <c r="FMH21" s="55"/>
      <c r="FMI21" s="55"/>
      <c r="FMJ21" s="55"/>
      <c r="FMK21" s="55"/>
      <c r="FML21" s="55"/>
      <c r="FMM21" s="55"/>
      <c r="FMN21" s="55"/>
      <c r="FMO21" s="55"/>
      <c r="FMP21" s="55"/>
      <c r="FMQ21" s="55"/>
      <c r="FMR21" s="55"/>
      <c r="FMS21" s="55"/>
      <c r="FMT21" s="55"/>
      <c r="FMU21" s="55"/>
      <c r="FMV21" s="55"/>
      <c r="FMW21" s="55"/>
      <c r="FMX21" s="55"/>
      <c r="FMY21" s="55"/>
      <c r="FMZ21" s="55"/>
      <c r="FNA21" s="55"/>
      <c r="FNB21" s="55"/>
      <c r="FNC21" s="55"/>
      <c r="FND21" s="55"/>
      <c r="FNE21" s="55"/>
      <c r="FNF21" s="55"/>
      <c r="FNG21" s="55"/>
      <c r="FNH21" s="55"/>
      <c r="FNI21" s="55"/>
      <c r="FNJ21" s="55"/>
      <c r="FNK21" s="55"/>
      <c r="FNL21" s="55"/>
      <c r="FNM21" s="55"/>
      <c r="FNN21" s="55"/>
      <c r="FNO21" s="55"/>
      <c r="FNP21" s="55"/>
      <c r="FNQ21" s="55"/>
      <c r="FNR21" s="55"/>
      <c r="FNS21" s="55"/>
      <c r="FNT21" s="55"/>
      <c r="FNU21" s="55"/>
      <c r="FNV21" s="55"/>
      <c r="FNW21" s="55"/>
      <c r="FNX21" s="55"/>
      <c r="FNY21" s="55"/>
      <c r="FNZ21" s="55"/>
      <c r="FOA21" s="55"/>
      <c r="FOB21" s="55"/>
      <c r="FOC21" s="55"/>
      <c r="FOD21" s="55"/>
      <c r="FOE21" s="55"/>
      <c r="FOF21" s="55"/>
      <c r="FOG21" s="55"/>
      <c r="FOH21" s="55"/>
      <c r="FOI21" s="55"/>
      <c r="FOJ21" s="55"/>
      <c r="FOK21" s="55"/>
      <c r="FOL21" s="55"/>
      <c r="FOM21" s="55"/>
      <c r="FON21" s="55"/>
      <c r="FOO21" s="55"/>
      <c r="FOP21" s="55"/>
      <c r="FOQ21" s="55"/>
      <c r="FOR21" s="55"/>
      <c r="FOS21" s="55"/>
      <c r="FOT21" s="55"/>
      <c r="FOU21" s="55"/>
      <c r="FOV21" s="55"/>
      <c r="FOW21" s="55"/>
      <c r="FOX21" s="55"/>
      <c r="FOY21" s="55"/>
      <c r="FOZ21" s="55"/>
      <c r="FPA21" s="55"/>
      <c r="FPB21" s="55"/>
      <c r="FPC21" s="55"/>
      <c r="FPD21" s="55"/>
      <c r="FPE21" s="55"/>
      <c r="FPF21" s="55"/>
      <c r="FPG21" s="55"/>
      <c r="FPH21" s="55"/>
      <c r="FPI21" s="55"/>
      <c r="FPJ21" s="55"/>
      <c r="FPK21" s="55"/>
      <c r="FPL21" s="55"/>
      <c r="FPM21" s="55"/>
      <c r="FPN21" s="55"/>
      <c r="FPO21" s="55"/>
      <c r="FPP21" s="55"/>
      <c r="FPQ21" s="55"/>
      <c r="FPR21" s="55"/>
      <c r="FPS21" s="55"/>
      <c r="FPT21" s="55"/>
      <c r="FPU21" s="55"/>
      <c r="FPV21" s="55"/>
      <c r="FPW21" s="55"/>
      <c r="FPX21" s="55"/>
      <c r="FPY21" s="55"/>
      <c r="FPZ21" s="55"/>
      <c r="FQA21" s="55"/>
      <c r="FQB21" s="55"/>
      <c r="FQC21" s="55"/>
      <c r="FQD21" s="55"/>
      <c r="FQE21" s="55"/>
      <c r="FQF21" s="55"/>
      <c r="FQG21" s="55"/>
      <c r="FQH21" s="55"/>
      <c r="FQI21" s="55"/>
      <c r="FQJ21" s="55"/>
      <c r="FQK21" s="55"/>
      <c r="FQL21" s="55"/>
      <c r="FQM21" s="55"/>
      <c r="FQN21" s="55"/>
      <c r="FQO21" s="55"/>
      <c r="FQP21" s="55"/>
      <c r="FQQ21" s="55"/>
      <c r="FQR21" s="55"/>
      <c r="FQS21" s="55"/>
      <c r="FQT21" s="55"/>
      <c r="FQU21" s="55"/>
      <c r="FQV21" s="55"/>
      <c r="FQW21" s="55"/>
      <c r="FQX21" s="55"/>
      <c r="FQY21" s="55"/>
      <c r="FQZ21" s="55"/>
      <c r="FRA21" s="55"/>
      <c r="FRB21" s="55"/>
      <c r="FRC21" s="55"/>
      <c r="FRD21" s="55"/>
      <c r="FRE21" s="55"/>
      <c r="FRF21" s="55"/>
      <c r="FRG21" s="55"/>
      <c r="FRH21" s="55"/>
      <c r="FRI21" s="55"/>
      <c r="FRJ21" s="55"/>
      <c r="FRK21" s="55"/>
      <c r="FRL21" s="55"/>
      <c r="FRM21" s="55"/>
      <c r="FRN21" s="55"/>
      <c r="FRO21" s="55"/>
      <c r="FRP21" s="55"/>
      <c r="FRQ21" s="55"/>
      <c r="FRR21" s="55"/>
      <c r="FRS21" s="55"/>
      <c r="FRT21" s="55"/>
      <c r="FRU21" s="55"/>
      <c r="FRV21" s="55"/>
      <c r="FRW21" s="55"/>
      <c r="FRX21" s="55"/>
      <c r="FRY21" s="55"/>
      <c r="FRZ21" s="55"/>
      <c r="FSA21" s="55"/>
      <c r="FSB21" s="55"/>
      <c r="FSC21" s="55"/>
      <c r="FSD21" s="55"/>
      <c r="FSE21" s="55"/>
      <c r="FSF21" s="55"/>
      <c r="FSG21" s="55"/>
      <c r="FSH21" s="55"/>
      <c r="FSI21" s="55"/>
      <c r="FSJ21" s="55"/>
      <c r="FSK21" s="55"/>
      <c r="FSL21" s="55"/>
      <c r="FSM21" s="55"/>
      <c r="FSN21" s="55"/>
      <c r="FSO21" s="55"/>
      <c r="FSP21" s="55"/>
      <c r="FSQ21" s="55"/>
      <c r="FSR21" s="55"/>
      <c r="FSS21" s="55"/>
      <c r="FST21" s="55"/>
      <c r="FSU21" s="55"/>
      <c r="FSV21" s="55"/>
      <c r="FSW21" s="55"/>
      <c r="FSX21" s="55"/>
      <c r="FSY21" s="55"/>
      <c r="FSZ21" s="55"/>
      <c r="FTA21" s="55"/>
      <c r="FTB21" s="55"/>
      <c r="FTC21" s="55"/>
      <c r="FTD21" s="55"/>
      <c r="FTE21" s="55"/>
      <c r="FTF21" s="55"/>
      <c r="FTG21" s="55"/>
      <c r="FTH21" s="55"/>
      <c r="FTI21" s="55"/>
      <c r="FTJ21" s="55"/>
      <c r="FTK21" s="55"/>
      <c r="FTL21" s="55"/>
      <c r="FTM21" s="55"/>
      <c r="FTN21" s="55"/>
      <c r="FTO21" s="55"/>
      <c r="FTP21" s="55"/>
      <c r="FTQ21" s="55"/>
      <c r="FTR21" s="55"/>
      <c r="FTS21" s="55"/>
      <c r="FTT21" s="55"/>
      <c r="FTU21" s="55"/>
      <c r="FTV21" s="55"/>
      <c r="FTW21" s="55"/>
      <c r="FTX21" s="55"/>
      <c r="FTY21" s="55"/>
      <c r="FTZ21" s="55"/>
      <c r="FUA21" s="55"/>
      <c r="FUB21" s="55"/>
      <c r="FUC21" s="55"/>
      <c r="FUD21" s="55"/>
      <c r="FUE21" s="55"/>
      <c r="FUF21" s="55"/>
      <c r="FUG21" s="55"/>
      <c r="FUH21" s="55"/>
      <c r="FUI21" s="55"/>
      <c r="FUJ21" s="55"/>
      <c r="FUK21" s="55"/>
      <c r="FUL21" s="55"/>
      <c r="FUM21" s="55"/>
      <c r="FUN21" s="55"/>
      <c r="FUO21" s="55"/>
      <c r="FUP21" s="55"/>
      <c r="FUQ21" s="55"/>
      <c r="FUR21" s="55"/>
      <c r="FUS21" s="55"/>
      <c r="FUT21" s="55"/>
      <c r="FUU21" s="55"/>
      <c r="FUV21" s="55"/>
      <c r="FUW21" s="55"/>
      <c r="FUX21" s="55"/>
      <c r="FUY21" s="55"/>
      <c r="FUZ21" s="55"/>
      <c r="FVA21" s="55"/>
      <c r="FVB21" s="55"/>
      <c r="FVC21" s="55"/>
      <c r="FVD21" s="55"/>
      <c r="FVE21" s="55"/>
      <c r="FVF21" s="55"/>
      <c r="FVG21" s="55"/>
      <c r="FVH21" s="55"/>
      <c r="FVI21" s="55"/>
      <c r="FVJ21" s="55"/>
      <c r="FVK21" s="55"/>
      <c r="FVL21" s="55"/>
      <c r="FVM21" s="55"/>
      <c r="FVN21" s="55"/>
      <c r="FVO21" s="55"/>
      <c r="FVP21" s="55"/>
      <c r="FVQ21" s="55"/>
      <c r="FVR21" s="55"/>
      <c r="FVS21" s="55"/>
      <c r="FVT21" s="55"/>
      <c r="FVU21" s="55"/>
      <c r="FVV21" s="55"/>
      <c r="FVW21" s="55"/>
      <c r="FVX21" s="55"/>
      <c r="FVY21" s="55"/>
      <c r="FVZ21" s="55"/>
      <c r="FWA21" s="55"/>
      <c r="FWB21" s="55"/>
      <c r="FWC21" s="55"/>
      <c r="FWD21" s="55"/>
      <c r="FWE21" s="55"/>
      <c r="FWF21" s="55"/>
      <c r="FWG21" s="55"/>
      <c r="FWH21" s="55"/>
      <c r="FWI21" s="55"/>
      <c r="FWJ21" s="55"/>
      <c r="FWK21" s="55"/>
      <c r="FWL21" s="55"/>
      <c r="FWM21" s="55"/>
      <c r="FWN21" s="55"/>
      <c r="FWO21" s="55"/>
      <c r="FWP21" s="55"/>
      <c r="FWQ21" s="55"/>
      <c r="FWR21" s="55"/>
      <c r="FWS21" s="55"/>
      <c r="FWT21" s="55"/>
      <c r="FWU21" s="55"/>
      <c r="FWV21" s="55"/>
      <c r="FWW21" s="55"/>
      <c r="FWX21" s="55"/>
      <c r="FWY21" s="55"/>
      <c r="FWZ21" s="55"/>
      <c r="FXA21" s="55"/>
      <c r="FXB21" s="55"/>
      <c r="FXC21" s="55"/>
      <c r="FXD21" s="55"/>
      <c r="FXE21" s="55"/>
      <c r="FXF21" s="55"/>
      <c r="FXG21" s="55"/>
      <c r="FXH21" s="55"/>
      <c r="FXI21" s="55"/>
      <c r="FXJ21" s="55"/>
      <c r="FXK21" s="55"/>
      <c r="FXL21" s="55"/>
      <c r="FXM21" s="55"/>
      <c r="FXN21" s="55"/>
      <c r="FXO21" s="55"/>
      <c r="FXP21" s="55"/>
      <c r="FXQ21" s="55"/>
      <c r="FXR21" s="55"/>
      <c r="FXS21" s="55"/>
      <c r="FXT21" s="55"/>
      <c r="FXU21" s="55"/>
      <c r="FXV21" s="55"/>
      <c r="FXW21" s="55"/>
      <c r="FXX21" s="55"/>
      <c r="FXY21" s="55"/>
      <c r="FXZ21" s="55"/>
      <c r="FYA21" s="55"/>
      <c r="FYB21" s="55"/>
      <c r="FYC21" s="55"/>
      <c r="FYD21" s="55"/>
      <c r="FYE21" s="55"/>
      <c r="FYF21" s="55"/>
      <c r="FYG21" s="55"/>
      <c r="FYH21" s="55"/>
      <c r="FYI21" s="55"/>
      <c r="FYJ21" s="55"/>
      <c r="FYK21" s="55"/>
      <c r="FYL21" s="55"/>
      <c r="FYM21" s="55"/>
      <c r="FYN21" s="55"/>
      <c r="FYO21" s="55"/>
      <c r="FYP21" s="55"/>
      <c r="FYQ21" s="55"/>
      <c r="FYR21" s="55"/>
      <c r="FYS21" s="55"/>
      <c r="FYT21" s="55"/>
      <c r="FYU21" s="55"/>
      <c r="FYV21" s="55"/>
      <c r="FYW21" s="55"/>
      <c r="FYX21" s="55"/>
      <c r="FYY21" s="55"/>
      <c r="FYZ21" s="55"/>
      <c r="FZA21" s="55"/>
      <c r="FZB21" s="55"/>
      <c r="FZC21" s="55"/>
      <c r="FZD21" s="55"/>
      <c r="FZE21" s="55"/>
      <c r="FZF21" s="55"/>
      <c r="FZG21" s="55"/>
      <c r="FZH21" s="55"/>
      <c r="FZI21" s="55"/>
      <c r="FZJ21" s="55"/>
      <c r="FZK21" s="55"/>
      <c r="FZL21" s="55"/>
      <c r="FZM21" s="55"/>
      <c r="FZN21" s="55"/>
      <c r="FZO21" s="55"/>
      <c r="FZP21" s="55"/>
      <c r="FZQ21" s="55"/>
      <c r="FZR21" s="55"/>
      <c r="FZS21" s="55"/>
      <c r="FZT21" s="55"/>
      <c r="FZU21" s="55"/>
      <c r="FZV21" s="55"/>
      <c r="FZW21" s="55"/>
      <c r="FZX21" s="55"/>
      <c r="FZY21" s="55"/>
      <c r="FZZ21" s="55"/>
      <c r="GAA21" s="55"/>
      <c r="GAB21" s="55"/>
      <c r="GAC21" s="55"/>
      <c r="GAD21" s="55"/>
      <c r="GAE21" s="55"/>
      <c r="GAF21" s="55"/>
      <c r="GAG21" s="55"/>
      <c r="GAH21" s="55"/>
      <c r="GAI21" s="55"/>
      <c r="GAJ21" s="55"/>
      <c r="GAK21" s="55"/>
      <c r="GAL21" s="55"/>
      <c r="GAM21" s="55"/>
      <c r="GAN21" s="55"/>
      <c r="GAO21" s="55"/>
      <c r="GAP21" s="55"/>
      <c r="GAQ21" s="55"/>
      <c r="GAR21" s="55"/>
      <c r="GAS21" s="55"/>
      <c r="GAT21" s="55"/>
      <c r="GAU21" s="55"/>
      <c r="GAV21" s="55"/>
      <c r="GAW21" s="55"/>
      <c r="GAX21" s="55"/>
      <c r="GAY21" s="55"/>
      <c r="GAZ21" s="55"/>
      <c r="GBA21" s="55"/>
      <c r="GBB21" s="55"/>
      <c r="GBC21" s="55"/>
      <c r="GBD21" s="55"/>
      <c r="GBE21" s="55"/>
      <c r="GBF21" s="55"/>
      <c r="GBG21" s="55"/>
      <c r="GBH21" s="55"/>
      <c r="GBI21" s="55"/>
      <c r="GBJ21" s="55"/>
      <c r="GBK21" s="55"/>
      <c r="GBL21" s="55"/>
      <c r="GBM21" s="55"/>
      <c r="GBN21" s="55"/>
      <c r="GBO21" s="55"/>
      <c r="GBP21" s="55"/>
      <c r="GBQ21" s="55"/>
      <c r="GBR21" s="55"/>
      <c r="GBS21" s="55"/>
      <c r="GBT21" s="55"/>
      <c r="GBU21" s="55"/>
      <c r="GBV21" s="55"/>
      <c r="GBW21" s="55"/>
      <c r="GBX21" s="55"/>
      <c r="GBY21" s="55"/>
      <c r="GBZ21" s="55"/>
      <c r="GCA21" s="55"/>
      <c r="GCB21" s="55"/>
      <c r="GCC21" s="55"/>
      <c r="GCD21" s="55"/>
      <c r="GCE21" s="55"/>
      <c r="GCF21" s="55"/>
      <c r="GCG21" s="55"/>
      <c r="GCH21" s="55"/>
      <c r="GCI21" s="55"/>
      <c r="GCJ21" s="55"/>
      <c r="GCK21" s="55"/>
      <c r="GCL21" s="55"/>
      <c r="GCM21" s="55"/>
      <c r="GCN21" s="55"/>
      <c r="GCO21" s="55"/>
      <c r="GCP21" s="55"/>
      <c r="GCQ21" s="55"/>
      <c r="GCR21" s="55"/>
      <c r="GCS21" s="55"/>
      <c r="GCT21" s="55"/>
      <c r="GCU21" s="55"/>
      <c r="GCV21" s="55"/>
      <c r="GCW21" s="55"/>
      <c r="GCX21" s="55"/>
      <c r="GCY21" s="55"/>
      <c r="GCZ21" s="55"/>
      <c r="GDA21" s="55"/>
      <c r="GDB21" s="55"/>
      <c r="GDC21" s="55"/>
      <c r="GDD21" s="55"/>
      <c r="GDE21" s="55"/>
      <c r="GDF21" s="55"/>
      <c r="GDG21" s="55"/>
      <c r="GDH21" s="55"/>
      <c r="GDI21" s="55"/>
      <c r="GDJ21" s="55"/>
      <c r="GDK21" s="55"/>
      <c r="GDL21" s="55"/>
      <c r="GDM21" s="55"/>
      <c r="GDN21" s="55"/>
      <c r="GDO21" s="55"/>
      <c r="GDP21" s="55"/>
      <c r="GDQ21" s="55"/>
      <c r="GDR21" s="55"/>
      <c r="GDS21" s="55"/>
      <c r="GDT21" s="55"/>
      <c r="GDU21" s="55"/>
      <c r="GDV21" s="55"/>
      <c r="GDW21" s="55"/>
      <c r="GDX21" s="55"/>
      <c r="GDY21" s="55"/>
      <c r="GDZ21" s="55"/>
      <c r="GEA21" s="55"/>
      <c r="GEB21" s="55"/>
      <c r="GEC21" s="55"/>
      <c r="GED21" s="55"/>
      <c r="GEE21" s="55"/>
      <c r="GEF21" s="55"/>
      <c r="GEG21" s="55"/>
      <c r="GEH21" s="55"/>
      <c r="GEI21" s="55"/>
      <c r="GEJ21" s="55"/>
      <c r="GEK21" s="55"/>
      <c r="GEL21" s="55"/>
      <c r="GEM21" s="55"/>
      <c r="GEN21" s="55"/>
      <c r="GEO21" s="55"/>
      <c r="GEP21" s="55"/>
      <c r="GEQ21" s="55"/>
      <c r="GER21" s="55"/>
      <c r="GES21" s="55"/>
      <c r="GET21" s="55"/>
      <c r="GEU21" s="55"/>
      <c r="GEV21" s="55"/>
      <c r="GEW21" s="55"/>
      <c r="GEX21" s="55"/>
      <c r="GEY21" s="55"/>
      <c r="GEZ21" s="55"/>
      <c r="GFA21" s="55"/>
      <c r="GFB21" s="55"/>
      <c r="GFC21" s="55"/>
      <c r="GFD21" s="55"/>
      <c r="GFE21" s="55"/>
      <c r="GFF21" s="55"/>
      <c r="GFG21" s="55"/>
      <c r="GFH21" s="55"/>
      <c r="GFI21" s="55"/>
      <c r="GFJ21" s="55"/>
      <c r="GFK21" s="55"/>
      <c r="GFL21" s="55"/>
      <c r="GFM21" s="55"/>
      <c r="GFN21" s="55"/>
      <c r="GFO21" s="55"/>
      <c r="GFP21" s="55"/>
      <c r="GFQ21" s="55"/>
      <c r="GFR21" s="55"/>
      <c r="GFS21" s="55"/>
      <c r="GFT21" s="55"/>
      <c r="GFU21" s="55"/>
      <c r="GFV21" s="55"/>
      <c r="GFW21" s="55"/>
      <c r="GFX21" s="55"/>
      <c r="GFY21" s="55"/>
      <c r="GFZ21" s="55"/>
      <c r="GGA21" s="55"/>
      <c r="GGB21" s="55"/>
      <c r="GGC21" s="55"/>
      <c r="GGD21" s="55"/>
      <c r="GGE21" s="55"/>
      <c r="GGF21" s="55"/>
      <c r="GGG21" s="55"/>
      <c r="GGH21" s="55"/>
      <c r="GGI21" s="55"/>
      <c r="GGJ21" s="55"/>
      <c r="GGK21" s="55"/>
      <c r="GGL21" s="55"/>
      <c r="GGM21" s="55"/>
      <c r="GGN21" s="55"/>
      <c r="GGO21" s="55"/>
      <c r="GGP21" s="55"/>
      <c r="GGQ21" s="55"/>
      <c r="GGR21" s="55"/>
      <c r="GGS21" s="55"/>
      <c r="GGT21" s="55"/>
      <c r="GGU21" s="55"/>
      <c r="GGV21" s="55"/>
      <c r="GGW21" s="55"/>
      <c r="GGX21" s="55"/>
      <c r="GGY21" s="55"/>
      <c r="GGZ21" s="55"/>
      <c r="GHA21" s="55"/>
      <c r="GHB21" s="55"/>
      <c r="GHC21" s="55"/>
      <c r="GHD21" s="55"/>
      <c r="GHE21" s="55"/>
      <c r="GHF21" s="55"/>
      <c r="GHG21" s="55"/>
      <c r="GHH21" s="55"/>
      <c r="GHI21" s="55"/>
      <c r="GHJ21" s="55"/>
      <c r="GHK21" s="55"/>
      <c r="GHL21" s="55"/>
      <c r="GHM21" s="55"/>
      <c r="GHN21" s="55"/>
      <c r="GHO21" s="55"/>
      <c r="GHP21" s="55"/>
      <c r="GHQ21" s="55"/>
      <c r="GHR21" s="55"/>
      <c r="GHS21" s="55"/>
      <c r="GHT21" s="55"/>
      <c r="GHU21" s="55"/>
      <c r="GHV21" s="55"/>
      <c r="GHW21" s="55"/>
      <c r="GHX21" s="55"/>
      <c r="GHY21" s="55"/>
      <c r="GHZ21" s="55"/>
      <c r="GIA21" s="55"/>
      <c r="GIB21" s="55"/>
      <c r="GIC21" s="55"/>
      <c r="GID21" s="55"/>
      <c r="GIE21" s="55"/>
      <c r="GIF21" s="55"/>
      <c r="GIG21" s="55"/>
      <c r="GIH21" s="55"/>
      <c r="GII21" s="55"/>
      <c r="GIJ21" s="55"/>
      <c r="GIK21" s="55"/>
      <c r="GIL21" s="55"/>
      <c r="GIM21" s="55"/>
      <c r="GIN21" s="55"/>
      <c r="GIO21" s="55"/>
      <c r="GIP21" s="55"/>
      <c r="GIQ21" s="55"/>
      <c r="GIR21" s="55"/>
      <c r="GIS21" s="55"/>
      <c r="GIT21" s="55"/>
      <c r="GIU21" s="55"/>
      <c r="GIV21" s="55"/>
      <c r="GIW21" s="55"/>
      <c r="GIX21" s="55"/>
      <c r="GIY21" s="55"/>
      <c r="GIZ21" s="55"/>
      <c r="GJA21" s="55"/>
      <c r="GJB21" s="55"/>
      <c r="GJC21" s="55"/>
      <c r="GJD21" s="55"/>
      <c r="GJE21" s="55"/>
      <c r="GJF21" s="55"/>
      <c r="GJG21" s="55"/>
      <c r="GJH21" s="55"/>
      <c r="GJI21" s="55"/>
      <c r="GJJ21" s="55"/>
      <c r="GJK21" s="55"/>
      <c r="GJL21" s="55"/>
      <c r="GJM21" s="55"/>
      <c r="GJN21" s="55"/>
      <c r="GJO21" s="55"/>
      <c r="GJP21" s="55"/>
      <c r="GJQ21" s="55"/>
      <c r="GJR21" s="55"/>
      <c r="GJS21" s="55"/>
      <c r="GJT21" s="55"/>
      <c r="GJU21" s="55"/>
      <c r="GJV21" s="55"/>
      <c r="GJW21" s="55"/>
      <c r="GJX21" s="55"/>
      <c r="GJY21" s="55"/>
      <c r="GJZ21" s="55"/>
      <c r="GKA21" s="55"/>
      <c r="GKB21" s="55"/>
      <c r="GKC21" s="55"/>
      <c r="GKD21" s="55"/>
      <c r="GKE21" s="55"/>
      <c r="GKF21" s="55"/>
      <c r="GKG21" s="55"/>
      <c r="GKH21" s="55"/>
      <c r="GKI21" s="55"/>
      <c r="GKJ21" s="55"/>
      <c r="GKK21" s="55"/>
      <c r="GKL21" s="55"/>
      <c r="GKM21" s="55"/>
      <c r="GKN21" s="55"/>
      <c r="GKO21" s="55"/>
      <c r="GKP21" s="55"/>
      <c r="GKQ21" s="55"/>
      <c r="GKR21" s="55"/>
      <c r="GKS21" s="55"/>
      <c r="GKT21" s="55"/>
      <c r="GKU21" s="55"/>
      <c r="GKV21" s="55"/>
      <c r="GKW21" s="55"/>
      <c r="GKX21" s="55"/>
      <c r="GKY21" s="55"/>
      <c r="GKZ21" s="55"/>
      <c r="GLA21" s="55"/>
      <c r="GLB21" s="55"/>
      <c r="GLC21" s="55"/>
      <c r="GLD21" s="55"/>
      <c r="GLE21" s="55"/>
      <c r="GLF21" s="55"/>
      <c r="GLG21" s="55"/>
      <c r="GLH21" s="55"/>
      <c r="GLI21" s="55"/>
      <c r="GLJ21" s="55"/>
      <c r="GLK21" s="55"/>
      <c r="GLL21" s="55"/>
      <c r="GLM21" s="55"/>
      <c r="GLN21" s="55"/>
      <c r="GLO21" s="55"/>
      <c r="GLP21" s="55"/>
      <c r="GLQ21" s="55"/>
      <c r="GLR21" s="55"/>
      <c r="GLS21" s="55"/>
      <c r="GLT21" s="55"/>
      <c r="GLU21" s="55"/>
      <c r="GLV21" s="55"/>
      <c r="GLW21" s="55"/>
      <c r="GLX21" s="55"/>
      <c r="GLY21" s="55"/>
      <c r="GLZ21" s="55"/>
      <c r="GMA21" s="55"/>
      <c r="GMB21" s="55"/>
      <c r="GMC21" s="55"/>
      <c r="GMD21" s="55"/>
      <c r="GME21" s="55"/>
      <c r="GMF21" s="55"/>
      <c r="GMG21" s="55"/>
      <c r="GMH21" s="55"/>
      <c r="GMI21" s="55"/>
      <c r="GMJ21" s="55"/>
      <c r="GMK21" s="55"/>
      <c r="GML21" s="55"/>
      <c r="GMM21" s="55"/>
      <c r="GMN21" s="55"/>
      <c r="GMO21" s="55"/>
      <c r="GMP21" s="55"/>
      <c r="GMQ21" s="55"/>
      <c r="GMR21" s="55"/>
      <c r="GMS21" s="55"/>
      <c r="GMT21" s="55"/>
      <c r="GMU21" s="55"/>
      <c r="GMV21" s="55"/>
      <c r="GMW21" s="55"/>
      <c r="GMX21" s="55"/>
      <c r="GMY21" s="55"/>
      <c r="GMZ21" s="55"/>
      <c r="GNA21" s="55"/>
      <c r="GNB21" s="55"/>
      <c r="GNC21" s="55"/>
      <c r="GND21" s="55"/>
      <c r="GNE21" s="55"/>
      <c r="GNF21" s="55"/>
      <c r="GNG21" s="55"/>
      <c r="GNH21" s="55"/>
      <c r="GNI21" s="55"/>
      <c r="GNJ21" s="55"/>
      <c r="GNK21" s="55"/>
      <c r="GNL21" s="55"/>
      <c r="GNM21" s="55"/>
      <c r="GNN21" s="55"/>
      <c r="GNO21" s="55"/>
      <c r="GNP21" s="55"/>
      <c r="GNQ21" s="55"/>
      <c r="GNR21" s="55"/>
      <c r="GNS21" s="55"/>
      <c r="GNT21" s="55"/>
      <c r="GNU21" s="55"/>
      <c r="GNV21" s="55"/>
      <c r="GNW21" s="55"/>
      <c r="GNX21" s="55"/>
      <c r="GNY21" s="55"/>
      <c r="GNZ21" s="55"/>
      <c r="GOA21" s="55"/>
      <c r="GOB21" s="55"/>
      <c r="GOC21" s="55"/>
      <c r="GOD21" s="55"/>
      <c r="GOE21" s="55"/>
      <c r="GOF21" s="55"/>
      <c r="GOG21" s="55"/>
      <c r="GOH21" s="55"/>
      <c r="GOI21" s="55"/>
      <c r="GOJ21" s="55"/>
      <c r="GOK21" s="55"/>
      <c r="GOL21" s="55"/>
      <c r="GOM21" s="55"/>
      <c r="GON21" s="55"/>
      <c r="GOO21" s="55"/>
      <c r="GOP21" s="55"/>
      <c r="GOQ21" s="55"/>
      <c r="GOR21" s="55"/>
      <c r="GOS21" s="55"/>
      <c r="GOT21" s="55"/>
      <c r="GOU21" s="55"/>
      <c r="GOV21" s="55"/>
      <c r="GOW21" s="55"/>
      <c r="GOX21" s="55"/>
      <c r="GOY21" s="55"/>
      <c r="GOZ21" s="55"/>
      <c r="GPA21" s="55"/>
      <c r="GPB21" s="55"/>
      <c r="GPC21" s="55"/>
      <c r="GPD21" s="55"/>
      <c r="GPE21" s="55"/>
      <c r="GPF21" s="55"/>
      <c r="GPG21" s="55"/>
      <c r="GPH21" s="55"/>
      <c r="GPI21" s="55"/>
      <c r="GPJ21" s="55"/>
      <c r="GPK21" s="55"/>
      <c r="GPL21" s="55"/>
      <c r="GPM21" s="55"/>
      <c r="GPN21" s="55"/>
      <c r="GPO21" s="55"/>
      <c r="GPP21" s="55"/>
      <c r="GPQ21" s="55"/>
      <c r="GPR21" s="55"/>
      <c r="GPS21" s="55"/>
      <c r="GPT21" s="55"/>
      <c r="GPU21" s="55"/>
      <c r="GPV21" s="55"/>
      <c r="GPW21" s="55"/>
      <c r="GPX21" s="55"/>
      <c r="GPY21" s="55"/>
      <c r="GPZ21" s="55"/>
      <c r="GQA21" s="55"/>
      <c r="GQB21" s="55"/>
      <c r="GQC21" s="55"/>
      <c r="GQD21" s="55"/>
      <c r="GQE21" s="55"/>
      <c r="GQF21" s="55"/>
      <c r="GQG21" s="55"/>
      <c r="GQH21" s="55"/>
      <c r="GQI21" s="55"/>
      <c r="GQJ21" s="55"/>
      <c r="GQK21" s="55"/>
      <c r="GQL21" s="55"/>
      <c r="GQM21" s="55"/>
      <c r="GQN21" s="55"/>
      <c r="GQO21" s="55"/>
      <c r="GQP21" s="55"/>
      <c r="GQQ21" s="55"/>
      <c r="GQR21" s="55"/>
      <c r="GQS21" s="55"/>
      <c r="GQT21" s="55"/>
      <c r="GQU21" s="55"/>
      <c r="GQV21" s="55"/>
      <c r="GQW21" s="55"/>
      <c r="GQX21" s="55"/>
      <c r="GQY21" s="55"/>
      <c r="GQZ21" s="55"/>
      <c r="GRA21" s="55"/>
      <c r="GRB21" s="55"/>
      <c r="GRC21" s="55"/>
      <c r="GRD21" s="55"/>
      <c r="GRE21" s="55"/>
      <c r="GRF21" s="55"/>
      <c r="GRG21" s="55"/>
      <c r="GRH21" s="55"/>
      <c r="GRI21" s="55"/>
      <c r="GRJ21" s="55"/>
      <c r="GRK21" s="55"/>
      <c r="GRL21" s="55"/>
      <c r="GRM21" s="55"/>
      <c r="GRN21" s="55"/>
      <c r="GRO21" s="55"/>
      <c r="GRP21" s="55"/>
      <c r="GRQ21" s="55"/>
      <c r="GRR21" s="55"/>
      <c r="GRS21" s="55"/>
      <c r="GRT21" s="55"/>
      <c r="GRU21" s="55"/>
      <c r="GRV21" s="55"/>
      <c r="GRW21" s="55"/>
      <c r="GRX21" s="55"/>
      <c r="GRY21" s="55"/>
      <c r="GRZ21" s="55"/>
      <c r="GSA21" s="55"/>
      <c r="GSB21" s="55"/>
      <c r="GSC21" s="55"/>
      <c r="GSD21" s="55"/>
      <c r="GSE21" s="55"/>
      <c r="GSF21" s="55"/>
      <c r="GSG21" s="55"/>
      <c r="GSH21" s="55"/>
      <c r="GSI21" s="55"/>
      <c r="GSJ21" s="55"/>
      <c r="GSK21" s="55"/>
      <c r="GSL21" s="55"/>
      <c r="GSM21" s="55"/>
      <c r="GSN21" s="55"/>
      <c r="GSO21" s="55"/>
      <c r="GSP21" s="55"/>
      <c r="GSQ21" s="55"/>
      <c r="GSR21" s="55"/>
      <c r="GSS21" s="55"/>
      <c r="GST21" s="55"/>
      <c r="GSU21" s="55"/>
      <c r="GSV21" s="55"/>
      <c r="GSW21" s="55"/>
      <c r="GSX21" s="55"/>
      <c r="GSY21" s="55"/>
      <c r="GSZ21" s="55"/>
      <c r="GTA21" s="55"/>
      <c r="GTB21" s="55"/>
      <c r="GTC21" s="55"/>
      <c r="GTD21" s="55"/>
      <c r="GTE21" s="55"/>
      <c r="GTF21" s="55"/>
      <c r="GTG21" s="55"/>
      <c r="GTH21" s="55"/>
      <c r="GTI21" s="55"/>
      <c r="GTJ21" s="55"/>
      <c r="GTK21" s="55"/>
      <c r="GTL21" s="55"/>
      <c r="GTM21" s="55"/>
      <c r="GTN21" s="55"/>
      <c r="GTO21" s="55"/>
      <c r="GTP21" s="55"/>
      <c r="GTQ21" s="55"/>
      <c r="GTR21" s="55"/>
      <c r="GTS21" s="55"/>
      <c r="GTT21" s="55"/>
      <c r="GTU21" s="55"/>
      <c r="GTV21" s="55"/>
      <c r="GTW21" s="55"/>
      <c r="GTX21" s="55"/>
      <c r="GTY21" s="55"/>
      <c r="GTZ21" s="55"/>
      <c r="GUA21" s="55"/>
      <c r="GUB21" s="55"/>
      <c r="GUC21" s="55"/>
      <c r="GUD21" s="55"/>
      <c r="GUE21" s="55"/>
      <c r="GUF21" s="55"/>
      <c r="GUG21" s="55"/>
      <c r="GUH21" s="55"/>
      <c r="GUI21" s="55"/>
      <c r="GUJ21" s="55"/>
      <c r="GUK21" s="55"/>
      <c r="GUL21" s="55"/>
      <c r="GUM21" s="55"/>
      <c r="GUN21" s="55"/>
      <c r="GUO21" s="55"/>
      <c r="GUP21" s="55"/>
      <c r="GUQ21" s="55"/>
      <c r="GUR21" s="55"/>
      <c r="GUS21" s="55"/>
      <c r="GUT21" s="55"/>
      <c r="GUU21" s="55"/>
      <c r="GUV21" s="55"/>
      <c r="GUW21" s="55"/>
      <c r="GUX21" s="55"/>
      <c r="GUY21" s="55"/>
      <c r="GUZ21" s="55"/>
      <c r="GVA21" s="55"/>
      <c r="GVB21" s="55"/>
      <c r="GVC21" s="55"/>
      <c r="GVD21" s="55"/>
      <c r="GVE21" s="55"/>
      <c r="GVF21" s="55"/>
      <c r="GVG21" s="55"/>
      <c r="GVH21" s="55"/>
      <c r="GVI21" s="55"/>
      <c r="GVJ21" s="55"/>
      <c r="GVK21" s="55"/>
      <c r="GVL21" s="55"/>
      <c r="GVM21" s="55"/>
      <c r="GVN21" s="55"/>
      <c r="GVO21" s="55"/>
      <c r="GVP21" s="55"/>
      <c r="GVQ21" s="55"/>
      <c r="GVR21" s="55"/>
      <c r="GVS21" s="55"/>
      <c r="GVT21" s="55"/>
      <c r="GVU21" s="55"/>
      <c r="GVV21" s="55"/>
      <c r="GVW21" s="55"/>
      <c r="GVX21" s="55"/>
      <c r="GVY21" s="55"/>
      <c r="GVZ21" s="55"/>
      <c r="GWA21" s="55"/>
      <c r="GWB21" s="55"/>
      <c r="GWC21" s="55"/>
      <c r="GWD21" s="55"/>
      <c r="GWE21" s="55"/>
      <c r="GWF21" s="55"/>
      <c r="GWG21" s="55"/>
      <c r="GWH21" s="55"/>
      <c r="GWI21" s="55"/>
      <c r="GWJ21" s="55"/>
      <c r="GWK21" s="55"/>
      <c r="GWL21" s="55"/>
      <c r="GWM21" s="55"/>
      <c r="GWN21" s="55"/>
      <c r="GWO21" s="55"/>
      <c r="GWP21" s="55"/>
      <c r="GWQ21" s="55"/>
      <c r="GWR21" s="55"/>
      <c r="GWS21" s="55"/>
      <c r="GWT21" s="55"/>
      <c r="GWU21" s="55"/>
      <c r="GWV21" s="55"/>
      <c r="GWW21" s="55"/>
      <c r="GWX21" s="55"/>
      <c r="GWY21" s="55"/>
      <c r="GWZ21" s="55"/>
      <c r="GXA21" s="55"/>
      <c r="GXB21" s="55"/>
      <c r="GXC21" s="55"/>
      <c r="GXD21" s="55"/>
      <c r="GXE21" s="55"/>
      <c r="GXF21" s="55"/>
      <c r="GXG21" s="55"/>
      <c r="GXH21" s="55"/>
      <c r="GXI21" s="55"/>
      <c r="GXJ21" s="55"/>
      <c r="GXK21" s="55"/>
      <c r="GXL21" s="55"/>
      <c r="GXM21" s="55"/>
      <c r="GXN21" s="55"/>
      <c r="GXO21" s="55"/>
      <c r="GXP21" s="55"/>
      <c r="GXQ21" s="55"/>
      <c r="GXR21" s="55"/>
      <c r="GXS21" s="55"/>
      <c r="GXT21" s="55"/>
      <c r="GXU21" s="55"/>
      <c r="GXV21" s="55"/>
      <c r="GXW21" s="55"/>
      <c r="GXX21" s="55"/>
      <c r="GXY21" s="55"/>
      <c r="GXZ21" s="55"/>
      <c r="GYA21" s="55"/>
      <c r="GYB21" s="55"/>
      <c r="GYC21" s="55"/>
      <c r="GYD21" s="55"/>
      <c r="GYE21" s="55"/>
      <c r="GYF21" s="55"/>
      <c r="GYG21" s="55"/>
      <c r="GYH21" s="55"/>
      <c r="GYI21" s="55"/>
      <c r="GYJ21" s="55"/>
      <c r="GYK21" s="55"/>
      <c r="GYL21" s="55"/>
      <c r="GYM21" s="55"/>
      <c r="GYN21" s="55"/>
      <c r="GYO21" s="55"/>
      <c r="GYP21" s="55"/>
      <c r="GYQ21" s="55"/>
      <c r="GYR21" s="55"/>
      <c r="GYS21" s="55"/>
      <c r="GYT21" s="55"/>
      <c r="GYU21" s="55"/>
      <c r="GYV21" s="55"/>
      <c r="GYW21" s="55"/>
      <c r="GYX21" s="55"/>
      <c r="GYY21" s="55"/>
      <c r="GYZ21" s="55"/>
      <c r="GZA21" s="55"/>
      <c r="GZB21" s="55"/>
      <c r="GZC21" s="55"/>
      <c r="GZD21" s="55"/>
      <c r="GZE21" s="55"/>
      <c r="GZF21" s="55"/>
      <c r="GZG21" s="55"/>
      <c r="GZH21" s="55"/>
      <c r="GZI21" s="55"/>
      <c r="GZJ21" s="55"/>
      <c r="GZK21" s="55"/>
      <c r="GZL21" s="55"/>
      <c r="GZM21" s="55"/>
      <c r="GZN21" s="55"/>
      <c r="GZO21" s="55"/>
      <c r="GZP21" s="55"/>
      <c r="GZQ21" s="55"/>
      <c r="GZR21" s="55"/>
      <c r="GZS21" s="55"/>
      <c r="GZT21" s="55"/>
      <c r="GZU21" s="55"/>
      <c r="GZV21" s="55"/>
      <c r="GZW21" s="55"/>
      <c r="GZX21" s="55"/>
      <c r="GZY21" s="55"/>
      <c r="GZZ21" s="55"/>
      <c r="HAA21" s="55"/>
      <c r="HAB21" s="55"/>
      <c r="HAC21" s="55"/>
      <c r="HAD21" s="55"/>
      <c r="HAE21" s="55"/>
      <c r="HAF21" s="55"/>
      <c r="HAG21" s="55"/>
      <c r="HAH21" s="55"/>
      <c r="HAI21" s="55"/>
      <c r="HAJ21" s="55"/>
      <c r="HAK21" s="55"/>
      <c r="HAL21" s="55"/>
      <c r="HAM21" s="55"/>
      <c r="HAN21" s="55"/>
      <c r="HAO21" s="55"/>
      <c r="HAP21" s="55"/>
      <c r="HAQ21" s="55"/>
      <c r="HAR21" s="55"/>
      <c r="HAS21" s="55"/>
      <c r="HAT21" s="55"/>
      <c r="HAU21" s="55"/>
      <c r="HAV21" s="55"/>
      <c r="HAW21" s="55"/>
      <c r="HAX21" s="55"/>
      <c r="HAY21" s="55"/>
      <c r="HAZ21" s="55"/>
      <c r="HBA21" s="55"/>
      <c r="HBB21" s="55"/>
      <c r="HBC21" s="55"/>
      <c r="HBD21" s="55"/>
      <c r="HBE21" s="55"/>
      <c r="HBF21" s="55"/>
      <c r="HBG21" s="55"/>
      <c r="HBH21" s="55"/>
      <c r="HBI21" s="55"/>
      <c r="HBJ21" s="55"/>
      <c r="HBK21" s="55"/>
      <c r="HBL21" s="55"/>
      <c r="HBM21" s="55"/>
      <c r="HBN21" s="55"/>
      <c r="HBO21" s="55"/>
      <c r="HBP21" s="55"/>
      <c r="HBQ21" s="55"/>
      <c r="HBR21" s="55"/>
      <c r="HBS21" s="55"/>
      <c r="HBT21" s="55"/>
      <c r="HBU21" s="55"/>
      <c r="HBV21" s="55"/>
      <c r="HBW21" s="55"/>
      <c r="HBX21" s="55"/>
      <c r="HBY21" s="55"/>
      <c r="HBZ21" s="55"/>
      <c r="HCA21" s="55"/>
      <c r="HCB21" s="55"/>
      <c r="HCC21" s="55"/>
      <c r="HCD21" s="55"/>
      <c r="HCE21" s="55"/>
      <c r="HCF21" s="55"/>
      <c r="HCG21" s="55"/>
      <c r="HCH21" s="55"/>
      <c r="HCI21" s="55"/>
      <c r="HCJ21" s="55"/>
      <c r="HCK21" s="55"/>
      <c r="HCL21" s="55"/>
      <c r="HCM21" s="55"/>
      <c r="HCN21" s="55"/>
      <c r="HCO21" s="55"/>
      <c r="HCP21" s="55"/>
      <c r="HCQ21" s="55"/>
      <c r="HCR21" s="55"/>
      <c r="HCS21" s="55"/>
      <c r="HCT21" s="55"/>
      <c r="HCU21" s="55"/>
      <c r="HCV21" s="55"/>
      <c r="HCW21" s="55"/>
      <c r="HCX21" s="55"/>
      <c r="HCY21" s="55"/>
      <c r="HCZ21" s="55"/>
      <c r="HDA21" s="55"/>
      <c r="HDB21" s="55"/>
      <c r="HDC21" s="55"/>
      <c r="HDD21" s="55"/>
      <c r="HDE21" s="55"/>
      <c r="HDF21" s="55"/>
      <c r="HDG21" s="55"/>
      <c r="HDH21" s="55"/>
      <c r="HDI21" s="55"/>
      <c r="HDJ21" s="55"/>
      <c r="HDK21" s="55"/>
      <c r="HDL21" s="55"/>
      <c r="HDM21" s="55"/>
      <c r="HDN21" s="55"/>
      <c r="HDO21" s="55"/>
      <c r="HDP21" s="55"/>
      <c r="HDQ21" s="55"/>
      <c r="HDR21" s="55"/>
      <c r="HDS21" s="55"/>
      <c r="HDT21" s="55"/>
      <c r="HDU21" s="55"/>
      <c r="HDV21" s="55"/>
      <c r="HDW21" s="55"/>
      <c r="HDX21" s="55"/>
      <c r="HDY21" s="55"/>
      <c r="HDZ21" s="55"/>
      <c r="HEA21" s="55"/>
      <c r="HEB21" s="55"/>
      <c r="HEC21" s="55"/>
      <c r="HED21" s="55"/>
      <c r="HEE21" s="55"/>
      <c r="HEF21" s="55"/>
      <c r="HEG21" s="55"/>
      <c r="HEH21" s="55"/>
      <c r="HEI21" s="55"/>
      <c r="HEJ21" s="55"/>
      <c r="HEK21" s="55"/>
      <c r="HEL21" s="55"/>
      <c r="HEM21" s="55"/>
      <c r="HEN21" s="55"/>
      <c r="HEO21" s="55"/>
      <c r="HEP21" s="55"/>
      <c r="HEQ21" s="55"/>
      <c r="HER21" s="55"/>
      <c r="HES21" s="55"/>
      <c r="HET21" s="55"/>
      <c r="HEU21" s="55"/>
      <c r="HEV21" s="55"/>
      <c r="HEW21" s="55"/>
      <c r="HEX21" s="55"/>
      <c r="HEY21" s="55"/>
      <c r="HEZ21" s="55"/>
      <c r="HFA21" s="55"/>
      <c r="HFB21" s="55"/>
      <c r="HFC21" s="55"/>
      <c r="HFD21" s="55"/>
      <c r="HFE21" s="55"/>
      <c r="HFF21" s="55"/>
      <c r="HFG21" s="55"/>
      <c r="HFH21" s="55"/>
      <c r="HFI21" s="55"/>
      <c r="HFJ21" s="55"/>
      <c r="HFK21" s="55"/>
      <c r="HFL21" s="55"/>
      <c r="HFM21" s="55"/>
      <c r="HFN21" s="55"/>
      <c r="HFO21" s="55"/>
      <c r="HFP21" s="55"/>
      <c r="HFQ21" s="55"/>
      <c r="HFR21" s="55"/>
      <c r="HFS21" s="55"/>
      <c r="HFT21" s="55"/>
      <c r="HFU21" s="55"/>
      <c r="HFV21" s="55"/>
      <c r="HFW21" s="55"/>
      <c r="HFX21" s="55"/>
      <c r="HFY21" s="55"/>
      <c r="HFZ21" s="55"/>
      <c r="HGA21" s="55"/>
      <c r="HGB21" s="55"/>
      <c r="HGC21" s="55"/>
      <c r="HGD21" s="55"/>
      <c r="HGE21" s="55"/>
      <c r="HGF21" s="55"/>
      <c r="HGG21" s="55"/>
      <c r="HGH21" s="55"/>
      <c r="HGI21" s="55"/>
      <c r="HGJ21" s="55"/>
      <c r="HGK21" s="55"/>
      <c r="HGL21" s="55"/>
      <c r="HGM21" s="55"/>
      <c r="HGN21" s="55"/>
      <c r="HGO21" s="55"/>
      <c r="HGP21" s="55"/>
      <c r="HGQ21" s="55"/>
      <c r="HGR21" s="55"/>
      <c r="HGS21" s="55"/>
      <c r="HGT21" s="55"/>
      <c r="HGU21" s="55"/>
      <c r="HGV21" s="55"/>
      <c r="HGW21" s="55"/>
      <c r="HGX21" s="55"/>
      <c r="HGY21" s="55"/>
      <c r="HGZ21" s="55"/>
      <c r="HHA21" s="55"/>
      <c r="HHB21" s="55"/>
      <c r="HHC21" s="55"/>
      <c r="HHD21" s="55"/>
      <c r="HHE21" s="55"/>
      <c r="HHF21" s="55"/>
      <c r="HHG21" s="55"/>
      <c r="HHH21" s="55"/>
      <c r="HHI21" s="55"/>
      <c r="HHJ21" s="55"/>
      <c r="HHK21" s="55"/>
      <c r="HHL21" s="55"/>
      <c r="HHM21" s="55"/>
      <c r="HHN21" s="55"/>
      <c r="HHO21" s="55"/>
      <c r="HHP21" s="55"/>
      <c r="HHQ21" s="55"/>
      <c r="HHR21" s="55"/>
      <c r="HHS21" s="55"/>
      <c r="HHT21" s="55"/>
      <c r="HHU21" s="55"/>
      <c r="HHV21" s="55"/>
      <c r="HHW21" s="55"/>
      <c r="HHX21" s="55"/>
      <c r="HHY21" s="55"/>
      <c r="HHZ21" s="55"/>
      <c r="HIA21" s="55"/>
      <c r="HIB21" s="55"/>
      <c r="HIC21" s="55"/>
      <c r="HID21" s="55"/>
      <c r="HIE21" s="55"/>
      <c r="HIF21" s="55"/>
      <c r="HIG21" s="55"/>
      <c r="HIH21" s="55"/>
      <c r="HII21" s="55"/>
      <c r="HIJ21" s="55"/>
      <c r="HIK21" s="55"/>
      <c r="HIL21" s="55"/>
      <c r="HIM21" s="55"/>
      <c r="HIN21" s="55"/>
      <c r="HIO21" s="55"/>
      <c r="HIP21" s="55"/>
      <c r="HIQ21" s="55"/>
      <c r="HIR21" s="55"/>
      <c r="HIS21" s="55"/>
      <c r="HIT21" s="55"/>
      <c r="HIU21" s="55"/>
      <c r="HIV21" s="55"/>
      <c r="HIW21" s="55"/>
      <c r="HIX21" s="55"/>
      <c r="HIY21" s="55"/>
      <c r="HIZ21" s="55"/>
      <c r="HJA21" s="55"/>
      <c r="HJB21" s="55"/>
      <c r="HJC21" s="55"/>
      <c r="HJD21" s="55"/>
      <c r="HJE21" s="55"/>
      <c r="HJF21" s="55"/>
      <c r="HJG21" s="55"/>
      <c r="HJH21" s="55"/>
      <c r="HJI21" s="55"/>
      <c r="HJJ21" s="55"/>
      <c r="HJK21" s="55"/>
      <c r="HJL21" s="55"/>
      <c r="HJM21" s="55"/>
      <c r="HJN21" s="55"/>
      <c r="HJO21" s="55"/>
      <c r="HJP21" s="55"/>
      <c r="HJQ21" s="55"/>
      <c r="HJR21" s="55"/>
      <c r="HJS21" s="55"/>
      <c r="HJT21" s="55"/>
      <c r="HJU21" s="55"/>
      <c r="HJV21" s="55"/>
      <c r="HJW21" s="55"/>
      <c r="HJX21" s="55"/>
      <c r="HJY21" s="55"/>
      <c r="HJZ21" s="55"/>
      <c r="HKA21" s="55"/>
      <c r="HKB21" s="55"/>
      <c r="HKC21" s="55"/>
      <c r="HKD21" s="55"/>
      <c r="HKE21" s="55"/>
      <c r="HKF21" s="55"/>
      <c r="HKG21" s="55"/>
      <c r="HKH21" s="55"/>
      <c r="HKI21" s="55"/>
      <c r="HKJ21" s="55"/>
      <c r="HKK21" s="55"/>
      <c r="HKL21" s="55"/>
      <c r="HKM21" s="55"/>
      <c r="HKN21" s="55"/>
      <c r="HKO21" s="55"/>
      <c r="HKP21" s="55"/>
      <c r="HKQ21" s="55"/>
      <c r="HKR21" s="55"/>
      <c r="HKS21" s="55"/>
      <c r="HKT21" s="55"/>
      <c r="HKU21" s="55"/>
      <c r="HKV21" s="55"/>
      <c r="HKW21" s="55"/>
      <c r="HKX21" s="55"/>
      <c r="HKY21" s="55"/>
      <c r="HKZ21" s="55"/>
      <c r="HLA21" s="55"/>
      <c r="HLB21" s="55"/>
      <c r="HLC21" s="55"/>
      <c r="HLD21" s="55"/>
      <c r="HLE21" s="55"/>
      <c r="HLF21" s="55"/>
      <c r="HLG21" s="55"/>
      <c r="HLH21" s="55"/>
      <c r="HLI21" s="55"/>
      <c r="HLJ21" s="55"/>
      <c r="HLK21" s="55"/>
      <c r="HLL21" s="55"/>
      <c r="HLM21" s="55"/>
      <c r="HLN21" s="55"/>
      <c r="HLO21" s="55"/>
      <c r="HLP21" s="55"/>
      <c r="HLQ21" s="55"/>
      <c r="HLR21" s="55"/>
      <c r="HLS21" s="55"/>
      <c r="HLT21" s="55"/>
      <c r="HLU21" s="55"/>
      <c r="HLV21" s="55"/>
      <c r="HLW21" s="55"/>
      <c r="HLX21" s="55"/>
      <c r="HLY21" s="55"/>
      <c r="HLZ21" s="55"/>
      <c r="HMA21" s="55"/>
      <c r="HMB21" s="55"/>
      <c r="HMC21" s="55"/>
      <c r="HMD21" s="55"/>
      <c r="HME21" s="55"/>
      <c r="HMF21" s="55"/>
      <c r="HMG21" s="55"/>
      <c r="HMH21" s="55"/>
      <c r="HMI21" s="55"/>
      <c r="HMJ21" s="55"/>
      <c r="HMK21" s="55"/>
      <c r="HML21" s="55"/>
      <c r="HMM21" s="55"/>
      <c r="HMN21" s="55"/>
      <c r="HMO21" s="55"/>
      <c r="HMP21" s="55"/>
      <c r="HMQ21" s="55"/>
      <c r="HMR21" s="55"/>
      <c r="HMS21" s="55"/>
      <c r="HMT21" s="55"/>
      <c r="HMU21" s="55"/>
      <c r="HMV21" s="55"/>
      <c r="HMW21" s="55"/>
      <c r="HMX21" s="55"/>
      <c r="HMY21" s="55"/>
      <c r="HMZ21" s="55"/>
      <c r="HNA21" s="55"/>
      <c r="HNB21" s="55"/>
      <c r="HNC21" s="55"/>
      <c r="HND21" s="55"/>
      <c r="HNE21" s="55"/>
      <c r="HNF21" s="55"/>
      <c r="HNG21" s="55"/>
      <c r="HNH21" s="55"/>
      <c r="HNI21" s="55"/>
      <c r="HNJ21" s="55"/>
      <c r="HNK21" s="55"/>
      <c r="HNL21" s="55"/>
      <c r="HNM21" s="55"/>
      <c r="HNN21" s="55"/>
      <c r="HNO21" s="55"/>
      <c r="HNP21" s="55"/>
      <c r="HNQ21" s="55"/>
      <c r="HNR21" s="55"/>
      <c r="HNS21" s="55"/>
      <c r="HNT21" s="55"/>
      <c r="HNU21" s="55"/>
      <c r="HNV21" s="55"/>
      <c r="HNW21" s="55"/>
      <c r="HNX21" s="55"/>
      <c r="HNY21" s="55"/>
      <c r="HNZ21" s="55"/>
      <c r="HOA21" s="55"/>
      <c r="HOB21" s="55"/>
      <c r="HOC21" s="55"/>
      <c r="HOD21" s="55"/>
      <c r="HOE21" s="55"/>
      <c r="HOF21" s="55"/>
      <c r="HOG21" s="55"/>
      <c r="HOH21" s="55"/>
      <c r="HOI21" s="55"/>
      <c r="HOJ21" s="55"/>
      <c r="HOK21" s="55"/>
      <c r="HOL21" s="55"/>
      <c r="HOM21" s="55"/>
      <c r="HON21" s="55"/>
      <c r="HOO21" s="55"/>
      <c r="HOP21" s="55"/>
      <c r="HOQ21" s="55"/>
      <c r="HOR21" s="55"/>
      <c r="HOS21" s="55"/>
      <c r="HOT21" s="55"/>
      <c r="HOU21" s="55"/>
      <c r="HOV21" s="55"/>
      <c r="HOW21" s="55"/>
      <c r="HOX21" s="55"/>
      <c r="HOY21" s="55"/>
      <c r="HOZ21" s="55"/>
      <c r="HPA21" s="55"/>
      <c r="HPB21" s="55"/>
      <c r="HPC21" s="55"/>
      <c r="HPD21" s="55"/>
      <c r="HPE21" s="55"/>
      <c r="HPF21" s="55"/>
      <c r="HPG21" s="55"/>
      <c r="HPH21" s="55"/>
      <c r="HPI21" s="55"/>
      <c r="HPJ21" s="55"/>
      <c r="HPK21" s="55"/>
      <c r="HPL21" s="55"/>
      <c r="HPM21" s="55"/>
      <c r="HPN21" s="55"/>
      <c r="HPO21" s="55"/>
      <c r="HPP21" s="55"/>
      <c r="HPQ21" s="55"/>
      <c r="HPR21" s="55"/>
      <c r="HPS21" s="55"/>
      <c r="HPT21" s="55"/>
      <c r="HPU21" s="55"/>
      <c r="HPV21" s="55"/>
      <c r="HPW21" s="55"/>
      <c r="HPX21" s="55"/>
      <c r="HPY21" s="55"/>
      <c r="HPZ21" s="55"/>
      <c r="HQA21" s="55"/>
      <c r="HQB21" s="55"/>
      <c r="HQC21" s="55"/>
      <c r="HQD21" s="55"/>
      <c r="HQE21" s="55"/>
      <c r="HQF21" s="55"/>
      <c r="HQG21" s="55"/>
      <c r="HQH21" s="55"/>
      <c r="HQI21" s="55"/>
      <c r="HQJ21" s="55"/>
      <c r="HQK21" s="55"/>
      <c r="HQL21" s="55"/>
      <c r="HQM21" s="55"/>
      <c r="HQN21" s="55"/>
      <c r="HQO21" s="55"/>
      <c r="HQP21" s="55"/>
      <c r="HQQ21" s="55"/>
      <c r="HQR21" s="55"/>
      <c r="HQS21" s="55"/>
      <c r="HQT21" s="55"/>
      <c r="HQU21" s="55"/>
      <c r="HQV21" s="55"/>
      <c r="HQW21" s="55"/>
      <c r="HQX21" s="55"/>
      <c r="HQY21" s="55"/>
      <c r="HQZ21" s="55"/>
      <c r="HRA21" s="55"/>
      <c r="HRB21" s="55"/>
      <c r="HRC21" s="55"/>
      <c r="HRD21" s="55"/>
      <c r="HRE21" s="55"/>
      <c r="HRF21" s="55"/>
      <c r="HRG21" s="55"/>
      <c r="HRH21" s="55"/>
      <c r="HRI21" s="55"/>
      <c r="HRJ21" s="55"/>
      <c r="HRK21" s="55"/>
      <c r="HRL21" s="55"/>
      <c r="HRM21" s="55"/>
      <c r="HRN21" s="55"/>
      <c r="HRO21" s="55"/>
      <c r="HRP21" s="55"/>
      <c r="HRQ21" s="55"/>
      <c r="HRR21" s="55"/>
      <c r="HRS21" s="55"/>
      <c r="HRT21" s="55"/>
      <c r="HRU21" s="55"/>
      <c r="HRV21" s="55"/>
      <c r="HRW21" s="55"/>
      <c r="HRX21" s="55"/>
      <c r="HRY21" s="55"/>
      <c r="HRZ21" s="55"/>
      <c r="HSA21" s="55"/>
      <c r="HSB21" s="55"/>
      <c r="HSC21" s="55"/>
      <c r="HSD21" s="55"/>
      <c r="HSE21" s="55"/>
      <c r="HSF21" s="55"/>
      <c r="HSG21" s="55"/>
      <c r="HSH21" s="55"/>
      <c r="HSI21" s="55"/>
      <c r="HSJ21" s="55"/>
      <c r="HSK21" s="55"/>
      <c r="HSL21" s="55"/>
      <c r="HSM21" s="55"/>
      <c r="HSN21" s="55"/>
      <c r="HSO21" s="55"/>
      <c r="HSP21" s="55"/>
      <c r="HSQ21" s="55"/>
      <c r="HSR21" s="55"/>
      <c r="HSS21" s="55"/>
      <c r="HST21" s="55"/>
      <c r="HSU21" s="55"/>
      <c r="HSV21" s="55"/>
      <c r="HSW21" s="55"/>
      <c r="HSX21" s="55"/>
      <c r="HSY21" s="55"/>
      <c r="HSZ21" s="55"/>
      <c r="HTA21" s="55"/>
      <c r="HTB21" s="55"/>
      <c r="HTC21" s="55"/>
      <c r="HTD21" s="55"/>
      <c r="HTE21" s="55"/>
      <c r="HTF21" s="55"/>
      <c r="HTG21" s="55"/>
      <c r="HTH21" s="55"/>
      <c r="HTI21" s="55"/>
      <c r="HTJ21" s="55"/>
      <c r="HTK21" s="55"/>
      <c r="HTL21" s="55"/>
      <c r="HTM21" s="55"/>
      <c r="HTN21" s="55"/>
      <c r="HTO21" s="55"/>
      <c r="HTP21" s="55"/>
      <c r="HTQ21" s="55"/>
      <c r="HTR21" s="55"/>
      <c r="HTS21" s="55"/>
      <c r="HTT21" s="55"/>
      <c r="HTU21" s="55"/>
      <c r="HTV21" s="55"/>
      <c r="HTW21" s="55"/>
      <c r="HTX21" s="55"/>
      <c r="HTY21" s="55"/>
      <c r="HTZ21" s="55"/>
      <c r="HUA21" s="55"/>
      <c r="HUB21" s="55"/>
      <c r="HUC21" s="55"/>
      <c r="HUD21" s="55"/>
      <c r="HUE21" s="55"/>
      <c r="HUF21" s="55"/>
      <c r="HUG21" s="55"/>
      <c r="HUH21" s="55"/>
      <c r="HUI21" s="55"/>
      <c r="HUJ21" s="55"/>
      <c r="HUK21" s="55"/>
      <c r="HUL21" s="55"/>
      <c r="HUM21" s="55"/>
      <c r="HUN21" s="55"/>
      <c r="HUO21" s="55"/>
      <c r="HUP21" s="55"/>
      <c r="HUQ21" s="55"/>
      <c r="HUR21" s="55"/>
      <c r="HUS21" s="55"/>
      <c r="HUT21" s="55"/>
      <c r="HUU21" s="55"/>
      <c r="HUV21" s="55"/>
      <c r="HUW21" s="55"/>
      <c r="HUX21" s="55"/>
      <c r="HUY21" s="55"/>
      <c r="HUZ21" s="55"/>
      <c r="HVA21" s="55"/>
      <c r="HVB21" s="55"/>
      <c r="HVC21" s="55"/>
      <c r="HVD21" s="55"/>
      <c r="HVE21" s="55"/>
      <c r="HVF21" s="55"/>
      <c r="HVG21" s="55"/>
      <c r="HVH21" s="55"/>
      <c r="HVI21" s="55"/>
      <c r="HVJ21" s="55"/>
      <c r="HVK21" s="55"/>
      <c r="HVL21" s="55"/>
      <c r="HVM21" s="55"/>
      <c r="HVN21" s="55"/>
      <c r="HVO21" s="55"/>
      <c r="HVP21" s="55"/>
      <c r="HVQ21" s="55"/>
      <c r="HVR21" s="55"/>
      <c r="HVS21" s="55"/>
      <c r="HVT21" s="55"/>
      <c r="HVU21" s="55"/>
      <c r="HVV21" s="55"/>
      <c r="HVW21" s="55"/>
      <c r="HVX21" s="55"/>
      <c r="HVY21" s="55"/>
      <c r="HVZ21" s="55"/>
      <c r="HWA21" s="55"/>
      <c r="HWB21" s="55"/>
      <c r="HWC21" s="55"/>
      <c r="HWD21" s="55"/>
      <c r="HWE21" s="55"/>
      <c r="HWF21" s="55"/>
      <c r="HWG21" s="55"/>
      <c r="HWH21" s="55"/>
      <c r="HWI21" s="55"/>
      <c r="HWJ21" s="55"/>
      <c r="HWK21" s="55"/>
      <c r="HWL21" s="55"/>
      <c r="HWM21" s="55"/>
      <c r="HWN21" s="55"/>
      <c r="HWO21" s="55"/>
      <c r="HWP21" s="55"/>
      <c r="HWQ21" s="55"/>
      <c r="HWR21" s="55"/>
      <c r="HWS21" s="55"/>
      <c r="HWT21" s="55"/>
      <c r="HWU21" s="55"/>
      <c r="HWV21" s="55"/>
      <c r="HWW21" s="55"/>
      <c r="HWX21" s="55"/>
      <c r="HWY21" s="55"/>
      <c r="HWZ21" s="55"/>
      <c r="HXA21" s="55"/>
      <c r="HXB21" s="55"/>
      <c r="HXC21" s="55"/>
      <c r="HXD21" s="55"/>
      <c r="HXE21" s="55"/>
      <c r="HXF21" s="55"/>
      <c r="HXG21" s="55"/>
      <c r="HXH21" s="55"/>
      <c r="HXI21" s="55"/>
      <c r="HXJ21" s="55"/>
      <c r="HXK21" s="55"/>
      <c r="HXL21" s="55"/>
      <c r="HXM21" s="55"/>
      <c r="HXN21" s="55"/>
      <c r="HXO21" s="55"/>
      <c r="HXP21" s="55"/>
      <c r="HXQ21" s="55"/>
      <c r="HXR21" s="55"/>
      <c r="HXS21" s="55"/>
      <c r="HXT21" s="55"/>
      <c r="HXU21" s="55"/>
      <c r="HXV21" s="55"/>
      <c r="HXW21" s="55"/>
      <c r="HXX21" s="55"/>
      <c r="HXY21" s="55"/>
      <c r="HXZ21" s="55"/>
      <c r="HYA21" s="55"/>
      <c r="HYB21" s="55"/>
      <c r="HYC21" s="55"/>
      <c r="HYD21" s="55"/>
      <c r="HYE21" s="55"/>
      <c r="HYF21" s="55"/>
      <c r="HYG21" s="55"/>
      <c r="HYH21" s="55"/>
      <c r="HYI21" s="55"/>
      <c r="HYJ21" s="55"/>
      <c r="HYK21" s="55"/>
      <c r="HYL21" s="55"/>
      <c r="HYM21" s="55"/>
      <c r="HYN21" s="55"/>
      <c r="HYO21" s="55"/>
      <c r="HYP21" s="55"/>
      <c r="HYQ21" s="55"/>
      <c r="HYR21" s="55"/>
      <c r="HYS21" s="55"/>
      <c r="HYT21" s="55"/>
      <c r="HYU21" s="55"/>
      <c r="HYV21" s="55"/>
      <c r="HYW21" s="55"/>
      <c r="HYX21" s="55"/>
      <c r="HYY21" s="55"/>
      <c r="HYZ21" s="55"/>
      <c r="HZA21" s="55"/>
      <c r="HZB21" s="55"/>
      <c r="HZC21" s="55"/>
      <c r="HZD21" s="55"/>
      <c r="HZE21" s="55"/>
      <c r="HZF21" s="55"/>
      <c r="HZG21" s="55"/>
      <c r="HZH21" s="55"/>
      <c r="HZI21" s="55"/>
      <c r="HZJ21" s="55"/>
      <c r="HZK21" s="55"/>
      <c r="HZL21" s="55"/>
      <c r="HZM21" s="55"/>
      <c r="HZN21" s="55"/>
      <c r="HZO21" s="55"/>
      <c r="HZP21" s="55"/>
      <c r="HZQ21" s="55"/>
      <c r="HZR21" s="55"/>
      <c r="HZS21" s="55"/>
      <c r="HZT21" s="55"/>
      <c r="HZU21" s="55"/>
      <c r="HZV21" s="55"/>
      <c r="HZW21" s="55"/>
      <c r="HZX21" s="55"/>
      <c r="HZY21" s="55"/>
      <c r="HZZ21" s="55"/>
      <c r="IAA21" s="55"/>
      <c r="IAB21" s="55"/>
      <c r="IAC21" s="55"/>
      <c r="IAD21" s="55"/>
      <c r="IAE21" s="55"/>
      <c r="IAF21" s="55"/>
      <c r="IAG21" s="55"/>
      <c r="IAH21" s="55"/>
      <c r="IAI21" s="55"/>
      <c r="IAJ21" s="55"/>
      <c r="IAK21" s="55"/>
      <c r="IAL21" s="55"/>
      <c r="IAM21" s="55"/>
      <c r="IAN21" s="55"/>
      <c r="IAO21" s="55"/>
      <c r="IAP21" s="55"/>
      <c r="IAQ21" s="55"/>
      <c r="IAR21" s="55"/>
      <c r="IAS21" s="55"/>
      <c r="IAT21" s="55"/>
      <c r="IAU21" s="55"/>
      <c r="IAV21" s="55"/>
      <c r="IAW21" s="55"/>
      <c r="IAX21" s="55"/>
      <c r="IAY21" s="55"/>
      <c r="IAZ21" s="55"/>
      <c r="IBA21" s="55"/>
      <c r="IBB21" s="55"/>
      <c r="IBC21" s="55"/>
      <c r="IBD21" s="55"/>
      <c r="IBE21" s="55"/>
      <c r="IBF21" s="55"/>
      <c r="IBG21" s="55"/>
      <c r="IBH21" s="55"/>
      <c r="IBI21" s="55"/>
      <c r="IBJ21" s="55"/>
      <c r="IBK21" s="55"/>
      <c r="IBL21" s="55"/>
      <c r="IBM21" s="55"/>
      <c r="IBN21" s="55"/>
      <c r="IBO21" s="55"/>
      <c r="IBP21" s="55"/>
      <c r="IBQ21" s="55"/>
      <c r="IBR21" s="55"/>
      <c r="IBS21" s="55"/>
      <c r="IBT21" s="55"/>
      <c r="IBU21" s="55"/>
      <c r="IBV21" s="55"/>
      <c r="IBW21" s="55"/>
      <c r="IBX21" s="55"/>
      <c r="IBY21" s="55"/>
      <c r="IBZ21" s="55"/>
      <c r="ICA21" s="55"/>
      <c r="ICB21" s="55"/>
      <c r="ICC21" s="55"/>
      <c r="ICD21" s="55"/>
      <c r="ICE21" s="55"/>
      <c r="ICF21" s="55"/>
      <c r="ICG21" s="55"/>
      <c r="ICH21" s="55"/>
      <c r="ICI21" s="55"/>
      <c r="ICJ21" s="55"/>
      <c r="ICK21" s="55"/>
      <c r="ICL21" s="55"/>
      <c r="ICM21" s="55"/>
      <c r="ICN21" s="55"/>
      <c r="ICO21" s="55"/>
      <c r="ICP21" s="55"/>
      <c r="ICQ21" s="55"/>
      <c r="ICR21" s="55"/>
      <c r="ICS21" s="55"/>
      <c r="ICT21" s="55"/>
      <c r="ICU21" s="55"/>
      <c r="ICV21" s="55"/>
      <c r="ICW21" s="55"/>
      <c r="ICX21" s="55"/>
      <c r="ICY21" s="55"/>
      <c r="ICZ21" s="55"/>
      <c r="IDA21" s="55"/>
      <c r="IDB21" s="55"/>
      <c r="IDC21" s="55"/>
      <c r="IDD21" s="55"/>
      <c r="IDE21" s="55"/>
      <c r="IDF21" s="55"/>
      <c r="IDG21" s="55"/>
      <c r="IDH21" s="55"/>
      <c r="IDI21" s="55"/>
      <c r="IDJ21" s="55"/>
      <c r="IDK21" s="55"/>
      <c r="IDL21" s="55"/>
      <c r="IDM21" s="55"/>
      <c r="IDN21" s="55"/>
      <c r="IDO21" s="55"/>
      <c r="IDP21" s="55"/>
      <c r="IDQ21" s="55"/>
      <c r="IDR21" s="55"/>
      <c r="IDS21" s="55"/>
      <c r="IDT21" s="55"/>
      <c r="IDU21" s="55"/>
      <c r="IDV21" s="55"/>
      <c r="IDW21" s="55"/>
      <c r="IDX21" s="55"/>
      <c r="IDY21" s="55"/>
      <c r="IDZ21" s="55"/>
      <c r="IEA21" s="55"/>
      <c r="IEB21" s="55"/>
      <c r="IEC21" s="55"/>
      <c r="IED21" s="55"/>
      <c r="IEE21" s="55"/>
      <c r="IEF21" s="55"/>
      <c r="IEG21" s="55"/>
      <c r="IEH21" s="55"/>
      <c r="IEI21" s="55"/>
      <c r="IEJ21" s="55"/>
      <c r="IEK21" s="55"/>
      <c r="IEL21" s="55"/>
      <c r="IEM21" s="55"/>
      <c r="IEN21" s="55"/>
      <c r="IEO21" s="55"/>
      <c r="IEP21" s="55"/>
      <c r="IEQ21" s="55"/>
      <c r="IER21" s="55"/>
      <c r="IES21" s="55"/>
      <c r="IET21" s="55"/>
      <c r="IEU21" s="55"/>
      <c r="IEV21" s="55"/>
      <c r="IEW21" s="55"/>
      <c r="IEX21" s="55"/>
      <c r="IEY21" s="55"/>
      <c r="IEZ21" s="55"/>
      <c r="IFA21" s="55"/>
      <c r="IFB21" s="55"/>
      <c r="IFC21" s="55"/>
      <c r="IFD21" s="55"/>
      <c r="IFE21" s="55"/>
      <c r="IFF21" s="55"/>
      <c r="IFG21" s="55"/>
      <c r="IFH21" s="55"/>
      <c r="IFI21" s="55"/>
      <c r="IFJ21" s="55"/>
      <c r="IFK21" s="55"/>
      <c r="IFL21" s="55"/>
      <c r="IFM21" s="55"/>
      <c r="IFN21" s="55"/>
      <c r="IFO21" s="55"/>
      <c r="IFP21" s="55"/>
      <c r="IFQ21" s="55"/>
      <c r="IFR21" s="55"/>
      <c r="IFS21" s="55"/>
      <c r="IFT21" s="55"/>
      <c r="IFU21" s="55"/>
      <c r="IFV21" s="55"/>
      <c r="IFW21" s="55"/>
      <c r="IFX21" s="55"/>
      <c r="IFY21" s="55"/>
      <c r="IFZ21" s="55"/>
      <c r="IGA21" s="55"/>
      <c r="IGB21" s="55"/>
      <c r="IGC21" s="55"/>
      <c r="IGD21" s="55"/>
      <c r="IGE21" s="55"/>
      <c r="IGF21" s="55"/>
      <c r="IGG21" s="55"/>
      <c r="IGH21" s="55"/>
      <c r="IGI21" s="55"/>
      <c r="IGJ21" s="55"/>
      <c r="IGK21" s="55"/>
      <c r="IGL21" s="55"/>
      <c r="IGM21" s="55"/>
      <c r="IGN21" s="55"/>
      <c r="IGO21" s="55"/>
      <c r="IGP21" s="55"/>
      <c r="IGQ21" s="55"/>
      <c r="IGR21" s="55"/>
      <c r="IGS21" s="55"/>
      <c r="IGT21" s="55"/>
      <c r="IGU21" s="55"/>
      <c r="IGV21" s="55"/>
      <c r="IGW21" s="55"/>
      <c r="IGX21" s="55"/>
      <c r="IGY21" s="55"/>
      <c r="IGZ21" s="55"/>
      <c r="IHA21" s="55"/>
      <c r="IHB21" s="55"/>
      <c r="IHC21" s="55"/>
      <c r="IHD21" s="55"/>
      <c r="IHE21" s="55"/>
      <c r="IHF21" s="55"/>
      <c r="IHG21" s="55"/>
      <c r="IHH21" s="55"/>
      <c r="IHI21" s="55"/>
      <c r="IHJ21" s="55"/>
      <c r="IHK21" s="55"/>
      <c r="IHL21" s="55"/>
      <c r="IHM21" s="55"/>
      <c r="IHN21" s="55"/>
      <c r="IHO21" s="55"/>
      <c r="IHP21" s="55"/>
      <c r="IHQ21" s="55"/>
      <c r="IHR21" s="55"/>
      <c r="IHS21" s="55"/>
      <c r="IHT21" s="55"/>
      <c r="IHU21" s="55"/>
      <c r="IHV21" s="55"/>
      <c r="IHW21" s="55"/>
      <c r="IHX21" s="55"/>
      <c r="IHY21" s="55"/>
      <c r="IHZ21" s="55"/>
      <c r="IIA21" s="55"/>
      <c r="IIB21" s="55"/>
      <c r="IIC21" s="55"/>
      <c r="IID21" s="55"/>
      <c r="IIE21" s="55"/>
      <c r="IIF21" s="55"/>
      <c r="IIG21" s="55"/>
      <c r="IIH21" s="55"/>
      <c r="III21" s="55"/>
      <c r="IIJ21" s="55"/>
      <c r="IIK21" s="55"/>
      <c r="IIL21" s="55"/>
      <c r="IIM21" s="55"/>
      <c r="IIN21" s="55"/>
      <c r="IIO21" s="55"/>
      <c r="IIP21" s="55"/>
      <c r="IIQ21" s="55"/>
      <c r="IIR21" s="55"/>
      <c r="IIS21" s="55"/>
      <c r="IIT21" s="55"/>
      <c r="IIU21" s="55"/>
      <c r="IIV21" s="55"/>
      <c r="IIW21" s="55"/>
      <c r="IIX21" s="55"/>
      <c r="IIY21" s="55"/>
      <c r="IIZ21" s="55"/>
      <c r="IJA21" s="55"/>
      <c r="IJB21" s="55"/>
      <c r="IJC21" s="55"/>
      <c r="IJD21" s="55"/>
      <c r="IJE21" s="55"/>
      <c r="IJF21" s="55"/>
      <c r="IJG21" s="55"/>
      <c r="IJH21" s="55"/>
      <c r="IJI21" s="55"/>
      <c r="IJJ21" s="55"/>
      <c r="IJK21" s="55"/>
      <c r="IJL21" s="55"/>
      <c r="IJM21" s="55"/>
      <c r="IJN21" s="55"/>
      <c r="IJO21" s="55"/>
      <c r="IJP21" s="55"/>
      <c r="IJQ21" s="55"/>
      <c r="IJR21" s="55"/>
      <c r="IJS21" s="55"/>
      <c r="IJT21" s="55"/>
      <c r="IJU21" s="55"/>
      <c r="IJV21" s="55"/>
      <c r="IJW21" s="55"/>
      <c r="IJX21" s="55"/>
      <c r="IJY21" s="55"/>
      <c r="IJZ21" s="55"/>
      <c r="IKA21" s="55"/>
      <c r="IKB21" s="55"/>
      <c r="IKC21" s="55"/>
      <c r="IKD21" s="55"/>
      <c r="IKE21" s="55"/>
      <c r="IKF21" s="55"/>
      <c r="IKG21" s="55"/>
      <c r="IKH21" s="55"/>
      <c r="IKI21" s="55"/>
      <c r="IKJ21" s="55"/>
      <c r="IKK21" s="55"/>
      <c r="IKL21" s="55"/>
      <c r="IKM21" s="55"/>
      <c r="IKN21" s="55"/>
      <c r="IKO21" s="55"/>
      <c r="IKP21" s="55"/>
      <c r="IKQ21" s="55"/>
      <c r="IKR21" s="55"/>
      <c r="IKS21" s="55"/>
      <c r="IKT21" s="55"/>
      <c r="IKU21" s="55"/>
      <c r="IKV21" s="55"/>
      <c r="IKW21" s="55"/>
      <c r="IKX21" s="55"/>
      <c r="IKY21" s="55"/>
      <c r="IKZ21" s="55"/>
      <c r="ILA21" s="55"/>
      <c r="ILB21" s="55"/>
      <c r="ILC21" s="55"/>
      <c r="ILD21" s="55"/>
      <c r="ILE21" s="55"/>
      <c r="ILF21" s="55"/>
      <c r="ILG21" s="55"/>
      <c r="ILH21" s="55"/>
      <c r="ILI21" s="55"/>
      <c r="ILJ21" s="55"/>
      <c r="ILK21" s="55"/>
      <c r="ILL21" s="55"/>
      <c r="ILM21" s="55"/>
      <c r="ILN21" s="55"/>
      <c r="ILO21" s="55"/>
      <c r="ILP21" s="55"/>
      <c r="ILQ21" s="55"/>
      <c r="ILR21" s="55"/>
      <c r="ILS21" s="55"/>
      <c r="ILT21" s="55"/>
      <c r="ILU21" s="55"/>
      <c r="ILV21" s="55"/>
      <c r="ILW21" s="55"/>
      <c r="ILX21" s="55"/>
      <c r="ILY21" s="55"/>
      <c r="ILZ21" s="55"/>
      <c r="IMA21" s="55"/>
      <c r="IMB21" s="55"/>
      <c r="IMC21" s="55"/>
      <c r="IMD21" s="55"/>
      <c r="IME21" s="55"/>
      <c r="IMF21" s="55"/>
      <c r="IMG21" s="55"/>
      <c r="IMH21" s="55"/>
      <c r="IMI21" s="55"/>
      <c r="IMJ21" s="55"/>
      <c r="IMK21" s="55"/>
      <c r="IML21" s="55"/>
      <c r="IMM21" s="55"/>
      <c r="IMN21" s="55"/>
      <c r="IMO21" s="55"/>
      <c r="IMP21" s="55"/>
      <c r="IMQ21" s="55"/>
      <c r="IMR21" s="55"/>
      <c r="IMS21" s="55"/>
      <c r="IMT21" s="55"/>
      <c r="IMU21" s="55"/>
      <c r="IMV21" s="55"/>
      <c r="IMW21" s="55"/>
      <c r="IMX21" s="55"/>
      <c r="IMY21" s="55"/>
      <c r="IMZ21" s="55"/>
      <c r="INA21" s="55"/>
      <c r="INB21" s="55"/>
      <c r="INC21" s="55"/>
      <c r="IND21" s="55"/>
      <c r="INE21" s="55"/>
      <c r="INF21" s="55"/>
      <c r="ING21" s="55"/>
      <c r="INH21" s="55"/>
      <c r="INI21" s="55"/>
      <c r="INJ21" s="55"/>
      <c r="INK21" s="55"/>
      <c r="INL21" s="55"/>
      <c r="INM21" s="55"/>
      <c r="INN21" s="55"/>
      <c r="INO21" s="55"/>
      <c r="INP21" s="55"/>
      <c r="INQ21" s="55"/>
      <c r="INR21" s="55"/>
      <c r="INS21" s="55"/>
      <c r="INT21" s="55"/>
      <c r="INU21" s="55"/>
      <c r="INV21" s="55"/>
      <c r="INW21" s="55"/>
      <c r="INX21" s="55"/>
      <c r="INY21" s="55"/>
      <c r="INZ21" s="55"/>
      <c r="IOA21" s="55"/>
      <c r="IOB21" s="55"/>
      <c r="IOC21" s="55"/>
      <c r="IOD21" s="55"/>
      <c r="IOE21" s="55"/>
      <c r="IOF21" s="55"/>
      <c r="IOG21" s="55"/>
      <c r="IOH21" s="55"/>
      <c r="IOI21" s="55"/>
      <c r="IOJ21" s="55"/>
      <c r="IOK21" s="55"/>
      <c r="IOL21" s="55"/>
      <c r="IOM21" s="55"/>
      <c r="ION21" s="55"/>
      <c r="IOO21" s="55"/>
      <c r="IOP21" s="55"/>
      <c r="IOQ21" s="55"/>
      <c r="IOR21" s="55"/>
      <c r="IOS21" s="55"/>
      <c r="IOT21" s="55"/>
      <c r="IOU21" s="55"/>
      <c r="IOV21" s="55"/>
      <c r="IOW21" s="55"/>
      <c r="IOX21" s="55"/>
      <c r="IOY21" s="55"/>
      <c r="IOZ21" s="55"/>
      <c r="IPA21" s="55"/>
      <c r="IPB21" s="55"/>
      <c r="IPC21" s="55"/>
      <c r="IPD21" s="55"/>
      <c r="IPE21" s="55"/>
      <c r="IPF21" s="55"/>
      <c r="IPG21" s="55"/>
      <c r="IPH21" s="55"/>
      <c r="IPI21" s="55"/>
      <c r="IPJ21" s="55"/>
      <c r="IPK21" s="55"/>
      <c r="IPL21" s="55"/>
      <c r="IPM21" s="55"/>
      <c r="IPN21" s="55"/>
      <c r="IPO21" s="55"/>
      <c r="IPP21" s="55"/>
      <c r="IPQ21" s="55"/>
      <c r="IPR21" s="55"/>
      <c r="IPS21" s="55"/>
      <c r="IPT21" s="55"/>
      <c r="IPU21" s="55"/>
      <c r="IPV21" s="55"/>
      <c r="IPW21" s="55"/>
      <c r="IPX21" s="55"/>
      <c r="IPY21" s="55"/>
      <c r="IPZ21" s="55"/>
      <c r="IQA21" s="55"/>
      <c r="IQB21" s="55"/>
      <c r="IQC21" s="55"/>
      <c r="IQD21" s="55"/>
      <c r="IQE21" s="55"/>
      <c r="IQF21" s="55"/>
      <c r="IQG21" s="55"/>
      <c r="IQH21" s="55"/>
      <c r="IQI21" s="55"/>
      <c r="IQJ21" s="55"/>
      <c r="IQK21" s="55"/>
      <c r="IQL21" s="55"/>
      <c r="IQM21" s="55"/>
      <c r="IQN21" s="55"/>
      <c r="IQO21" s="55"/>
      <c r="IQP21" s="55"/>
      <c r="IQQ21" s="55"/>
      <c r="IQR21" s="55"/>
      <c r="IQS21" s="55"/>
      <c r="IQT21" s="55"/>
      <c r="IQU21" s="55"/>
      <c r="IQV21" s="55"/>
      <c r="IQW21" s="55"/>
      <c r="IQX21" s="55"/>
      <c r="IQY21" s="55"/>
      <c r="IQZ21" s="55"/>
      <c r="IRA21" s="55"/>
      <c r="IRB21" s="55"/>
      <c r="IRC21" s="55"/>
      <c r="IRD21" s="55"/>
      <c r="IRE21" s="55"/>
      <c r="IRF21" s="55"/>
      <c r="IRG21" s="55"/>
      <c r="IRH21" s="55"/>
      <c r="IRI21" s="55"/>
      <c r="IRJ21" s="55"/>
      <c r="IRK21" s="55"/>
      <c r="IRL21" s="55"/>
      <c r="IRM21" s="55"/>
      <c r="IRN21" s="55"/>
      <c r="IRO21" s="55"/>
      <c r="IRP21" s="55"/>
      <c r="IRQ21" s="55"/>
      <c r="IRR21" s="55"/>
      <c r="IRS21" s="55"/>
      <c r="IRT21" s="55"/>
      <c r="IRU21" s="55"/>
      <c r="IRV21" s="55"/>
      <c r="IRW21" s="55"/>
      <c r="IRX21" s="55"/>
      <c r="IRY21" s="55"/>
      <c r="IRZ21" s="55"/>
      <c r="ISA21" s="55"/>
      <c r="ISB21" s="55"/>
      <c r="ISC21" s="55"/>
      <c r="ISD21" s="55"/>
      <c r="ISE21" s="55"/>
      <c r="ISF21" s="55"/>
      <c r="ISG21" s="55"/>
      <c r="ISH21" s="55"/>
      <c r="ISI21" s="55"/>
      <c r="ISJ21" s="55"/>
      <c r="ISK21" s="55"/>
      <c r="ISL21" s="55"/>
      <c r="ISM21" s="55"/>
      <c r="ISN21" s="55"/>
      <c r="ISO21" s="55"/>
      <c r="ISP21" s="55"/>
      <c r="ISQ21" s="55"/>
      <c r="ISR21" s="55"/>
      <c r="ISS21" s="55"/>
      <c r="IST21" s="55"/>
      <c r="ISU21" s="55"/>
      <c r="ISV21" s="55"/>
      <c r="ISW21" s="55"/>
      <c r="ISX21" s="55"/>
      <c r="ISY21" s="55"/>
      <c r="ISZ21" s="55"/>
      <c r="ITA21" s="55"/>
      <c r="ITB21" s="55"/>
      <c r="ITC21" s="55"/>
      <c r="ITD21" s="55"/>
      <c r="ITE21" s="55"/>
      <c r="ITF21" s="55"/>
      <c r="ITG21" s="55"/>
      <c r="ITH21" s="55"/>
      <c r="ITI21" s="55"/>
      <c r="ITJ21" s="55"/>
      <c r="ITK21" s="55"/>
      <c r="ITL21" s="55"/>
      <c r="ITM21" s="55"/>
      <c r="ITN21" s="55"/>
      <c r="ITO21" s="55"/>
      <c r="ITP21" s="55"/>
      <c r="ITQ21" s="55"/>
      <c r="ITR21" s="55"/>
      <c r="ITS21" s="55"/>
      <c r="ITT21" s="55"/>
      <c r="ITU21" s="55"/>
      <c r="ITV21" s="55"/>
      <c r="ITW21" s="55"/>
      <c r="ITX21" s="55"/>
      <c r="ITY21" s="55"/>
      <c r="ITZ21" s="55"/>
      <c r="IUA21" s="55"/>
      <c r="IUB21" s="55"/>
      <c r="IUC21" s="55"/>
      <c r="IUD21" s="55"/>
      <c r="IUE21" s="55"/>
      <c r="IUF21" s="55"/>
      <c r="IUG21" s="55"/>
      <c r="IUH21" s="55"/>
      <c r="IUI21" s="55"/>
      <c r="IUJ21" s="55"/>
      <c r="IUK21" s="55"/>
      <c r="IUL21" s="55"/>
      <c r="IUM21" s="55"/>
      <c r="IUN21" s="55"/>
      <c r="IUO21" s="55"/>
      <c r="IUP21" s="55"/>
      <c r="IUQ21" s="55"/>
      <c r="IUR21" s="55"/>
      <c r="IUS21" s="55"/>
      <c r="IUT21" s="55"/>
      <c r="IUU21" s="55"/>
      <c r="IUV21" s="55"/>
      <c r="IUW21" s="55"/>
      <c r="IUX21" s="55"/>
      <c r="IUY21" s="55"/>
      <c r="IUZ21" s="55"/>
      <c r="IVA21" s="55"/>
      <c r="IVB21" s="55"/>
      <c r="IVC21" s="55"/>
      <c r="IVD21" s="55"/>
      <c r="IVE21" s="55"/>
      <c r="IVF21" s="55"/>
      <c r="IVG21" s="55"/>
      <c r="IVH21" s="55"/>
      <c r="IVI21" s="55"/>
      <c r="IVJ21" s="55"/>
      <c r="IVK21" s="55"/>
      <c r="IVL21" s="55"/>
      <c r="IVM21" s="55"/>
      <c r="IVN21" s="55"/>
      <c r="IVO21" s="55"/>
      <c r="IVP21" s="55"/>
      <c r="IVQ21" s="55"/>
      <c r="IVR21" s="55"/>
      <c r="IVS21" s="55"/>
      <c r="IVT21" s="55"/>
      <c r="IVU21" s="55"/>
      <c r="IVV21" s="55"/>
      <c r="IVW21" s="55"/>
      <c r="IVX21" s="55"/>
      <c r="IVY21" s="55"/>
      <c r="IVZ21" s="55"/>
      <c r="IWA21" s="55"/>
      <c r="IWB21" s="55"/>
      <c r="IWC21" s="55"/>
      <c r="IWD21" s="55"/>
      <c r="IWE21" s="55"/>
      <c r="IWF21" s="55"/>
      <c r="IWG21" s="55"/>
      <c r="IWH21" s="55"/>
      <c r="IWI21" s="55"/>
      <c r="IWJ21" s="55"/>
      <c r="IWK21" s="55"/>
      <c r="IWL21" s="55"/>
      <c r="IWM21" s="55"/>
      <c r="IWN21" s="55"/>
      <c r="IWO21" s="55"/>
      <c r="IWP21" s="55"/>
      <c r="IWQ21" s="55"/>
      <c r="IWR21" s="55"/>
      <c r="IWS21" s="55"/>
      <c r="IWT21" s="55"/>
      <c r="IWU21" s="55"/>
      <c r="IWV21" s="55"/>
      <c r="IWW21" s="55"/>
      <c r="IWX21" s="55"/>
      <c r="IWY21" s="55"/>
      <c r="IWZ21" s="55"/>
      <c r="IXA21" s="55"/>
      <c r="IXB21" s="55"/>
      <c r="IXC21" s="55"/>
      <c r="IXD21" s="55"/>
      <c r="IXE21" s="55"/>
      <c r="IXF21" s="55"/>
      <c r="IXG21" s="55"/>
      <c r="IXH21" s="55"/>
      <c r="IXI21" s="55"/>
      <c r="IXJ21" s="55"/>
      <c r="IXK21" s="55"/>
      <c r="IXL21" s="55"/>
      <c r="IXM21" s="55"/>
      <c r="IXN21" s="55"/>
      <c r="IXO21" s="55"/>
      <c r="IXP21" s="55"/>
      <c r="IXQ21" s="55"/>
      <c r="IXR21" s="55"/>
      <c r="IXS21" s="55"/>
      <c r="IXT21" s="55"/>
      <c r="IXU21" s="55"/>
      <c r="IXV21" s="55"/>
      <c r="IXW21" s="55"/>
      <c r="IXX21" s="55"/>
      <c r="IXY21" s="55"/>
      <c r="IXZ21" s="55"/>
      <c r="IYA21" s="55"/>
      <c r="IYB21" s="55"/>
      <c r="IYC21" s="55"/>
      <c r="IYD21" s="55"/>
      <c r="IYE21" s="55"/>
      <c r="IYF21" s="55"/>
      <c r="IYG21" s="55"/>
      <c r="IYH21" s="55"/>
      <c r="IYI21" s="55"/>
      <c r="IYJ21" s="55"/>
      <c r="IYK21" s="55"/>
      <c r="IYL21" s="55"/>
      <c r="IYM21" s="55"/>
      <c r="IYN21" s="55"/>
      <c r="IYO21" s="55"/>
      <c r="IYP21" s="55"/>
      <c r="IYQ21" s="55"/>
      <c r="IYR21" s="55"/>
      <c r="IYS21" s="55"/>
      <c r="IYT21" s="55"/>
      <c r="IYU21" s="55"/>
      <c r="IYV21" s="55"/>
      <c r="IYW21" s="55"/>
      <c r="IYX21" s="55"/>
      <c r="IYY21" s="55"/>
      <c r="IYZ21" s="55"/>
      <c r="IZA21" s="55"/>
      <c r="IZB21" s="55"/>
      <c r="IZC21" s="55"/>
      <c r="IZD21" s="55"/>
      <c r="IZE21" s="55"/>
      <c r="IZF21" s="55"/>
      <c r="IZG21" s="55"/>
      <c r="IZH21" s="55"/>
      <c r="IZI21" s="55"/>
      <c r="IZJ21" s="55"/>
      <c r="IZK21" s="55"/>
      <c r="IZL21" s="55"/>
      <c r="IZM21" s="55"/>
      <c r="IZN21" s="55"/>
      <c r="IZO21" s="55"/>
      <c r="IZP21" s="55"/>
      <c r="IZQ21" s="55"/>
      <c r="IZR21" s="55"/>
      <c r="IZS21" s="55"/>
      <c r="IZT21" s="55"/>
      <c r="IZU21" s="55"/>
      <c r="IZV21" s="55"/>
      <c r="IZW21" s="55"/>
      <c r="IZX21" s="55"/>
      <c r="IZY21" s="55"/>
      <c r="IZZ21" s="55"/>
      <c r="JAA21" s="55"/>
      <c r="JAB21" s="55"/>
      <c r="JAC21" s="55"/>
      <c r="JAD21" s="55"/>
      <c r="JAE21" s="55"/>
      <c r="JAF21" s="55"/>
      <c r="JAG21" s="55"/>
      <c r="JAH21" s="55"/>
      <c r="JAI21" s="55"/>
      <c r="JAJ21" s="55"/>
      <c r="JAK21" s="55"/>
      <c r="JAL21" s="55"/>
      <c r="JAM21" s="55"/>
      <c r="JAN21" s="55"/>
      <c r="JAO21" s="55"/>
      <c r="JAP21" s="55"/>
      <c r="JAQ21" s="55"/>
      <c r="JAR21" s="55"/>
      <c r="JAS21" s="55"/>
      <c r="JAT21" s="55"/>
      <c r="JAU21" s="55"/>
      <c r="JAV21" s="55"/>
      <c r="JAW21" s="55"/>
      <c r="JAX21" s="55"/>
      <c r="JAY21" s="55"/>
      <c r="JAZ21" s="55"/>
      <c r="JBA21" s="55"/>
      <c r="JBB21" s="55"/>
      <c r="JBC21" s="55"/>
      <c r="JBD21" s="55"/>
      <c r="JBE21" s="55"/>
      <c r="JBF21" s="55"/>
      <c r="JBG21" s="55"/>
      <c r="JBH21" s="55"/>
      <c r="JBI21" s="55"/>
      <c r="JBJ21" s="55"/>
      <c r="JBK21" s="55"/>
      <c r="JBL21" s="55"/>
      <c r="JBM21" s="55"/>
      <c r="JBN21" s="55"/>
      <c r="JBO21" s="55"/>
      <c r="JBP21" s="55"/>
      <c r="JBQ21" s="55"/>
      <c r="JBR21" s="55"/>
      <c r="JBS21" s="55"/>
      <c r="JBT21" s="55"/>
      <c r="JBU21" s="55"/>
      <c r="JBV21" s="55"/>
      <c r="JBW21" s="55"/>
      <c r="JBX21" s="55"/>
      <c r="JBY21" s="55"/>
      <c r="JBZ21" s="55"/>
      <c r="JCA21" s="55"/>
      <c r="JCB21" s="55"/>
      <c r="JCC21" s="55"/>
      <c r="JCD21" s="55"/>
      <c r="JCE21" s="55"/>
      <c r="JCF21" s="55"/>
      <c r="JCG21" s="55"/>
      <c r="JCH21" s="55"/>
      <c r="JCI21" s="55"/>
      <c r="JCJ21" s="55"/>
      <c r="JCK21" s="55"/>
      <c r="JCL21" s="55"/>
      <c r="JCM21" s="55"/>
      <c r="JCN21" s="55"/>
      <c r="JCO21" s="55"/>
      <c r="JCP21" s="55"/>
      <c r="JCQ21" s="55"/>
      <c r="JCR21" s="55"/>
      <c r="JCS21" s="55"/>
      <c r="JCT21" s="55"/>
      <c r="JCU21" s="55"/>
      <c r="JCV21" s="55"/>
      <c r="JCW21" s="55"/>
      <c r="JCX21" s="55"/>
      <c r="JCY21" s="55"/>
      <c r="JCZ21" s="55"/>
      <c r="JDA21" s="55"/>
      <c r="JDB21" s="55"/>
      <c r="JDC21" s="55"/>
      <c r="JDD21" s="55"/>
      <c r="JDE21" s="55"/>
      <c r="JDF21" s="55"/>
      <c r="JDG21" s="55"/>
      <c r="JDH21" s="55"/>
      <c r="JDI21" s="55"/>
      <c r="JDJ21" s="55"/>
      <c r="JDK21" s="55"/>
      <c r="JDL21" s="55"/>
      <c r="JDM21" s="55"/>
      <c r="JDN21" s="55"/>
      <c r="JDO21" s="55"/>
      <c r="JDP21" s="55"/>
      <c r="JDQ21" s="55"/>
      <c r="JDR21" s="55"/>
      <c r="JDS21" s="55"/>
      <c r="JDT21" s="55"/>
      <c r="JDU21" s="55"/>
      <c r="JDV21" s="55"/>
      <c r="JDW21" s="55"/>
      <c r="JDX21" s="55"/>
      <c r="JDY21" s="55"/>
      <c r="JDZ21" s="55"/>
      <c r="JEA21" s="55"/>
      <c r="JEB21" s="55"/>
      <c r="JEC21" s="55"/>
      <c r="JED21" s="55"/>
      <c r="JEE21" s="55"/>
      <c r="JEF21" s="55"/>
      <c r="JEG21" s="55"/>
      <c r="JEH21" s="55"/>
      <c r="JEI21" s="55"/>
      <c r="JEJ21" s="55"/>
      <c r="JEK21" s="55"/>
      <c r="JEL21" s="55"/>
      <c r="JEM21" s="55"/>
      <c r="JEN21" s="55"/>
      <c r="JEO21" s="55"/>
      <c r="JEP21" s="55"/>
      <c r="JEQ21" s="55"/>
      <c r="JER21" s="55"/>
      <c r="JES21" s="55"/>
      <c r="JET21" s="55"/>
      <c r="JEU21" s="55"/>
      <c r="JEV21" s="55"/>
      <c r="JEW21" s="55"/>
      <c r="JEX21" s="55"/>
      <c r="JEY21" s="55"/>
      <c r="JEZ21" s="55"/>
      <c r="JFA21" s="55"/>
      <c r="JFB21" s="55"/>
      <c r="JFC21" s="55"/>
      <c r="JFD21" s="55"/>
      <c r="JFE21" s="55"/>
      <c r="JFF21" s="55"/>
      <c r="JFG21" s="55"/>
      <c r="JFH21" s="55"/>
      <c r="JFI21" s="55"/>
      <c r="JFJ21" s="55"/>
      <c r="JFK21" s="55"/>
      <c r="JFL21" s="55"/>
      <c r="JFM21" s="55"/>
      <c r="JFN21" s="55"/>
      <c r="JFO21" s="55"/>
      <c r="JFP21" s="55"/>
      <c r="JFQ21" s="55"/>
      <c r="JFR21" s="55"/>
      <c r="JFS21" s="55"/>
      <c r="JFT21" s="55"/>
      <c r="JFU21" s="55"/>
      <c r="JFV21" s="55"/>
      <c r="JFW21" s="55"/>
      <c r="JFX21" s="55"/>
      <c r="JFY21" s="55"/>
      <c r="JFZ21" s="55"/>
      <c r="JGA21" s="55"/>
      <c r="JGB21" s="55"/>
      <c r="JGC21" s="55"/>
      <c r="JGD21" s="55"/>
      <c r="JGE21" s="55"/>
      <c r="JGF21" s="55"/>
      <c r="JGG21" s="55"/>
      <c r="JGH21" s="55"/>
      <c r="JGI21" s="55"/>
      <c r="JGJ21" s="55"/>
      <c r="JGK21" s="55"/>
      <c r="JGL21" s="55"/>
      <c r="JGM21" s="55"/>
      <c r="JGN21" s="55"/>
      <c r="JGO21" s="55"/>
      <c r="JGP21" s="55"/>
      <c r="JGQ21" s="55"/>
      <c r="JGR21" s="55"/>
      <c r="JGS21" s="55"/>
      <c r="JGT21" s="55"/>
      <c r="JGU21" s="55"/>
      <c r="JGV21" s="55"/>
      <c r="JGW21" s="55"/>
      <c r="JGX21" s="55"/>
      <c r="JGY21" s="55"/>
      <c r="JGZ21" s="55"/>
      <c r="JHA21" s="55"/>
      <c r="JHB21" s="55"/>
      <c r="JHC21" s="55"/>
      <c r="JHD21" s="55"/>
      <c r="JHE21" s="55"/>
      <c r="JHF21" s="55"/>
      <c r="JHG21" s="55"/>
      <c r="JHH21" s="55"/>
      <c r="JHI21" s="55"/>
      <c r="JHJ21" s="55"/>
      <c r="JHK21" s="55"/>
      <c r="JHL21" s="55"/>
      <c r="JHM21" s="55"/>
      <c r="JHN21" s="55"/>
      <c r="JHO21" s="55"/>
      <c r="JHP21" s="55"/>
      <c r="JHQ21" s="55"/>
      <c r="JHR21" s="55"/>
      <c r="JHS21" s="55"/>
      <c r="JHT21" s="55"/>
      <c r="JHU21" s="55"/>
      <c r="JHV21" s="55"/>
      <c r="JHW21" s="55"/>
      <c r="JHX21" s="55"/>
      <c r="JHY21" s="55"/>
      <c r="JHZ21" s="55"/>
      <c r="JIA21" s="55"/>
      <c r="JIB21" s="55"/>
      <c r="JIC21" s="55"/>
      <c r="JID21" s="55"/>
      <c r="JIE21" s="55"/>
      <c r="JIF21" s="55"/>
      <c r="JIG21" s="55"/>
      <c r="JIH21" s="55"/>
      <c r="JII21" s="55"/>
      <c r="JIJ21" s="55"/>
      <c r="JIK21" s="55"/>
      <c r="JIL21" s="55"/>
      <c r="JIM21" s="55"/>
      <c r="JIN21" s="55"/>
      <c r="JIO21" s="55"/>
      <c r="JIP21" s="55"/>
      <c r="JIQ21" s="55"/>
      <c r="JIR21" s="55"/>
      <c r="JIS21" s="55"/>
      <c r="JIT21" s="55"/>
      <c r="JIU21" s="55"/>
      <c r="JIV21" s="55"/>
      <c r="JIW21" s="55"/>
      <c r="JIX21" s="55"/>
      <c r="JIY21" s="55"/>
      <c r="JIZ21" s="55"/>
      <c r="JJA21" s="55"/>
      <c r="JJB21" s="55"/>
      <c r="JJC21" s="55"/>
      <c r="JJD21" s="55"/>
      <c r="JJE21" s="55"/>
      <c r="JJF21" s="55"/>
      <c r="JJG21" s="55"/>
      <c r="JJH21" s="55"/>
      <c r="JJI21" s="55"/>
      <c r="JJJ21" s="55"/>
      <c r="JJK21" s="55"/>
      <c r="JJL21" s="55"/>
      <c r="JJM21" s="55"/>
      <c r="JJN21" s="55"/>
      <c r="JJO21" s="55"/>
      <c r="JJP21" s="55"/>
      <c r="JJQ21" s="55"/>
      <c r="JJR21" s="55"/>
      <c r="JJS21" s="55"/>
      <c r="JJT21" s="55"/>
      <c r="JJU21" s="55"/>
      <c r="JJV21" s="55"/>
      <c r="JJW21" s="55"/>
      <c r="JJX21" s="55"/>
      <c r="JJY21" s="55"/>
      <c r="JJZ21" s="55"/>
      <c r="JKA21" s="55"/>
      <c r="JKB21" s="55"/>
      <c r="JKC21" s="55"/>
      <c r="JKD21" s="55"/>
      <c r="JKE21" s="55"/>
      <c r="JKF21" s="55"/>
      <c r="JKG21" s="55"/>
      <c r="JKH21" s="55"/>
      <c r="JKI21" s="55"/>
      <c r="JKJ21" s="55"/>
      <c r="JKK21" s="55"/>
      <c r="JKL21" s="55"/>
      <c r="JKM21" s="55"/>
      <c r="JKN21" s="55"/>
      <c r="JKO21" s="55"/>
      <c r="JKP21" s="55"/>
      <c r="JKQ21" s="55"/>
      <c r="JKR21" s="55"/>
      <c r="JKS21" s="55"/>
      <c r="JKT21" s="55"/>
      <c r="JKU21" s="55"/>
      <c r="JKV21" s="55"/>
      <c r="JKW21" s="55"/>
      <c r="JKX21" s="55"/>
      <c r="JKY21" s="55"/>
      <c r="JKZ21" s="55"/>
      <c r="JLA21" s="55"/>
      <c r="JLB21" s="55"/>
      <c r="JLC21" s="55"/>
      <c r="JLD21" s="55"/>
      <c r="JLE21" s="55"/>
      <c r="JLF21" s="55"/>
      <c r="JLG21" s="55"/>
      <c r="JLH21" s="55"/>
      <c r="JLI21" s="55"/>
      <c r="JLJ21" s="55"/>
      <c r="JLK21" s="55"/>
      <c r="JLL21" s="55"/>
      <c r="JLM21" s="55"/>
      <c r="JLN21" s="55"/>
      <c r="JLO21" s="55"/>
      <c r="JLP21" s="55"/>
      <c r="JLQ21" s="55"/>
      <c r="JLR21" s="55"/>
      <c r="JLS21" s="55"/>
      <c r="JLT21" s="55"/>
      <c r="JLU21" s="55"/>
      <c r="JLV21" s="55"/>
      <c r="JLW21" s="55"/>
      <c r="JLX21" s="55"/>
      <c r="JLY21" s="55"/>
      <c r="JLZ21" s="55"/>
      <c r="JMA21" s="55"/>
      <c r="JMB21" s="55"/>
      <c r="JMC21" s="55"/>
      <c r="JMD21" s="55"/>
      <c r="JME21" s="55"/>
      <c r="JMF21" s="55"/>
      <c r="JMG21" s="55"/>
      <c r="JMH21" s="55"/>
      <c r="JMI21" s="55"/>
      <c r="JMJ21" s="55"/>
      <c r="JMK21" s="55"/>
      <c r="JML21" s="55"/>
      <c r="JMM21" s="55"/>
      <c r="JMN21" s="55"/>
      <c r="JMO21" s="55"/>
      <c r="JMP21" s="55"/>
      <c r="JMQ21" s="55"/>
      <c r="JMR21" s="55"/>
      <c r="JMS21" s="55"/>
      <c r="JMT21" s="55"/>
      <c r="JMU21" s="55"/>
      <c r="JMV21" s="55"/>
      <c r="JMW21" s="55"/>
      <c r="JMX21" s="55"/>
      <c r="JMY21" s="55"/>
      <c r="JMZ21" s="55"/>
      <c r="JNA21" s="55"/>
      <c r="JNB21" s="55"/>
      <c r="JNC21" s="55"/>
      <c r="JND21" s="55"/>
      <c r="JNE21" s="55"/>
      <c r="JNF21" s="55"/>
      <c r="JNG21" s="55"/>
      <c r="JNH21" s="55"/>
      <c r="JNI21" s="55"/>
      <c r="JNJ21" s="55"/>
      <c r="JNK21" s="55"/>
      <c r="JNL21" s="55"/>
      <c r="JNM21" s="55"/>
      <c r="JNN21" s="55"/>
      <c r="JNO21" s="55"/>
      <c r="JNP21" s="55"/>
      <c r="JNQ21" s="55"/>
      <c r="JNR21" s="55"/>
      <c r="JNS21" s="55"/>
      <c r="JNT21" s="55"/>
      <c r="JNU21" s="55"/>
      <c r="JNV21" s="55"/>
      <c r="JNW21" s="55"/>
      <c r="JNX21" s="55"/>
      <c r="JNY21" s="55"/>
      <c r="JNZ21" s="55"/>
      <c r="JOA21" s="55"/>
      <c r="JOB21" s="55"/>
      <c r="JOC21" s="55"/>
      <c r="JOD21" s="55"/>
      <c r="JOE21" s="55"/>
      <c r="JOF21" s="55"/>
      <c r="JOG21" s="55"/>
      <c r="JOH21" s="55"/>
      <c r="JOI21" s="55"/>
      <c r="JOJ21" s="55"/>
      <c r="JOK21" s="55"/>
      <c r="JOL21" s="55"/>
      <c r="JOM21" s="55"/>
      <c r="JON21" s="55"/>
      <c r="JOO21" s="55"/>
      <c r="JOP21" s="55"/>
      <c r="JOQ21" s="55"/>
      <c r="JOR21" s="55"/>
      <c r="JOS21" s="55"/>
      <c r="JOT21" s="55"/>
      <c r="JOU21" s="55"/>
      <c r="JOV21" s="55"/>
      <c r="JOW21" s="55"/>
      <c r="JOX21" s="55"/>
      <c r="JOY21" s="55"/>
      <c r="JOZ21" s="55"/>
      <c r="JPA21" s="55"/>
      <c r="JPB21" s="55"/>
      <c r="JPC21" s="55"/>
      <c r="JPD21" s="55"/>
      <c r="JPE21" s="55"/>
      <c r="JPF21" s="55"/>
      <c r="JPG21" s="55"/>
      <c r="JPH21" s="55"/>
      <c r="JPI21" s="55"/>
      <c r="JPJ21" s="55"/>
      <c r="JPK21" s="55"/>
      <c r="JPL21" s="55"/>
      <c r="JPM21" s="55"/>
      <c r="JPN21" s="55"/>
      <c r="JPO21" s="55"/>
      <c r="JPP21" s="55"/>
      <c r="JPQ21" s="55"/>
      <c r="JPR21" s="55"/>
      <c r="JPS21" s="55"/>
      <c r="JPT21" s="55"/>
      <c r="JPU21" s="55"/>
      <c r="JPV21" s="55"/>
      <c r="JPW21" s="55"/>
      <c r="JPX21" s="55"/>
      <c r="JPY21" s="55"/>
      <c r="JPZ21" s="55"/>
      <c r="JQA21" s="55"/>
      <c r="JQB21" s="55"/>
      <c r="JQC21" s="55"/>
      <c r="JQD21" s="55"/>
      <c r="JQE21" s="55"/>
      <c r="JQF21" s="55"/>
      <c r="JQG21" s="55"/>
      <c r="JQH21" s="55"/>
      <c r="JQI21" s="55"/>
      <c r="JQJ21" s="55"/>
      <c r="JQK21" s="55"/>
      <c r="JQL21" s="55"/>
      <c r="JQM21" s="55"/>
      <c r="JQN21" s="55"/>
      <c r="JQO21" s="55"/>
      <c r="JQP21" s="55"/>
      <c r="JQQ21" s="55"/>
      <c r="JQR21" s="55"/>
      <c r="JQS21" s="55"/>
      <c r="JQT21" s="55"/>
      <c r="JQU21" s="55"/>
      <c r="JQV21" s="55"/>
      <c r="JQW21" s="55"/>
      <c r="JQX21" s="55"/>
      <c r="JQY21" s="55"/>
      <c r="JQZ21" s="55"/>
      <c r="JRA21" s="55"/>
      <c r="JRB21" s="55"/>
      <c r="JRC21" s="55"/>
      <c r="JRD21" s="55"/>
      <c r="JRE21" s="55"/>
      <c r="JRF21" s="55"/>
      <c r="JRG21" s="55"/>
      <c r="JRH21" s="55"/>
      <c r="JRI21" s="55"/>
      <c r="JRJ21" s="55"/>
      <c r="JRK21" s="55"/>
      <c r="JRL21" s="55"/>
      <c r="JRM21" s="55"/>
      <c r="JRN21" s="55"/>
      <c r="JRO21" s="55"/>
      <c r="JRP21" s="55"/>
      <c r="JRQ21" s="55"/>
      <c r="JRR21" s="55"/>
      <c r="JRS21" s="55"/>
      <c r="JRT21" s="55"/>
      <c r="JRU21" s="55"/>
      <c r="JRV21" s="55"/>
      <c r="JRW21" s="55"/>
      <c r="JRX21" s="55"/>
      <c r="JRY21" s="55"/>
      <c r="JRZ21" s="55"/>
      <c r="JSA21" s="55"/>
      <c r="JSB21" s="55"/>
      <c r="JSC21" s="55"/>
      <c r="JSD21" s="55"/>
      <c r="JSE21" s="55"/>
      <c r="JSF21" s="55"/>
      <c r="JSG21" s="55"/>
      <c r="JSH21" s="55"/>
      <c r="JSI21" s="55"/>
      <c r="JSJ21" s="55"/>
      <c r="JSK21" s="55"/>
      <c r="JSL21" s="55"/>
      <c r="JSM21" s="55"/>
      <c r="JSN21" s="55"/>
      <c r="JSO21" s="55"/>
      <c r="JSP21" s="55"/>
      <c r="JSQ21" s="55"/>
      <c r="JSR21" s="55"/>
      <c r="JSS21" s="55"/>
      <c r="JST21" s="55"/>
      <c r="JSU21" s="55"/>
      <c r="JSV21" s="55"/>
      <c r="JSW21" s="55"/>
      <c r="JSX21" s="55"/>
      <c r="JSY21" s="55"/>
      <c r="JSZ21" s="55"/>
      <c r="JTA21" s="55"/>
      <c r="JTB21" s="55"/>
      <c r="JTC21" s="55"/>
      <c r="JTD21" s="55"/>
      <c r="JTE21" s="55"/>
      <c r="JTF21" s="55"/>
      <c r="JTG21" s="55"/>
      <c r="JTH21" s="55"/>
      <c r="JTI21" s="55"/>
      <c r="JTJ21" s="55"/>
      <c r="JTK21" s="55"/>
      <c r="JTL21" s="55"/>
      <c r="JTM21" s="55"/>
      <c r="JTN21" s="55"/>
      <c r="JTO21" s="55"/>
      <c r="JTP21" s="55"/>
      <c r="JTQ21" s="55"/>
      <c r="JTR21" s="55"/>
      <c r="JTS21" s="55"/>
      <c r="JTT21" s="55"/>
      <c r="JTU21" s="55"/>
      <c r="JTV21" s="55"/>
      <c r="JTW21" s="55"/>
      <c r="JTX21" s="55"/>
      <c r="JTY21" s="55"/>
      <c r="JTZ21" s="55"/>
      <c r="JUA21" s="55"/>
      <c r="JUB21" s="55"/>
      <c r="JUC21" s="55"/>
      <c r="JUD21" s="55"/>
      <c r="JUE21" s="55"/>
      <c r="JUF21" s="55"/>
      <c r="JUG21" s="55"/>
      <c r="JUH21" s="55"/>
      <c r="JUI21" s="55"/>
      <c r="JUJ21" s="55"/>
      <c r="JUK21" s="55"/>
      <c r="JUL21" s="55"/>
      <c r="JUM21" s="55"/>
      <c r="JUN21" s="55"/>
      <c r="JUO21" s="55"/>
      <c r="JUP21" s="55"/>
      <c r="JUQ21" s="55"/>
      <c r="JUR21" s="55"/>
      <c r="JUS21" s="55"/>
      <c r="JUT21" s="55"/>
      <c r="JUU21" s="55"/>
      <c r="JUV21" s="55"/>
      <c r="JUW21" s="55"/>
      <c r="JUX21" s="55"/>
      <c r="JUY21" s="55"/>
      <c r="JUZ21" s="55"/>
      <c r="JVA21" s="55"/>
      <c r="JVB21" s="55"/>
      <c r="JVC21" s="55"/>
      <c r="JVD21" s="55"/>
      <c r="JVE21" s="55"/>
      <c r="JVF21" s="55"/>
      <c r="JVG21" s="55"/>
      <c r="JVH21" s="55"/>
      <c r="JVI21" s="55"/>
      <c r="JVJ21" s="55"/>
      <c r="JVK21" s="55"/>
      <c r="JVL21" s="55"/>
      <c r="JVM21" s="55"/>
      <c r="JVN21" s="55"/>
      <c r="JVO21" s="55"/>
      <c r="JVP21" s="55"/>
      <c r="JVQ21" s="55"/>
      <c r="JVR21" s="55"/>
      <c r="JVS21" s="55"/>
      <c r="JVT21" s="55"/>
      <c r="JVU21" s="55"/>
      <c r="JVV21" s="55"/>
      <c r="JVW21" s="55"/>
      <c r="JVX21" s="55"/>
      <c r="JVY21" s="55"/>
      <c r="JVZ21" s="55"/>
      <c r="JWA21" s="55"/>
      <c r="JWB21" s="55"/>
      <c r="JWC21" s="55"/>
      <c r="JWD21" s="55"/>
      <c r="JWE21" s="55"/>
      <c r="JWF21" s="55"/>
      <c r="JWG21" s="55"/>
      <c r="JWH21" s="55"/>
      <c r="JWI21" s="55"/>
      <c r="JWJ21" s="55"/>
      <c r="JWK21" s="55"/>
      <c r="JWL21" s="55"/>
      <c r="JWM21" s="55"/>
      <c r="JWN21" s="55"/>
      <c r="JWO21" s="55"/>
      <c r="JWP21" s="55"/>
      <c r="JWQ21" s="55"/>
      <c r="JWR21" s="55"/>
      <c r="JWS21" s="55"/>
      <c r="JWT21" s="55"/>
      <c r="JWU21" s="55"/>
      <c r="JWV21" s="55"/>
      <c r="JWW21" s="55"/>
      <c r="JWX21" s="55"/>
      <c r="JWY21" s="55"/>
      <c r="JWZ21" s="55"/>
      <c r="JXA21" s="55"/>
      <c r="JXB21" s="55"/>
      <c r="JXC21" s="55"/>
      <c r="JXD21" s="55"/>
      <c r="JXE21" s="55"/>
      <c r="JXF21" s="55"/>
      <c r="JXG21" s="55"/>
      <c r="JXH21" s="55"/>
      <c r="JXI21" s="55"/>
      <c r="JXJ21" s="55"/>
      <c r="JXK21" s="55"/>
      <c r="JXL21" s="55"/>
      <c r="JXM21" s="55"/>
      <c r="JXN21" s="55"/>
      <c r="JXO21" s="55"/>
      <c r="JXP21" s="55"/>
      <c r="JXQ21" s="55"/>
      <c r="JXR21" s="55"/>
      <c r="JXS21" s="55"/>
      <c r="JXT21" s="55"/>
      <c r="JXU21" s="55"/>
      <c r="JXV21" s="55"/>
      <c r="JXW21" s="55"/>
      <c r="JXX21" s="55"/>
      <c r="JXY21" s="55"/>
      <c r="JXZ21" s="55"/>
      <c r="JYA21" s="55"/>
      <c r="JYB21" s="55"/>
      <c r="JYC21" s="55"/>
      <c r="JYD21" s="55"/>
      <c r="JYE21" s="55"/>
      <c r="JYF21" s="55"/>
      <c r="JYG21" s="55"/>
      <c r="JYH21" s="55"/>
      <c r="JYI21" s="55"/>
      <c r="JYJ21" s="55"/>
      <c r="JYK21" s="55"/>
      <c r="JYL21" s="55"/>
      <c r="JYM21" s="55"/>
      <c r="JYN21" s="55"/>
      <c r="JYO21" s="55"/>
      <c r="JYP21" s="55"/>
      <c r="JYQ21" s="55"/>
      <c r="JYR21" s="55"/>
      <c r="JYS21" s="55"/>
      <c r="JYT21" s="55"/>
      <c r="JYU21" s="55"/>
      <c r="JYV21" s="55"/>
      <c r="JYW21" s="55"/>
      <c r="JYX21" s="55"/>
      <c r="JYY21" s="55"/>
      <c r="JYZ21" s="55"/>
      <c r="JZA21" s="55"/>
      <c r="JZB21" s="55"/>
      <c r="JZC21" s="55"/>
      <c r="JZD21" s="55"/>
      <c r="JZE21" s="55"/>
      <c r="JZF21" s="55"/>
      <c r="JZG21" s="55"/>
      <c r="JZH21" s="55"/>
      <c r="JZI21" s="55"/>
      <c r="JZJ21" s="55"/>
      <c r="JZK21" s="55"/>
      <c r="JZL21" s="55"/>
      <c r="JZM21" s="55"/>
      <c r="JZN21" s="55"/>
      <c r="JZO21" s="55"/>
      <c r="JZP21" s="55"/>
      <c r="JZQ21" s="55"/>
      <c r="JZR21" s="55"/>
      <c r="JZS21" s="55"/>
      <c r="JZT21" s="55"/>
      <c r="JZU21" s="55"/>
      <c r="JZV21" s="55"/>
      <c r="JZW21" s="55"/>
      <c r="JZX21" s="55"/>
      <c r="JZY21" s="55"/>
      <c r="JZZ21" s="55"/>
      <c r="KAA21" s="55"/>
      <c r="KAB21" s="55"/>
      <c r="KAC21" s="55"/>
      <c r="KAD21" s="55"/>
      <c r="KAE21" s="55"/>
      <c r="KAF21" s="55"/>
      <c r="KAG21" s="55"/>
      <c r="KAH21" s="55"/>
      <c r="KAI21" s="55"/>
      <c r="KAJ21" s="55"/>
      <c r="KAK21" s="55"/>
      <c r="KAL21" s="55"/>
      <c r="KAM21" s="55"/>
      <c r="KAN21" s="55"/>
      <c r="KAO21" s="55"/>
      <c r="KAP21" s="55"/>
      <c r="KAQ21" s="55"/>
      <c r="KAR21" s="55"/>
      <c r="KAS21" s="55"/>
      <c r="KAT21" s="55"/>
      <c r="KAU21" s="55"/>
      <c r="KAV21" s="55"/>
      <c r="KAW21" s="55"/>
      <c r="KAX21" s="55"/>
      <c r="KAY21" s="55"/>
      <c r="KAZ21" s="55"/>
      <c r="KBA21" s="55"/>
      <c r="KBB21" s="55"/>
      <c r="KBC21" s="55"/>
      <c r="KBD21" s="55"/>
      <c r="KBE21" s="55"/>
      <c r="KBF21" s="55"/>
      <c r="KBG21" s="55"/>
      <c r="KBH21" s="55"/>
      <c r="KBI21" s="55"/>
      <c r="KBJ21" s="55"/>
      <c r="KBK21" s="55"/>
      <c r="KBL21" s="55"/>
      <c r="KBM21" s="55"/>
      <c r="KBN21" s="55"/>
      <c r="KBO21" s="55"/>
      <c r="KBP21" s="55"/>
      <c r="KBQ21" s="55"/>
      <c r="KBR21" s="55"/>
      <c r="KBS21" s="55"/>
      <c r="KBT21" s="55"/>
      <c r="KBU21" s="55"/>
      <c r="KBV21" s="55"/>
      <c r="KBW21" s="55"/>
      <c r="KBX21" s="55"/>
      <c r="KBY21" s="55"/>
      <c r="KBZ21" s="55"/>
      <c r="KCA21" s="55"/>
      <c r="KCB21" s="55"/>
      <c r="KCC21" s="55"/>
      <c r="KCD21" s="55"/>
      <c r="KCE21" s="55"/>
      <c r="KCF21" s="55"/>
      <c r="KCG21" s="55"/>
      <c r="KCH21" s="55"/>
      <c r="KCI21" s="55"/>
      <c r="KCJ21" s="55"/>
      <c r="KCK21" s="55"/>
      <c r="KCL21" s="55"/>
      <c r="KCM21" s="55"/>
      <c r="KCN21" s="55"/>
      <c r="KCO21" s="55"/>
      <c r="KCP21" s="55"/>
      <c r="KCQ21" s="55"/>
      <c r="KCR21" s="55"/>
      <c r="KCS21" s="55"/>
      <c r="KCT21" s="55"/>
      <c r="KCU21" s="55"/>
      <c r="KCV21" s="55"/>
      <c r="KCW21" s="55"/>
      <c r="KCX21" s="55"/>
      <c r="KCY21" s="55"/>
      <c r="KCZ21" s="55"/>
      <c r="KDA21" s="55"/>
      <c r="KDB21" s="55"/>
      <c r="KDC21" s="55"/>
      <c r="KDD21" s="55"/>
      <c r="KDE21" s="55"/>
      <c r="KDF21" s="55"/>
      <c r="KDG21" s="55"/>
      <c r="KDH21" s="55"/>
      <c r="KDI21" s="55"/>
      <c r="KDJ21" s="55"/>
      <c r="KDK21" s="55"/>
      <c r="KDL21" s="55"/>
      <c r="KDM21" s="55"/>
      <c r="KDN21" s="55"/>
      <c r="KDO21" s="55"/>
      <c r="KDP21" s="55"/>
      <c r="KDQ21" s="55"/>
      <c r="KDR21" s="55"/>
      <c r="KDS21" s="55"/>
      <c r="KDT21" s="55"/>
      <c r="KDU21" s="55"/>
      <c r="KDV21" s="55"/>
      <c r="KDW21" s="55"/>
      <c r="KDX21" s="55"/>
      <c r="KDY21" s="55"/>
      <c r="KDZ21" s="55"/>
      <c r="KEA21" s="55"/>
      <c r="KEB21" s="55"/>
      <c r="KEC21" s="55"/>
      <c r="KED21" s="55"/>
      <c r="KEE21" s="55"/>
      <c r="KEF21" s="55"/>
      <c r="KEG21" s="55"/>
      <c r="KEH21" s="55"/>
      <c r="KEI21" s="55"/>
      <c r="KEJ21" s="55"/>
      <c r="KEK21" s="55"/>
      <c r="KEL21" s="55"/>
      <c r="KEM21" s="55"/>
      <c r="KEN21" s="55"/>
      <c r="KEO21" s="55"/>
      <c r="KEP21" s="55"/>
      <c r="KEQ21" s="55"/>
      <c r="KER21" s="55"/>
      <c r="KES21" s="55"/>
      <c r="KET21" s="55"/>
      <c r="KEU21" s="55"/>
      <c r="KEV21" s="55"/>
      <c r="KEW21" s="55"/>
      <c r="KEX21" s="55"/>
      <c r="KEY21" s="55"/>
      <c r="KEZ21" s="55"/>
      <c r="KFA21" s="55"/>
      <c r="KFB21" s="55"/>
      <c r="KFC21" s="55"/>
      <c r="KFD21" s="55"/>
      <c r="KFE21" s="55"/>
      <c r="KFF21" s="55"/>
      <c r="KFG21" s="55"/>
      <c r="KFH21" s="55"/>
      <c r="KFI21" s="55"/>
      <c r="KFJ21" s="55"/>
      <c r="KFK21" s="55"/>
      <c r="KFL21" s="55"/>
      <c r="KFM21" s="55"/>
      <c r="KFN21" s="55"/>
      <c r="KFO21" s="55"/>
      <c r="KFP21" s="55"/>
      <c r="KFQ21" s="55"/>
      <c r="KFR21" s="55"/>
      <c r="KFS21" s="55"/>
      <c r="KFT21" s="55"/>
      <c r="KFU21" s="55"/>
      <c r="KFV21" s="55"/>
      <c r="KFW21" s="55"/>
      <c r="KFX21" s="55"/>
      <c r="KFY21" s="55"/>
      <c r="KFZ21" s="55"/>
      <c r="KGA21" s="55"/>
      <c r="KGB21" s="55"/>
      <c r="KGC21" s="55"/>
      <c r="KGD21" s="55"/>
      <c r="KGE21" s="55"/>
      <c r="KGF21" s="55"/>
      <c r="KGG21" s="55"/>
      <c r="KGH21" s="55"/>
      <c r="KGI21" s="55"/>
      <c r="KGJ21" s="55"/>
      <c r="KGK21" s="55"/>
      <c r="KGL21" s="55"/>
      <c r="KGM21" s="55"/>
      <c r="KGN21" s="55"/>
      <c r="KGO21" s="55"/>
      <c r="KGP21" s="55"/>
      <c r="KGQ21" s="55"/>
      <c r="KGR21" s="55"/>
      <c r="KGS21" s="55"/>
      <c r="KGT21" s="55"/>
      <c r="KGU21" s="55"/>
      <c r="KGV21" s="55"/>
      <c r="KGW21" s="55"/>
      <c r="KGX21" s="55"/>
      <c r="KGY21" s="55"/>
      <c r="KGZ21" s="55"/>
      <c r="KHA21" s="55"/>
      <c r="KHB21" s="55"/>
      <c r="KHC21" s="55"/>
      <c r="KHD21" s="55"/>
      <c r="KHE21" s="55"/>
      <c r="KHF21" s="55"/>
      <c r="KHG21" s="55"/>
      <c r="KHH21" s="55"/>
      <c r="KHI21" s="55"/>
      <c r="KHJ21" s="55"/>
      <c r="KHK21" s="55"/>
      <c r="KHL21" s="55"/>
      <c r="KHM21" s="55"/>
      <c r="KHN21" s="55"/>
      <c r="KHO21" s="55"/>
      <c r="KHP21" s="55"/>
      <c r="KHQ21" s="55"/>
      <c r="KHR21" s="55"/>
      <c r="KHS21" s="55"/>
      <c r="KHT21" s="55"/>
      <c r="KHU21" s="55"/>
      <c r="KHV21" s="55"/>
      <c r="KHW21" s="55"/>
      <c r="KHX21" s="55"/>
      <c r="KHY21" s="55"/>
      <c r="KHZ21" s="55"/>
      <c r="KIA21" s="55"/>
      <c r="KIB21" s="55"/>
      <c r="KIC21" s="55"/>
      <c r="KID21" s="55"/>
      <c r="KIE21" s="55"/>
      <c r="KIF21" s="55"/>
      <c r="KIG21" s="55"/>
      <c r="KIH21" s="55"/>
      <c r="KII21" s="55"/>
      <c r="KIJ21" s="55"/>
      <c r="KIK21" s="55"/>
      <c r="KIL21" s="55"/>
      <c r="KIM21" s="55"/>
      <c r="KIN21" s="55"/>
      <c r="KIO21" s="55"/>
      <c r="KIP21" s="55"/>
      <c r="KIQ21" s="55"/>
      <c r="KIR21" s="55"/>
      <c r="KIS21" s="55"/>
      <c r="KIT21" s="55"/>
      <c r="KIU21" s="55"/>
      <c r="KIV21" s="55"/>
      <c r="KIW21" s="55"/>
      <c r="KIX21" s="55"/>
      <c r="KIY21" s="55"/>
      <c r="KIZ21" s="55"/>
      <c r="KJA21" s="55"/>
      <c r="KJB21" s="55"/>
      <c r="KJC21" s="55"/>
      <c r="KJD21" s="55"/>
      <c r="KJE21" s="55"/>
      <c r="KJF21" s="55"/>
      <c r="KJG21" s="55"/>
      <c r="KJH21" s="55"/>
      <c r="KJI21" s="55"/>
      <c r="KJJ21" s="55"/>
      <c r="KJK21" s="55"/>
      <c r="KJL21" s="55"/>
      <c r="KJM21" s="55"/>
      <c r="KJN21" s="55"/>
      <c r="KJO21" s="55"/>
      <c r="KJP21" s="55"/>
      <c r="KJQ21" s="55"/>
      <c r="KJR21" s="55"/>
      <c r="KJS21" s="55"/>
      <c r="KJT21" s="55"/>
      <c r="KJU21" s="55"/>
      <c r="KJV21" s="55"/>
      <c r="KJW21" s="55"/>
      <c r="KJX21" s="55"/>
      <c r="KJY21" s="55"/>
      <c r="KJZ21" s="55"/>
      <c r="KKA21" s="55"/>
      <c r="KKB21" s="55"/>
      <c r="KKC21" s="55"/>
      <c r="KKD21" s="55"/>
      <c r="KKE21" s="55"/>
      <c r="KKF21" s="55"/>
      <c r="KKG21" s="55"/>
      <c r="KKH21" s="55"/>
      <c r="KKI21" s="55"/>
      <c r="KKJ21" s="55"/>
      <c r="KKK21" s="55"/>
      <c r="KKL21" s="55"/>
      <c r="KKM21" s="55"/>
      <c r="KKN21" s="55"/>
      <c r="KKO21" s="55"/>
      <c r="KKP21" s="55"/>
      <c r="KKQ21" s="55"/>
      <c r="KKR21" s="55"/>
      <c r="KKS21" s="55"/>
      <c r="KKT21" s="55"/>
      <c r="KKU21" s="55"/>
      <c r="KKV21" s="55"/>
      <c r="KKW21" s="55"/>
      <c r="KKX21" s="55"/>
      <c r="KKY21" s="55"/>
      <c r="KKZ21" s="55"/>
      <c r="KLA21" s="55"/>
      <c r="KLB21" s="55"/>
      <c r="KLC21" s="55"/>
      <c r="KLD21" s="55"/>
      <c r="KLE21" s="55"/>
      <c r="KLF21" s="55"/>
      <c r="KLG21" s="55"/>
      <c r="KLH21" s="55"/>
      <c r="KLI21" s="55"/>
      <c r="KLJ21" s="55"/>
      <c r="KLK21" s="55"/>
      <c r="KLL21" s="55"/>
      <c r="KLM21" s="55"/>
      <c r="KLN21" s="55"/>
      <c r="KLO21" s="55"/>
      <c r="KLP21" s="55"/>
      <c r="KLQ21" s="55"/>
      <c r="KLR21" s="55"/>
      <c r="KLS21" s="55"/>
      <c r="KLT21" s="55"/>
      <c r="KLU21" s="55"/>
      <c r="KLV21" s="55"/>
      <c r="KLW21" s="55"/>
      <c r="KLX21" s="55"/>
      <c r="KLY21" s="55"/>
      <c r="KLZ21" s="55"/>
      <c r="KMA21" s="55"/>
      <c r="KMB21" s="55"/>
      <c r="KMC21" s="55"/>
      <c r="KMD21" s="55"/>
      <c r="KME21" s="55"/>
      <c r="KMF21" s="55"/>
      <c r="KMG21" s="55"/>
      <c r="KMH21" s="55"/>
      <c r="KMI21" s="55"/>
      <c r="KMJ21" s="55"/>
      <c r="KMK21" s="55"/>
      <c r="KML21" s="55"/>
      <c r="KMM21" s="55"/>
      <c r="KMN21" s="55"/>
      <c r="KMO21" s="55"/>
      <c r="KMP21" s="55"/>
      <c r="KMQ21" s="55"/>
      <c r="KMR21" s="55"/>
      <c r="KMS21" s="55"/>
      <c r="KMT21" s="55"/>
      <c r="KMU21" s="55"/>
      <c r="KMV21" s="55"/>
      <c r="KMW21" s="55"/>
      <c r="KMX21" s="55"/>
      <c r="KMY21" s="55"/>
      <c r="KMZ21" s="55"/>
      <c r="KNA21" s="55"/>
      <c r="KNB21" s="55"/>
      <c r="KNC21" s="55"/>
      <c r="KND21" s="55"/>
      <c r="KNE21" s="55"/>
      <c r="KNF21" s="55"/>
      <c r="KNG21" s="55"/>
      <c r="KNH21" s="55"/>
      <c r="KNI21" s="55"/>
      <c r="KNJ21" s="55"/>
      <c r="KNK21" s="55"/>
      <c r="KNL21" s="55"/>
      <c r="KNM21" s="55"/>
      <c r="KNN21" s="55"/>
      <c r="KNO21" s="55"/>
      <c r="KNP21" s="55"/>
      <c r="KNQ21" s="55"/>
      <c r="KNR21" s="55"/>
      <c r="KNS21" s="55"/>
      <c r="KNT21" s="55"/>
      <c r="KNU21" s="55"/>
      <c r="KNV21" s="55"/>
      <c r="KNW21" s="55"/>
      <c r="KNX21" s="55"/>
      <c r="KNY21" s="55"/>
      <c r="KNZ21" s="55"/>
      <c r="KOA21" s="55"/>
      <c r="KOB21" s="55"/>
      <c r="KOC21" s="55"/>
      <c r="KOD21" s="55"/>
      <c r="KOE21" s="55"/>
      <c r="KOF21" s="55"/>
      <c r="KOG21" s="55"/>
      <c r="KOH21" s="55"/>
      <c r="KOI21" s="55"/>
      <c r="KOJ21" s="55"/>
      <c r="KOK21" s="55"/>
      <c r="KOL21" s="55"/>
      <c r="KOM21" s="55"/>
      <c r="KON21" s="55"/>
      <c r="KOO21" s="55"/>
      <c r="KOP21" s="55"/>
      <c r="KOQ21" s="55"/>
      <c r="KOR21" s="55"/>
      <c r="KOS21" s="55"/>
      <c r="KOT21" s="55"/>
      <c r="KOU21" s="55"/>
      <c r="KOV21" s="55"/>
      <c r="KOW21" s="55"/>
      <c r="KOX21" s="55"/>
      <c r="KOY21" s="55"/>
      <c r="KOZ21" s="55"/>
      <c r="KPA21" s="55"/>
      <c r="KPB21" s="55"/>
      <c r="KPC21" s="55"/>
      <c r="KPD21" s="55"/>
      <c r="KPE21" s="55"/>
      <c r="KPF21" s="55"/>
      <c r="KPG21" s="55"/>
      <c r="KPH21" s="55"/>
      <c r="KPI21" s="55"/>
      <c r="KPJ21" s="55"/>
      <c r="KPK21" s="55"/>
      <c r="KPL21" s="55"/>
      <c r="KPM21" s="55"/>
      <c r="KPN21" s="55"/>
      <c r="KPO21" s="55"/>
      <c r="KPP21" s="55"/>
      <c r="KPQ21" s="55"/>
      <c r="KPR21" s="55"/>
      <c r="KPS21" s="55"/>
      <c r="KPT21" s="55"/>
      <c r="KPU21" s="55"/>
      <c r="KPV21" s="55"/>
      <c r="KPW21" s="55"/>
      <c r="KPX21" s="55"/>
      <c r="KPY21" s="55"/>
      <c r="KPZ21" s="55"/>
      <c r="KQA21" s="55"/>
      <c r="KQB21" s="55"/>
      <c r="KQC21" s="55"/>
      <c r="KQD21" s="55"/>
      <c r="KQE21" s="55"/>
      <c r="KQF21" s="55"/>
      <c r="KQG21" s="55"/>
      <c r="KQH21" s="55"/>
      <c r="KQI21" s="55"/>
      <c r="KQJ21" s="55"/>
      <c r="KQK21" s="55"/>
      <c r="KQL21" s="55"/>
      <c r="KQM21" s="55"/>
      <c r="KQN21" s="55"/>
      <c r="KQO21" s="55"/>
      <c r="KQP21" s="55"/>
      <c r="KQQ21" s="55"/>
      <c r="KQR21" s="55"/>
      <c r="KQS21" s="55"/>
      <c r="KQT21" s="55"/>
      <c r="KQU21" s="55"/>
      <c r="KQV21" s="55"/>
      <c r="KQW21" s="55"/>
      <c r="KQX21" s="55"/>
      <c r="KQY21" s="55"/>
      <c r="KQZ21" s="55"/>
      <c r="KRA21" s="55"/>
      <c r="KRB21" s="55"/>
      <c r="KRC21" s="55"/>
      <c r="KRD21" s="55"/>
      <c r="KRE21" s="55"/>
      <c r="KRF21" s="55"/>
      <c r="KRG21" s="55"/>
      <c r="KRH21" s="55"/>
      <c r="KRI21" s="55"/>
      <c r="KRJ21" s="55"/>
      <c r="KRK21" s="55"/>
      <c r="KRL21" s="55"/>
      <c r="KRM21" s="55"/>
      <c r="KRN21" s="55"/>
      <c r="KRO21" s="55"/>
      <c r="KRP21" s="55"/>
      <c r="KRQ21" s="55"/>
      <c r="KRR21" s="55"/>
      <c r="KRS21" s="55"/>
      <c r="KRT21" s="55"/>
      <c r="KRU21" s="55"/>
      <c r="KRV21" s="55"/>
      <c r="KRW21" s="55"/>
      <c r="KRX21" s="55"/>
      <c r="KRY21" s="55"/>
      <c r="KRZ21" s="55"/>
      <c r="KSA21" s="55"/>
      <c r="KSB21" s="55"/>
      <c r="KSC21" s="55"/>
      <c r="KSD21" s="55"/>
      <c r="KSE21" s="55"/>
      <c r="KSF21" s="55"/>
      <c r="KSG21" s="55"/>
      <c r="KSH21" s="55"/>
      <c r="KSI21" s="55"/>
      <c r="KSJ21" s="55"/>
      <c r="KSK21" s="55"/>
      <c r="KSL21" s="55"/>
      <c r="KSM21" s="55"/>
      <c r="KSN21" s="55"/>
      <c r="KSO21" s="55"/>
      <c r="KSP21" s="55"/>
      <c r="KSQ21" s="55"/>
      <c r="KSR21" s="55"/>
      <c r="KSS21" s="55"/>
      <c r="KST21" s="55"/>
      <c r="KSU21" s="55"/>
      <c r="KSV21" s="55"/>
      <c r="KSW21" s="55"/>
      <c r="KSX21" s="55"/>
      <c r="KSY21" s="55"/>
      <c r="KSZ21" s="55"/>
      <c r="KTA21" s="55"/>
      <c r="KTB21" s="55"/>
      <c r="KTC21" s="55"/>
      <c r="KTD21" s="55"/>
      <c r="KTE21" s="55"/>
      <c r="KTF21" s="55"/>
      <c r="KTG21" s="55"/>
      <c r="KTH21" s="55"/>
      <c r="KTI21" s="55"/>
      <c r="KTJ21" s="55"/>
      <c r="KTK21" s="55"/>
      <c r="KTL21" s="55"/>
      <c r="KTM21" s="55"/>
      <c r="KTN21" s="55"/>
      <c r="KTO21" s="55"/>
      <c r="KTP21" s="55"/>
      <c r="KTQ21" s="55"/>
      <c r="KTR21" s="55"/>
      <c r="KTS21" s="55"/>
      <c r="KTT21" s="55"/>
      <c r="KTU21" s="55"/>
      <c r="KTV21" s="55"/>
      <c r="KTW21" s="55"/>
      <c r="KTX21" s="55"/>
      <c r="KTY21" s="55"/>
      <c r="KTZ21" s="55"/>
      <c r="KUA21" s="55"/>
      <c r="KUB21" s="55"/>
      <c r="KUC21" s="55"/>
      <c r="KUD21" s="55"/>
      <c r="KUE21" s="55"/>
      <c r="KUF21" s="55"/>
      <c r="KUG21" s="55"/>
      <c r="KUH21" s="55"/>
      <c r="KUI21" s="55"/>
      <c r="KUJ21" s="55"/>
      <c r="KUK21" s="55"/>
      <c r="KUL21" s="55"/>
      <c r="KUM21" s="55"/>
      <c r="KUN21" s="55"/>
      <c r="KUO21" s="55"/>
      <c r="KUP21" s="55"/>
      <c r="KUQ21" s="55"/>
      <c r="KUR21" s="55"/>
      <c r="KUS21" s="55"/>
      <c r="KUT21" s="55"/>
      <c r="KUU21" s="55"/>
      <c r="KUV21" s="55"/>
      <c r="KUW21" s="55"/>
      <c r="KUX21" s="55"/>
      <c r="KUY21" s="55"/>
      <c r="KUZ21" s="55"/>
      <c r="KVA21" s="55"/>
      <c r="KVB21" s="55"/>
      <c r="KVC21" s="55"/>
      <c r="KVD21" s="55"/>
      <c r="KVE21" s="55"/>
      <c r="KVF21" s="55"/>
      <c r="KVG21" s="55"/>
      <c r="KVH21" s="55"/>
      <c r="KVI21" s="55"/>
      <c r="KVJ21" s="55"/>
      <c r="KVK21" s="55"/>
      <c r="KVL21" s="55"/>
      <c r="KVM21" s="55"/>
      <c r="KVN21" s="55"/>
      <c r="KVO21" s="55"/>
      <c r="KVP21" s="55"/>
      <c r="KVQ21" s="55"/>
      <c r="KVR21" s="55"/>
      <c r="KVS21" s="55"/>
      <c r="KVT21" s="55"/>
      <c r="KVU21" s="55"/>
      <c r="KVV21" s="55"/>
      <c r="KVW21" s="55"/>
      <c r="KVX21" s="55"/>
      <c r="KVY21" s="55"/>
      <c r="KVZ21" s="55"/>
      <c r="KWA21" s="55"/>
      <c r="KWB21" s="55"/>
      <c r="KWC21" s="55"/>
      <c r="KWD21" s="55"/>
      <c r="KWE21" s="55"/>
      <c r="KWF21" s="55"/>
      <c r="KWG21" s="55"/>
      <c r="KWH21" s="55"/>
      <c r="KWI21" s="55"/>
      <c r="KWJ21" s="55"/>
      <c r="KWK21" s="55"/>
      <c r="KWL21" s="55"/>
      <c r="KWM21" s="55"/>
      <c r="KWN21" s="55"/>
      <c r="KWO21" s="55"/>
      <c r="KWP21" s="55"/>
      <c r="KWQ21" s="55"/>
      <c r="KWR21" s="55"/>
      <c r="KWS21" s="55"/>
      <c r="KWT21" s="55"/>
      <c r="KWU21" s="55"/>
      <c r="KWV21" s="55"/>
      <c r="KWW21" s="55"/>
      <c r="KWX21" s="55"/>
      <c r="KWY21" s="55"/>
      <c r="KWZ21" s="55"/>
      <c r="KXA21" s="55"/>
      <c r="KXB21" s="55"/>
      <c r="KXC21" s="55"/>
      <c r="KXD21" s="55"/>
      <c r="KXE21" s="55"/>
      <c r="KXF21" s="55"/>
      <c r="KXG21" s="55"/>
      <c r="KXH21" s="55"/>
      <c r="KXI21" s="55"/>
      <c r="KXJ21" s="55"/>
      <c r="KXK21" s="55"/>
      <c r="KXL21" s="55"/>
      <c r="KXM21" s="55"/>
      <c r="KXN21" s="55"/>
      <c r="KXO21" s="55"/>
      <c r="KXP21" s="55"/>
      <c r="KXQ21" s="55"/>
      <c r="KXR21" s="55"/>
      <c r="KXS21" s="55"/>
      <c r="KXT21" s="55"/>
      <c r="KXU21" s="55"/>
      <c r="KXV21" s="55"/>
      <c r="KXW21" s="55"/>
      <c r="KXX21" s="55"/>
      <c r="KXY21" s="55"/>
      <c r="KXZ21" s="55"/>
      <c r="KYA21" s="55"/>
      <c r="KYB21" s="55"/>
      <c r="KYC21" s="55"/>
      <c r="KYD21" s="55"/>
      <c r="KYE21" s="55"/>
      <c r="KYF21" s="55"/>
      <c r="KYG21" s="55"/>
      <c r="KYH21" s="55"/>
      <c r="KYI21" s="55"/>
      <c r="KYJ21" s="55"/>
      <c r="KYK21" s="55"/>
      <c r="KYL21" s="55"/>
      <c r="KYM21" s="55"/>
      <c r="KYN21" s="55"/>
      <c r="KYO21" s="55"/>
      <c r="KYP21" s="55"/>
      <c r="KYQ21" s="55"/>
      <c r="KYR21" s="55"/>
      <c r="KYS21" s="55"/>
      <c r="KYT21" s="55"/>
      <c r="KYU21" s="55"/>
      <c r="KYV21" s="55"/>
      <c r="KYW21" s="55"/>
      <c r="KYX21" s="55"/>
      <c r="KYY21" s="55"/>
      <c r="KYZ21" s="55"/>
      <c r="KZA21" s="55"/>
      <c r="KZB21" s="55"/>
      <c r="KZC21" s="55"/>
      <c r="KZD21" s="55"/>
      <c r="KZE21" s="55"/>
      <c r="KZF21" s="55"/>
      <c r="KZG21" s="55"/>
      <c r="KZH21" s="55"/>
      <c r="KZI21" s="55"/>
      <c r="KZJ21" s="55"/>
      <c r="KZK21" s="55"/>
      <c r="KZL21" s="55"/>
      <c r="KZM21" s="55"/>
      <c r="KZN21" s="55"/>
      <c r="KZO21" s="55"/>
      <c r="KZP21" s="55"/>
      <c r="KZQ21" s="55"/>
      <c r="KZR21" s="55"/>
      <c r="KZS21" s="55"/>
      <c r="KZT21" s="55"/>
      <c r="KZU21" s="55"/>
      <c r="KZV21" s="55"/>
      <c r="KZW21" s="55"/>
      <c r="KZX21" s="55"/>
      <c r="KZY21" s="55"/>
      <c r="KZZ21" s="55"/>
      <c r="LAA21" s="55"/>
      <c r="LAB21" s="55"/>
      <c r="LAC21" s="55"/>
      <c r="LAD21" s="55"/>
      <c r="LAE21" s="55"/>
      <c r="LAF21" s="55"/>
      <c r="LAG21" s="55"/>
      <c r="LAH21" s="55"/>
      <c r="LAI21" s="55"/>
      <c r="LAJ21" s="55"/>
      <c r="LAK21" s="55"/>
      <c r="LAL21" s="55"/>
      <c r="LAM21" s="55"/>
      <c r="LAN21" s="55"/>
      <c r="LAO21" s="55"/>
      <c r="LAP21" s="55"/>
      <c r="LAQ21" s="55"/>
      <c r="LAR21" s="55"/>
      <c r="LAS21" s="55"/>
      <c r="LAT21" s="55"/>
      <c r="LAU21" s="55"/>
      <c r="LAV21" s="55"/>
      <c r="LAW21" s="55"/>
      <c r="LAX21" s="55"/>
      <c r="LAY21" s="55"/>
      <c r="LAZ21" s="55"/>
      <c r="LBA21" s="55"/>
      <c r="LBB21" s="55"/>
      <c r="LBC21" s="55"/>
      <c r="LBD21" s="55"/>
      <c r="LBE21" s="55"/>
      <c r="LBF21" s="55"/>
      <c r="LBG21" s="55"/>
      <c r="LBH21" s="55"/>
      <c r="LBI21" s="55"/>
      <c r="LBJ21" s="55"/>
      <c r="LBK21" s="55"/>
      <c r="LBL21" s="55"/>
      <c r="LBM21" s="55"/>
      <c r="LBN21" s="55"/>
      <c r="LBO21" s="55"/>
      <c r="LBP21" s="55"/>
      <c r="LBQ21" s="55"/>
      <c r="LBR21" s="55"/>
      <c r="LBS21" s="55"/>
      <c r="LBT21" s="55"/>
      <c r="LBU21" s="55"/>
      <c r="LBV21" s="55"/>
      <c r="LBW21" s="55"/>
      <c r="LBX21" s="55"/>
      <c r="LBY21" s="55"/>
      <c r="LBZ21" s="55"/>
      <c r="LCA21" s="55"/>
      <c r="LCB21" s="55"/>
      <c r="LCC21" s="55"/>
      <c r="LCD21" s="55"/>
      <c r="LCE21" s="55"/>
      <c r="LCF21" s="55"/>
      <c r="LCG21" s="55"/>
      <c r="LCH21" s="55"/>
      <c r="LCI21" s="55"/>
      <c r="LCJ21" s="55"/>
      <c r="LCK21" s="55"/>
      <c r="LCL21" s="55"/>
      <c r="LCM21" s="55"/>
      <c r="LCN21" s="55"/>
      <c r="LCO21" s="55"/>
      <c r="LCP21" s="55"/>
      <c r="LCQ21" s="55"/>
      <c r="LCR21" s="55"/>
      <c r="LCS21" s="55"/>
      <c r="LCT21" s="55"/>
      <c r="LCU21" s="55"/>
      <c r="LCV21" s="55"/>
      <c r="LCW21" s="55"/>
      <c r="LCX21" s="55"/>
      <c r="LCY21" s="55"/>
      <c r="LCZ21" s="55"/>
      <c r="LDA21" s="55"/>
      <c r="LDB21" s="55"/>
      <c r="LDC21" s="55"/>
      <c r="LDD21" s="55"/>
      <c r="LDE21" s="55"/>
      <c r="LDF21" s="55"/>
      <c r="LDG21" s="55"/>
      <c r="LDH21" s="55"/>
      <c r="LDI21" s="55"/>
      <c r="LDJ21" s="55"/>
      <c r="LDK21" s="55"/>
      <c r="LDL21" s="55"/>
      <c r="LDM21" s="55"/>
      <c r="LDN21" s="55"/>
      <c r="LDO21" s="55"/>
      <c r="LDP21" s="55"/>
      <c r="LDQ21" s="55"/>
      <c r="LDR21" s="55"/>
      <c r="LDS21" s="55"/>
      <c r="LDT21" s="55"/>
      <c r="LDU21" s="55"/>
      <c r="LDV21" s="55"/>
      <c r="LDW21" s="55"/>
      <c r="LDX21" s="55"/>
      <c r="LDY21" s="55"/>
      <c r="LDZ21" s="55"/>
      <c r="LEA21" s="55"/>
      <c r="LEB21" s="55"/>
      <c r="LEC21" s="55"/>
      <c r="LED21" s="55"/>
      <c r="LEE21" s="55"/>
      <c r="LEF21" s="55"/>
      <c r="LEG21" s="55"/>
      <c r="LEH21" s="55"/>
      <c r="LEI21" s="55"/>
      <c r="LEJ21" s="55"/>
      <c r="LEK21" s="55"/>
      <c r="LEL21" s="55"/>
      <c r="LEM21" s="55"/>
      <c r="LEN21" s="55"/>
      <c r="LEO21" s="55"/>
      <c r="LEP21" s="55"/>
      <c r="LEQ21" s="55"/>
      <c r="LER21" s="55"/>
      <c r="LES21" s="55"/>
      <c r="LET21" s="55"/>
      <c r="LEU21" s="55"/>
      <c r="LEV21" s="55"/>
      <c r="LEW21" s="55"/>
      <c r="LEX21" s="55"/>
      <c r="LEY21" s="55"/>
      <c r="LEZ21" s="55"/>
      <c r="LFA21" s="55"/>
      <c r="LFB21" s="55"/>
      <c r="LFC21" s="55"/>
      <c r="LFD21" s="55"/>
      <c r="LFE21" s="55"/>
      <c r="LFF21" s="55"/>
      <c r="LFG21" s="55"/>
      <c r="LFH21" s="55"/>
      <c r="LFI21" s="55"/>
      <c r="LFJ21" s="55"/>
      <c r="LFK21" s="55"/>
      <c r="LFL21" s="55"/>
      <c r="LFM21" s="55"/>
      <c r="LFN21" s="55"/>
      <c r="LFO21" s="55"/>
      <c r="LFP21" s="55"/>
      <c r="LFQ21" s="55"/>
      <c r="LFR21" s="55"/>
      <c r="LFS21" s="55"/>
      <c r="LFT21" s="55"/>
      <c r="LFU21" s="55"/>
      <c r="LFV21" s="55"/>
      <c r="LFW21" s="55"/>
      <c r="LFX21" s="55"/>
      <c r="LFY21" s="55"/>
      <c r="LFZ21" s="55"/>
      <c r="LGA21" s="55"/>
      <c r="LGB21" s="55"/>
      <c r="LGC21" s="55"/>
      <c r="LGD21" s="55"/>
      <c r="LGE21" s="55"/>
      <c r="LGF21" s="55"/>
      <c r="LGG21" s="55"/>
      <c r="LGH21" s="55"/>
      <c r="LGI21" s="55"/>
      <c r="LGJ21" s="55"/>
      <c r="LGK21" s="55"/>
      <c r="LGL21" s="55"/>
      <c r="LGM21" s="55"/>
      <c r="LGN21" s="55"/>
      <c r="LGO21" s="55"/>
      <c r="LGP21" s="55"/>
      <c r="LGQ21" s="55"/>
      <c r="LGR21" s="55"/>
      <c r="LGS21" s="55"/>
      <c r="LGT21" s="55"/>
      <c r="LGU21" s="55"/>
      <c r="LGV21" s="55"/>
      <c r="LGW21" s="55"/>
      <c r="LGX21" s="55"/>
      <c r="LGY21" s="55"/>
      <c r="LGZ21" s="55"/>
      <c r="LHA21" s="55"/>
      <c r="LHB21" s="55"/>
      <c r="LHC21" s="55"/>
      <c r="LHD21" s="55"/>
      <c r="LHE21" s="55"/>
      <c r="LHF21" s="55"/>
      <c r="LHG21" s="55"/>
      <c r="LHH21" s="55"/>
      <c r="LHI21" s="55"/>
      <c r="LHJ21" s="55"/>
      <c r="LHK21" s="55"/>
      <c r="LHL21" s="55"/>
      <c r="LHM21" s="55"/>
      <c r="LHN21" s="55"/>
      <c r="LHO21" s="55"/>
      <c r="LHP21" s="55"/>
      <c r="LHQ21" s="55"/>
      <c r="LHR21" s="55"/>
      <c r="LHS21" s="55"/>
      <c r="LHT21" s="55"/>
      <c r="LHU21" s="55"/>
      <c r="LHV21" s="55"/>
      <c r="LHW21" s="55"/>
      <c r="LHX21" s="55"/>
      <c r="LHY21" s="55"/>
      <c r="LHZ21" s="55"/>
      <c r="LIA21" s="55"/>
      <c r="LIB21" s="55"/>
      <c r="LIC21" s="55"/>
      <c r="LID21" s="55"/>
      <c r="LIE21" s="55"/>
      <c r="LIF21" s="55"/>
      <c r="LIG21" s="55"/>
      <c r="LIH21" s="55"/>
      <c r="LII21" s="55"/>
      <c r="LIJ21" s="55"/>
      <c r="LIK21" s="55"/>
      <c r="LIL21" s="55"/>
      <c r="LIM21" s="55"/>
      <c r="LIN21" s="55"/>
      <c r="LIO21" s="55"/>
      <c r="LIP21" s="55"/>
      <c r="LIQ21" s="55"/>
      <c r="LIR21" s="55"/>
      <c r="LIS21" s="55"/>
      <c r="LIT21" s="55"/>
      <c r="LIU21" s="55"/>
      <c r="LIV21" s="55"/>
      <c r="LIW21" s="55"/>
      <c r="LIX21" s="55"/>
      <c r="LIY21" s="55"/>
      <c r="LIZ21" s="55"/>
      <c r="LJA21" s="55"/>
      <c r="LJB21" s="55"/>
      <c r="LJC21" s="55"/>
      <c r="LJD21" s="55"/>
      <c r="LJE21" s="55"/>
      <c r="LJF21" s="55"/>
      <c r="LJG21" s="55"/>
      <c r="LJH21" s="55"/>
      <c r="LJI21" s="55"/>
      <c r="LJJ21" s="55"/>
      <c r="LJK21" s="55"/>
      <c r="LJL21" s="55"/>
      <c r="LJM21" s="55"/>
      <c r="LJN21" s="55"/>
      <c r="LJO21" s="55"/>
      <c r="LJP21" s="55"/>
      <c r="LJQ21" s="55"/>
      <c r="LJR21" s="55"/>
      <c r="LJS21" s="55"/>
      <c r="LJT21" s="55"/>
      <c r="LJU21" s="55"/>
      <c r="LJV21" s="55"/>
      <c r="LJW21" s="55"/>
      <c r="LJX21" s="55"/>
      <c r="LJY21" s="55"/>
      <c r="LJZ21" s="55"/>
      <c r="LKA21" s="55"/>
      <c r="LKB21" s="55"/>
      <c r="LKC21" s="55"/>
      <c r="LKD21" s="55"/>
      <c r="LKE21" s="55"/>
      <c r="LKF21" s="55"/>
      <c r="LKG21" s="55"/>
      <c r="LKH21" s="55"/>
      <c r="LKI21" s="55"/>
      <c r="LKJ21" s="55"/>
      <c r="LKK21" s="55"/>
      <c r="LKL21" s="55"/>
      <c r="LKM21" s="55"/>
      <c r="LKN21" s="55"/>
      <c r="LKO21" s="55"/>
      <c r="LKP21" s="55"/>
      <c r="LKQ21" s="55"/>
      <c r="LKR21" s="55"/>
      <c r="LKS21" s="55"/>
      <c r="LKT21" s="55"/>
      <c r="LKU21" s="55"/>
      <c r="LKV21" s="55"/>
      <c r="LKW21" s="55"/>
      <c r="LKX21" s="55"/>
      <c r="LKY21" s="55"/>
      <c r="LKZ21" s="55"/>
      <c r="LLA21" s="55"/>
      <c r="LLB21" s="55"/>
      <c r="LLC21" s="55"/>
      <c r="LLD21" s="55"/>
      <c r="LLE21" s="55"/>
      <c r="LLF21" s="55"/>
      <c r="LLG21" s="55"/>
      <c r="LLH21" s="55"/>
      <c r="LLI21" s="55"/>
      <c r="LLJ21" s="55"/>
      <c r="LLK21" s="55"/>
      <c r="LLL21" s="55"/>
      <c r="LLM21" s="55"/>
      <c r="LLN21" s="55"/>
      <c r="LLO21" s="55"/>
      <c r="LLP21" s="55"/>
      <c r="LLQ21" s="55"/>
      <c r="LLR21" s="55"/>
      <c r="LLS21" s="55"/>
      <c r="LLT21" s="55"/>
      <c r="LLU21" s="55"/>
      <c r="LLV21" s="55"/>
      <c r="LLW21" s="55"/>
      <c r="LLX21" s="55"/>
      <c r="LLY21" s="55"/>
      <c r="LLZ21" s="55"/>
      <c r="LMA21" s="55"/>
      <c r="LMB21" s="55"/>
      <c r="LMC21" s="55"/>
      <c r="LMD21" s="55"/>
      <c r="LME21" s="55"/>
      <c r="LMF21" s="55"/>
      <c r="LMG21" s="55"/>
      <c r="LMH21" s="55"/>
      <c r="LMI21" s="55"/>
      <c r="LMJ21" s="55"/>
      <c r="LMK21" s="55"/>
      <c r="LML21" s="55"/>
      <c r="LMM21" s="55"/>
      <c r="LMN21" s="55"/>
      <c r="LMO21" s="55"/>
      <c r="LMP21" s="55"/>
      <c r="LMQ21" s="55"/>
      <c r="LMR21" s="55"/>
      <c r="LMS21" s="55"/>
      <c r="LMT21" s="55"/>
      <c r="LMU21" s="55"/>
      <c r="LMV21" s="55"/>
      <c r="LMW21" s="55"/>
      <c r="LMX21" s="55"/>
      <c r="LMY21" s="55"/>
      <c r="LMZ21" s="55"/>
      <c r="LNA21" s="55"/>
      <c r="LNB21" s="55"/>
      <c r="LNC21" s="55"/>
      <c r="LND21" s="55"/>
      <c r="LNE21" s="55"/>
      <c r="LNF21" s="55"/>
      <c r="LNG21" s="55"/>
      <c r="LNH21" s="55"/>
      <c r="LNI21" s="55"/>
      <c r="LNJ21" s="55"/>
      <c r="LNK21" s="55"/>
      <c r="LNL21" s="55"/>
      <c r="LNM21" s="55"/>
      <c r="LNN21" s="55"/>
      <c r="LNO21" s="55"/>
      <c r="LNP21" s="55"/>
      <c r="LNQ21" s="55"/>
      <c r="LNR21" s="55"/>
      <c r="LNS21" s="55"/>
      <c r="LNT21" s="55"/>
      <c r="LNU21" s="55"/>
      <c r="LNV21" s="55"/>
      <c r="LNW21" s="55"/>
      <c r="LNX21" s="55"/>
      <c r="LNY21" s="55"/>
      <c r="LNZ21" s="55"/>
      <c r="LOA21" s="55"/>
      <c r="LOB21" s="55"/>
      <c r="LOC21" s="55"/>
      <c r="LOD21" s="55"/>
      <c r="LOE21" s="55"/>
      <c r="LOF21" s="55"/>
      <c r="LOG21" s="55"/>
      <c r="LOH21" s="55"/>
      <c r="LOI21" s="55"/>
      <c r="LOJ21" s="55"/>
      <c r="LOK21" s="55"/>
      <c r="LOL21" s="55"/>
      <c r="LOM21" s="55"/>
      <c r="LON21" s="55"/>
      <c r="LOO21" s="55"/>
      <c r="LOP21" s="55"/>
      <c r="LOQ21" s="55"/>
      <c r="LOR21" s="55"/>
      <c r="LOS21" s="55"/>
      <c r="LOT21" s="55"/>
      <c r="LOU21" s="55"/>
      <c r="LOV21" s="55"/>
      <c r="LOW21" s="55"/>
      <c r="LOX21" s="55"/>
      <c r="LOY21" s="55"/>
      <c r="LOZ21" s="55"/>
      <c r="LPA21" s="55"/>
      <c r="LPB21" s="55"/>
      <c r="LPC21" s="55"/>
      <c r="LPD21" s="55"/>
      <c r="LPE21" s="55"/>
      <c r="LPF21" s="55"/>
      <c r="LPG21" s="55"/>
      <c r="LPH21" s="55"/>
      <c r="LPI21" s="55"/>
      <c r="LPJ21" s="55"/>
      <c r="LPK21" s="55"/>
      <c r="LPL21" s="55"/>
      <c r="LPM21" s="55"/>
      <c r="LPN21" s="55"/>
      <c r="LPO21" s="55"/>
      <c r="LPP21" s="55"/>
      <c r="LPQ21" s="55"/>
      <c r="LPR21" s="55"/>
      <c r="LPS21" s="55"/>
      <c r="LPT21" s="55"/>
      <c r="LPU21" s="55"/>
      <c r="LPV21" s="55"/>
      <c r="LPW21" s="55"/>
      <c r="LPX21" s="55"/>
      <c r="LPY21" s="55"/>
      <c r="LPZ21" s="55"/>
      <c r="LQA21" s="55"/>
      <c r="LQB21" s="55"/>
      <c r="LQC21" s="55"/>
      <c r="LQD21" s="55"/>
      <c r="LQE21" s="55"/>
      <c r="LQF21" s="55"/>
      <c r="LQG21" s="55"/>
      <c r="LQH21" s="55"/>
      <c r="LQI21" s="55"/>
      <c r="LQJ21" s="55"/>
      <c r="LQK21" s="55"/>
      <c r="LQL21" s="55"/>
      <c r="LQM21" s="55"/>
      <c r="LQN21" s="55"/>
      <c r="LQO21" s="55"/>
      <c r="LQP21" s="55"/>
      <c r="LQQ21" s="55"/>
      <c r="LQR21" s="55"/>
      <c r="LQS21" s="55"/>
      <c r="LQT21" s="55"/>
      <c r="LQU21" s="55"/>
      <c r="LQV21" s="55"/>
      <c r="LQW21" s="55"/>
      <c r="LQX21" s="55"/>
      <c r="LQY21" s="55"/>
      <c r="LQZ21" s="55"/>
      <c r="LRA21" s="55"/>
      <c r="LRB21" s="55"/>
      <c r="LRC21" s="55"/>
      <c r="LRD21" s="55"/>
      <c r="LRE21" s="55"/>
      <c r="LRF21" s="55"/>
      <c r="LRG21" s="55"/>
      <c r="LRH21" s="55"/>
      <c r="LRI21" s="55"/>
      <c r="LRJ21" s="55"/>
      <c r="LRK21" s="55"/>
      <c r="LRL21" s="55"/>
      <c r="LRM21" s="55"/>
      <c r="LRN21" s="55"/>
      <c r="LRO21" s="55"/>
      <c r="LRP21" s="55"/>
      <c r="LRQ21" s="55"/>
      <c r="LRR21" s="55"/>
      <c r="LRS21" s="55"/>
      <c r="LRT21" s="55"/>
      <c r="LRU21" s="55"/>
      <c r="LRV21" s="55"/>
      <c r="LRW21" s="55"/>
      <c r="LRX21" s="55"/>
      <c r="LRY21" s="55"/>
      <c r="LRZ21" s="55"/>
      <c r="LSA21" s="55"/>
      <c r="LSB21" s="55"/>
      <c r="LSC21" s="55"/>
      <c r="LSD21" s="55"/>
      <c r="LSE21" s="55"/>
      <c r="LSF21" s="55"/>
      <c r="LSG21" s="55"/>
      <c r="LSH21" s="55"/>
      <c r="LSI21" s="55"/>
      <c r="LSJ21" s="55"/>
      <c r="LSK21" s="55"/>
      <c r="LSL21" s="55"/>
      <c r="LSM21" s="55"/>
      <c r="LSN21" s="55"/>
      <c r="LSO21" s="55"/>
      <c r="LSP21" s="55"/>
      <c r="LSQ21" s="55"/>
      <c r="LSR21" s="55"/>
      <c r="LSS21" s="55"/>
      <c r="LST21" s="55"/>
      <c r="LSU21" s="55"/>
      <c r="LSV21" s="55"/>
      <c r="LSW21" s="55"/>
      <c r="LSX21" s="55"/>
      <c r="LSY21" s="55"/>
      <c r="LSZ21" s="55"/>
      <c r="LTA21" s="55"/>
      <c r="LTB21" s="55"/>
      <c r="LTC21" s="55"/>
      <c r="LTD21" s="55"/>
      <c r="LTE21" s="55"/>
      <c r="LTF21" s="55"/>
      <c r="LTG21" s="55"/>
      <c r="LTH21" s="55"/>
      <c r="LTI21" s="55"/>
      <c r="LTJ21" s="55"/>
      <c r="LTK21" s="55"/>
      <c r="LTL21" s="55"/>
      <c r="LTM21" s="55"/>
      <c r="LTN21" s="55"/>
      <c r="LTO21" s="55"/>
      <c r="LTP21" s="55"/>
      <c r="LTQ21" s="55"/>
      <c r="LTR21" s="55"/>
      <c r="LTS21" s="55"/>
      <c r="LTT21" s="55"/>
      <c r="LTU21" s="55"/>
      <c r="LTV21" s="55"/>
      <c r="LTW21" s="55"/>
      <c r="LTX21" s="55"/>
      <c r="LTY21" s="55"/>
      <c r="LTZ21" s="55"/>
      <c r="LUA21" s="55"/>
      <c r="LUB21" s="55"/>
      <c r="LUC21" s="55"/>
      <c r="LUD21" s="55"/>
      <c r="LUE21" s="55"/>
      <c r="LUF21" s="55"/>
      <c r="LUG21" s="55"/>
      <c r="LUH21" s="55"/>
      <c r="LUI21" s="55"/>
      <c r="LUJ21" s="55"/>
      <c r="LUK21" s="55"/>
      <c r="LUL21" s="55"/>
      <c r="LUM21" s="55"/>
      <c r="LUN21" s="55"/>
      <c r="LUO21" s="55"/>
      <c r="LUP21" s="55"/>
      <c r="LUQ21" s="55"/>
      <c r="LUR21" s="55"/>
      <c r="LUS21" s="55"/>
      <c r="LUT21" s="55"/>
      <c r="LUU21" s="55"/>
      <c r="LUV21" s="55"/>
      <c r="LUW21" s="55"/>
      <c r="LUX21" s="55"/>
      <c r="LUY21" s="55"/>
      <c r="LUZ21" s="55"/>
      <c r="LVA21" s="55"/>
      <c r="LVB21" s="55"/>
      <c r="LVC21" s="55"/>
      <c r="LVD21" s="55"/>
      <c r="LVE21" s="55"/>
      <c r="LVF21" s="55"/>
      <c r="LVG21" s="55"/>
      <c r="LVH21" s="55"/>
      <c r="LVI21" s="55"/>
      <c r="LVJ21" s="55"/>
      <c r="LVK21" s="55"/>
      <c r="LVL21" s="55"/>
      <c r="LVM21" s="55"/>
      <c r="LVN21" s="55"/>
      <c r="LVO21" s="55"/>
      <c r="LVP21" s="55"/>
      <c r="LVQ21" s="55"/>
      <c r="LVR21" s="55"/>
      <c r="LVS21" s="55"/>
      <c r="LVT21" s="55"/>
      <c r="LVU21" s="55"/>
      <c r="LVV21" s="55"/>
      <c r="LVW21" s="55"/>
      <c r="LVX21" s="55"/>
      <c r="LVY21" s="55"/>
      <c r="LVZ21" s="55"/>
      <c r="LWA21" s="55"/>
      <c r="LWB21" s="55"/>
      <c r="LWC21" s="55"/>
      <c r="LWD21" s="55"/>
      <c r="LWE21" s="55"/>
      <c r="LWF21" s="55"/>
      <c r="LWG21" s="55"/>
      <c r="LWH21" s="55"/>
      <c r="LWI21" s="55"/>
      <c r="LWJ21" s="55"/>
      <c r="LWK21" s="55"/>
      <c r="LWL21" s="55"/>
      <c r="LWM21" s="55"/>
      <c r="LWN21" s="55"/>
      <c r="LWO21" s="55"/>
      <c r="LWP21" s="55"/>
      <c r="LWQ21" s="55"/>
      <c r="LWR21" s="55"/>
      <c r="LWS21" s="55"/>
      <c r="LWT21" s="55"/>
      <c r="LWU21" s="55"/>
      <c r="LWV21" s="55"/>
      <c r="LWW21" s="55"/>
      <c r="LWX21" s="55"/>
      <c r="LWY21" s="55"/>
      <c r="LWZ21" s="55"/>
      <c r="LXA21" s="55"/>
      <c r="LXB21" s="55"/>
      <c r="LXC21" s="55"/>
      <c r="LXD21" s="55"/>
      <c r="LXE21" s="55"/>
      <c r="LXF21" s="55"/>
      <c r="LXG21" s="55"/>
      <c r="LXH21" s="55"/>
      <c r="LXI21" s="55"/>
      <c r="LXJ21" s="55"/>
      <c r="LXK21" s="55"/>
      <c r="LXL21" s="55"/>
      <c r="LXM21" s="55"/>
      <c r="LXN21" s="55"/>
      <c r="LXO21" s="55"/>
      <c r="LXP21" s="55"/>
      <c r="LXQ21" s="55"/>
      <c r="LXR21" s="55"/>
      <c r="LXS21" s="55"/>
      <c r="LXT21" s="55"/>
      <c r="LXU21" s="55"/>
      <c r="LXV21" s="55"/>
      <c r="LXW21" s="55"/>
      <c r="LXX21" s="55"/>
      <c r="LXY21" s="55"/>
      <c r="LXZ21" s="55"/>
      <c r="LYA21" s="55"/>
      <c r="LYB21" s="55"/>
      <c r="LYC21" s="55"/>
      <c r="LYD21" s="55"/>
      <c r="LYE21" s="55"/>
      <c r="LYF21" s="55"/>
      <c r="LYG21" s="55"/>
      <c r="LYH21" s="55"/>
      <c r="LYI21" s="55"/>
      <c r="LYJ21" s="55"/>
      <c r="LYK21" s="55"/>
      <c r="LYL21" s="55"/>
      <c r="LYM21" s="55"/>
      <c r="LYN21" s="55"/>
      <c r="LYO21" s="55"/>
      <c r="LYP21" s="55"/>
      <c r="LYQ21" s="55"/>
      <c r="LYR21" s="55"/>
      <c r="LYS21" s="55"/>
      <c r="LYT21" s="55"/>
      <c r="LYU21" s="55"/>
      <c r="LYV21" s="55"/>
      <c r="LYW21" s="55"/>
      <c r="LYX21" s="55"/>
      <c r="LYY21" s="55"/>
      <c r="LYZ21" s="55"/>
      <c r="LZA21" s="55"/>
      <c r="LZB21" s="55"/>
      <c r="LZC21" s="55"/>
      <c r="LZD21" s="55"/>
      <c r="LZE21" s="55"/>
      <c r="LZF21" s="55"/>
      <c r="LZG21" s="55"/>
      <c r="LZH21" s="55"/>
      <c r="LZI21" s="55"/>
      <c r="LZJ21" s="55"/>
      <c r="LZK21" s="55"/>
      <c r="LZL21" s="55"/>
      <c r="LZM21" s="55"/>
      <c r="LZN21" s="55"/>
      <c r="LZO21" s="55"/>
      <c r="LZP21" s="55"/>
      <c r="LZQ21" s="55"/>
      <c r="LZR21" s="55"/>
      <c r="LZS21" s="55"/>
      <c r="LZT21" s="55"/>
      <c r="LZU21" s="55"/>
      <c r="LZV21" s="55"/>
      <c r="LZW21" s="55"/>
      <c r="LZX21" s="55"/>
      <c r="LZY21" s="55"/>
      <c r="LZZ21" s="55"/>
      <c r="MAA21" s="55"/>
      <c r="MAB21" s="55"/>
      <c r="MAC21" s="55"/>
      <c r="MAD21" s="55"/>
      <c r="MAE21" s="55"/>
      <c r="MAF21" s="55"/>
      <c r="MAG21" s="55"/>
      <c r="MAH21" s="55"/>
      <c r="MAI21" s="55"/>
      <c r="MAJ21" s="55"/>
      <c r="MAK21" s="55"/>
      <c r="MAL21" s="55"/>
      <c r="MAM21" s="55"/>
      <c r="MAN21" s="55"/>
      <c r="MAO21" s="55"/>
      <c r="MAP21" s="55"/>
      <c r="MAQ21" s="55"/>
      <c r="MAR21" s="55"/>
      <c r="MAS21" s="55"/>
      <c r="MAT21" s="55"/>
      <c r="MAU21" s="55"/>
      <c r="MAV21" s="55"/>
      <c r="MAW21" s="55"/>
      <c r="MAX21" s="55"/>
      <c r="MAY21" s="55"/>
      <c r="MAZ21" s="55"/>
      <c r="MBA21" s="55"/>
      <c r="MBB21" s="55"/>
      <c r="MBC21" s="55"/>
      <c r="MBD21" s="55"/>
      <c r="MBE21" s="55"/>
      <c r="MBF21" s="55"/>
      <c r="MBG21" s="55"/>
      <c r="MBH21" s="55"/>
      <c r="MBI21" s="55"/>
      <c r="MBJ21" s="55"/>
      <c r="MBK21" s="55"/>
      <c r="MBL21" s="55"/>
      <c r="MBM21" s="55"/>
      <c r="MBN21" s="55"/>
      <c r="MBO21" s="55"/>
      <c r="MBP21" s="55"/>
      <c r="MBQ21" s="55"/>
      <c r="MBR21" s="55"/>
      <c r="MBS21" s="55"/>
      <c r="MBT21" s="55"/>
      <c r="MBU21" s="55"/>
      <c r="MBV21" s="55"/>
      <c r="MBW21" s="55"/>
      <c r="MBX21" s="55"/>
      <c r="MBY21" s="55"/>
      <c r="MBZ21" s="55"/>
      <c r="MCA21" s="55"/>
      <c r="MCB21" s="55"/>
      <c r="MCC21" s="55"/>
      <c r="MCD21" s="55"/>
      <c r="MCE21" s="55"/>
      <c r="MCF21" s="55"/>
      <c r="MCG21" s="55"/>
      <c r="MCH21" s="55"/>
      <c r="MCI21" s="55"/>
      <c r="MCJ21" s="55"/>
      <c r="MCK21" s="55"/>
      <c r="MCL21" s="55"/>
      <c r="MCM21" s="55"/>
      <c r="MCN21" s="55"/>
      <c r="MCO21" s="55"/>
      <c r="MCP21" s="55"/>
      <c r="MCQ21" s="55"/>
      <c r="MCR21" s="55"/>
      <c r="MCS21" s="55"/>
      <c r="MCT21" s="55"/>
      <c r="MCU21" s="55"/>
      <c r="MCV21" s="55"/>
      <c r="MCW21" s="55"/>
      <c r="MCX21" s="55"/>
      <c r="MCY21" s="55"/>
      <c r="MCZ21" s="55"/>
      <c r="MDA21" s="55"/>
      <c r="MDB21" s="55"/>
      <c r="MDC21" s="55"/>
      <c r="MDD21" s="55"/>
      <c r="MDE21" s="55"/>
      <c r="MDF21" s="55"/>
      <c r="MDG21" s="55"/>
      <c r="MDH21" s="55"/>
      <c r="MDI21" s="55"/>
      <c r="MDJ21" s="55"/>
      <c r="MDK21" s="55"/>
      <c r="MDL21" s="55"/>
      <c r="MDM21" s="55"/>
      <c r="MDN21" s="55"/>
      <c r="MDO21" s="55"/>
      <c r="MDP21" s="55"/>
      <c r="MDQ21" s="55"/>
      <c r="MDR21" s="55"/>
      <c r="MDS21" s="55"/>
      <c r="MDT21" s="55"/>
      <c r="MDU21" s="55"/>
      <c r="MDV21" s="55"/>
      <c r="MDW21" s="55"/>
      <c r="MDX21" s="55"/>
      <c r="MDY21" s="55"/>
      <c r="MDZ21" s="55"/>
      <c r="MEA21" s="55"/>
      <c r="MEB21" s="55"/>
      <c r="MEC21" s="55"/>
      <c r="MED21" s="55"/>
      <c r="MEE21" s="55"/>
      <c r="MEF21" s="55"/>
      <c r="MEG21" s="55"/>
      <c r="MEH21" s="55"/>
      <c r="MEI21" s="55"/>
      <c r="MEJ21" s="55"/>
      <c r="MEK21" s="55"/>
      <c r="MEL21" s="55"/>
      <c r="MEM21" s="55"/>
      <c r="MEN21" s="55"/>
      <c r="MEO21" s="55"/>
      <c r="MEP21" s="55"/>
      <c r="MEQ21" s="55"/>
      <c r="MER21" s="55"/>
      <c r="MES21" s="55"/>
      <c r="MET21" s="55"/>
      <c r="MEU21" s="55"/>
      <c r="MEV21" s="55"/>
      <c r="MEW21" s="55"/>
      <c r="MEX21" s="55"/>
      <c r="MEY21" s="55"/>
      <c r="MEZ21" s="55"/>
      <c r="MFA21" s="55"/>
      <c r="MFB21" s="55"/>
      <c r="MFC21" s="55"/>
      <c r="MFD21" s="55"/>
      <c r="MFE21" s="55"/>
      <c r="MFF21" s="55"/>
      <c r="MFG21" s="55"/>
      <c r="MFH21" s="55"/>
      <c r="MFI21" s="55"/>
      <c r="MFJ21" s="55"/>
      <c r="MFK21" s="55"/>
      <c r="MFL21" s="55"/>
      <c r="MFM21" s="55"/>
      <c r="MFN21" s="55"/>
      <c r="MFO21" s="55"/>
      <c r="MFP21" s="55"/>
      <c r="MFQ21" s="55"/>
      <c r="MFR21" s="55"/>
      <c r="MFS21" s="55"/>
      <c r="MFT21" s="55"/>
      <c r="MFU21" s="55"/>
      <c r="MFV21" s="55"/>
      <c r="MFW21" s="55"/>
      <c r="MFX21" s="55"/>
      <c r="MFY21" s="55"/>
      <c r="MFZ21" s="55"/>
      <c r="MGA21" s="55"/>
      <c r="MGB21" s="55"/>
      <c r="MGC21" s="55"/>
      <c r="MGD21" s="55"/>
      <c r="MGE21" s="55"/>
      <c r="MGF21" s="55"/>
      <c r="MGG21" s="55"/>
      <c r="MGH21" s="55"/>
      <c r="MGI21" s="55"/>
      <c r="MGJ21" s="55"/>
      <c r="MGK21" s="55"/>
      <c r="MGL21" s="55"/>
      <c r="MGM21" s="55"/>
      <c r="MGN21" s="55"/>
      <c r="MGO21" s="55"/>
      <c r="MGP21" s="55"/>
      <c r="MGQ21" s="55"/>
      <c r="MGR21" s="55"/>
      <c r="MGS21" s="55"/>
      <c r="MGT21" s="55"/>
      <c r="MGU21" s="55"/>
      <c r="MGV21" s="55"/>
      <c r="MGW21" s="55"/>
      <c r="MGX21" s="55"/>
      <c r="MGY21" s="55"/>
      <c r="MGZ21" s="55"/>
      <c r="MHA21" s="55"/>
      <c r="MHB21" s="55"/>
      <c r="MHC21" s="55"/>
      <c r="MHD21" s="55"/>
      <c r="MHE21" s="55"/>
      <c r="MHF21" s="55"/>
      <c r="MHG21" s="55"/>
      <c r="MHH21" s="55"/>
      <c r="MHI21" s="55"/>
      <c r="MHJ21" s="55"/>
      <c r="MHK21" s="55"/>
      <c r="MHL21" s="55"/>
      <c r="MHM21" s="55"/>
      <c r="MHN21" s="55"/>
      <c r="MHO21" s="55"/>
      <c r="MHP21" s="55"/>
      <c r="MHQ21" s="55"/>
      <c r="MHR21" s="55"/>
      <c r="MHS21" s="55"/>
      <c r="MHT21" s="55"/>
      <c r="MHU21" s="55"/>
      <c r="MHV21" s="55"/>
      <c r="MHW21" s="55"/>
      <c r="MHX21" s="55"/>
      <c r="MHY21" s="55"/>
      <c r="MHZ21" s="55"/>
      <c r="MIA21" s="55"/>
      <c r="MIB21" s="55"/>
      <c r="MIC21" s="55"/>
      <c r="MID21" s="55"/>
      <c r="MIE21" s="55"/>
      <c r="MIF21" s="55"/>
      <c r="MIG21" s="55"/>
      <c r="MIH21" s="55"/>
      <c r="MII21" s="55"/>
      <c r="MIJ21" s="55"/>
      <c r="MIK21" s="55"/>
      <c r="MIL21" s="55"/>
      <c r="MIM21" s="55"/>
      <c r="MIN21" s="55"/>
      <c r="MIO21" s="55"/>
      <c r="MIP21" s="55"/>
      <c r="MIQ21" s="55"/>
      <c r="MIR21" s="55"/>
      <c r="MIS21" s="55"/>
      <c r="MIT21" s="55"/>
      <c r="MIU21" s="55"/>
      <c r="MIV21" s="55"/>
      <c r="MIW21" s="55"/>
      <c r="MIX21" s="55"/>
      <c r="MIY21" s="55"/>
      <c r="MIZ21" s="55"/>
      <c r="MJA21" s="55"/>
      <c r="MJB21" s="55"/>
      <c r="MJC21" s="55"/>
      <c r="MJD21" s="55"/>
      <c r="MJE21" s="55"/>
      <c r="MJF21" s="55"/>
      <c r="MJG21" s="55"/>
      <c r="MJH21" s="55"/>
      <c r="MJI21" s="55"/>
      <c r="MJJ21" s="55"/>
      <c r="MJK21" s="55"/>
      <c r="MJL21" s="55"/>
      <c r="MJM21" s="55"/>
      <c r="MJN21" s="55"/>
      <c r="MJO21" s="55"/>
      <c r="MJP21" s="55"/>
      <c r="MJQ21" s="55"/>
      <c r="MJR21" s="55"/>
      <c r="MJS21" s="55"/>
      <c r="MJT21" s="55"/>
      <c r="MJU21" s="55"/>
      <c r="MJV21" s="55"/>
      <c r="MJW21" s="55"/>
      <c r="MJX21" s="55"/>
      <c r="MJY21" s="55"/>
      <c r="MJZ21" s="55"/>
      <c r="MKA21" s="55"/>
      <c r="MKB21" s="55"/>
      <c r="MKC21" s="55"/>
      <c r="MKD21" s="55"/>
      <c r="MKE21" s="55"/>
      <c r="MKF21" s="55"/>
      <c r="MKG21" s="55"/>
      <c r="MKH21" s="55"/>
      <c r="MKI21" s="55"/>
      <c r="MKJ21" s="55"/>
      <c r="MKK21" s="55"/>
      <c r="MKL21" s="55"/>
      <c r="MKM21" s="55"/>
      <c r="MKN21" s="55"/>
      <c r="MKO21" s="55"/>
      <c r="MKP21" s="55"/>
      <c r="MKQ21" s="55"/>
      <c r="MKR21" s="55"/>
      <c r="MKS21" s="55"/>
      <c r="MKT21" s="55"/>
      <c r="MKU21" s="55"/>
      <c r="MKV21" s="55"/>
      <c r="MKW21" s="55"/>
      <c r="MKX21" s="55"/>
      <c r="MKY21" s="55"/>
      <c r="MKZ21" s="55"/>
      <c r="MLA21" s="55"/>
      <c r="MLB21" s="55"/>
      <c r="MLC21" s="55"/>
      <c r="MLD21" s="55"/>
      <c r="MLE21" s="55"/>
      <c r="MLF21" s="55"/>
      <c r="MLG21" s="55"/>
      <c r="MLH21" s="55"/>
      <c r="MLI21" s="55"/>
      <c r="MLJ21" s="55"/>
      <c r="MLK21" s="55"/>
      <c r="MLL21" s="55"/>
      <c r="MLM21" s="55"/>
      <c r="MLN21" s="55"/>
      <c r="MLO21" s="55"/>
      <c r="MLP21" s="55"/>
      <c r="MLQ21" s="55"/>
      <c r="MLR21" s="55"/>
      <c r="MLS21" s="55"/>
      <c r="MLT21" s="55"/>
      <c r="MLU21" s="55"/>
      <c r="MLV21" s="55"/>
      <c r="MLW21" s="55"/>
      <c r="MLX21" s="55"/>
      <c r="MLY21" s="55"/>
      <c r="MLZ21" s="55"/>
      <c r="MMA21" s="55"/>
      <c r="MMB21" s="55"/>
      <c r="MMC21" s="55"/>
      <c r="MMD21" s="55"/>
      <c r="MME21" s="55"/>
      <c r="MMF21" s="55"/>
      <c r="MMG21" s="55"/>
      <c r="MMH21" s="55"/>
      <c r="MMI21" s="55"/>
      <c r="MMJ21" s="55"/>
      <c r="MMK21" s="55"/>
      <c r="MML21" s="55"/>
      <c r="MMM21" s="55"/>
      <c r="MMN21" s="55"/>
      <c r="MMO21" s="55"/>
      <c r="MMP21" s="55"/>
      <c r="MMQ21" s="55"/>
      <c r="MMR21" s="55"/>
      <c r="MMS21" s="55"/>
      <c r="MMT21" s="55"/>
      <c r="MMU21" s="55"/>
      <c r="MMV21" s="55"/>
      <c r="MMW21" s="55"/>
      <c r="MMX21" s="55"/>
      <c r="MMY21" s="55"/>
      <c r="MMZ21" s="55"/>
      <c r="MNA21" s="55"/>
      <c r="MNB21" s="55"/>
      <c r="MNC21" s="55"/>
      <c r="MND21" s="55"/>
      <c r="MNE21" s="55"/>
      <c r="MNF21" s="55"/>
      <c r="MNG21" s="55"/>
      <c r="MNH21" s="55"/>
      <c r="MNI21" s="55"/>
      <c r="MNJ21" s="55"/>
      <c r="MNK21" s="55"/>
      <c r="MNL21" s="55"/>
      <c r="MNM21" s="55"/>
      <c r="MNN21" s="55"/>
      <c r="MNO21" s="55"/>
      <c r="MNP21" s="55"/>
      <c r="MNQ21" s="55"/>
      <c r="MNR21" s="55"/>
      <c r="MNS21" s="55"/>
      <c r="MNT21" s="55"/>
      <c r="MNU21" s="55"/>
      <c r="MNV21" s="55"/>
      <c r="MNW21" s="55"/>
      <c r="MNX21" s="55"/>
      <c r="MNY21" s="55"/>
      <c r="MNZ21" s="55"/>
      <c r="MOA21" s="55"/>
      <c r="MOB21" s="55"/>
      <c r="MOC21" s="55"/>
      <c r="MOD21" s="55"/>
      <c r="MOE21" s="55"/>
      <c r="MOF21" s="55"/>
      <c r="MOG21" s="55"/>
      <c r="MOH21" s="55"/>
      <c r="MOI21" s="55"/>
      <c r="MOJ21" s="55"/>
      <c r="MOK21" s="55"/>
      <c r="MOL21" s="55"/>
      <c r="MOM21" s="55"/>
      <c r="MON21" s="55"/>
      <c r="MOO21" s="55"/>
      <c r="MOP21" s="55"/>
      <c r="MOQ21" s="55"/>
      <c r="MOR21" s="55"/>
      <c r="MOS21" s="55"/>
      <c r="MOT21" s="55"/>
      <c r="MOU21" s="55"/>
      <c r="MOV21" s="55"/>
      <c r="MOW21" s="55"/>
      <c r="MOX21" s="55"/>
      <c r="MOY21" s="55"/>
      <c r="MOZ21" s="55"/>
      <c r="MPA21" s="55"/>
      <c r="MPB21" s="55"/>
      <c r="MPC21" s="55"/>
      <c r="MPD21" s="55"/>
      <c r="MPE21" s="55"/>
      <c r="MPF21" s="55"/>
      <c r="MPG21" s="55"/>
      <c r="MPH21" s="55"/>
      <c r="MPI21" s="55"/>
      <c r="MPJ21" s="55"/>
      <c r="MPK21" s="55"/>
      <c r="MPL21" s="55"/>
      <c r="MPM21" s="55"/>
      <c r="MPN21" s="55"/>
      <c r="MPO21" s="55"/>
      <c r="MPP21" s="55"/>
      <c r="MPQ21" s="55"/>
      <c r="MPR21" s="55"/>
      <c r="MPS21" s="55"/>
      <c r="MPT21" s="55"/>
      <c r="MPU21" s="55"/>
      <c r="MPV21" s="55"/>
      <c r="MPW21" s="55"/>
      <c r="MPX21" s="55"/>
      <c r="MPY21" s="55"/>
      <c r="MPZ21" s="55"/>
      <c r="MQA21" s="55"/>
      <c r="MQB21" s="55"/>
      <c r="MQC21" s="55"/>
      <c r="MQD21" s="55"/>
      <c r="MQE21" s="55"/>
      <c r="MQF21" s="55"/>
      <c r="MQG21" s="55"/>
      <c r="MQH21" s="55"/>
      <c r="MQI21" s="55"/>
      <c r="MQJ21" s="55"/>
      <c r="MQK21" s="55"/>
      <c r="MQL21" s="55"/>
      <c r="MQM21" s="55"/>
      <c r="MQN21" s="55"/>
      <c r="MQO21" s="55"/>
      <c r="MQP21" s="55"/>
      <c r="MQQ21" s="55"/>
      <c r="MQR21" s="55"/>
      <c r="MQS21" s="55"/>
      <c r="MQT21" s="55"/>
      <c r="MQU21" s="55"/>
      <c r="MQV21" s="55"/>
      <c r="MQW21" s="55"/>
      <c r="MQX21" s="55"/>
      <c r="MQY21" s="55"/>
      <c r="MQZ21" s="55"/>
      <c r="MRA21" s="55"/>
      <c r="MRB21" s="55"/>
      <c r="MRC21" s="55"/>
      <c r="MRD21" s="55"/>
      <c r="MRE21" s="55"/>
      <c r="MRF21" s="55"/>
      <c r="MRG21" s="55"/>
      <c r="MRH21" s="55"/>
      <c r="MRI21" s="55"/>
      <c r="MRJ21" s="55"/>
      <c r="MRK21" s="55"/>
      <c r="MRL21" s="55"/>
      <c r="MRM21" s="55"/>
      <c r="MRN21" s="55"/>
      <c r="MRO21" s="55"/>
      <c r="MRP21" s="55"/>
      <c r="MRQ21" s="55"/>
      <c r="MRR21" s="55"/>
      <c r="MRS21" s="55"/>
      <c r="MRT21" s="55"/>
      <c r="MRU21" s="55"/>
      <c r="MRV21" s="55"/>
      <c r="MRW21" s="55"/>
      <c r="MRX21" s="55"/>
      <c r="MRY21" s="55"/>
      <c r="MRZ21" s="55"/>
      <c r="MSA21" s="55"/>
      <c r="MSB21" s="55"/>
      <c r="MSC21" s="55"/>
      <c r="MSD21" s="55"/>
      <c r="MSE21" s="55"/>
      <c r="MSF21" s="55"/>
      <c r="MSG21" s="55"/>
      <c r="MSH21" s="55"/>
      <c r="MSI21" s="55"/>
      <c r="MSJ21" s="55"/>
      <c r="MSK21" s="55"/>
      <c r="MSL21" s="55"/>
      <c r="MSM21" s="55"/>
      <c r="MSN21" s="55"/>
      <c r="MSO21" s="55"/>
      <c r="MSP21" s="55"/>
      <c r="MSQ21" s="55"/>
      <c r="MSR21" s="55"/>
      <c r="MSS21" s="55"/>
      <c r="MST21" s="55"/>
      <c r="MSU21" s="55"/>
      <c r="MSV21" s="55"/>
      <c r="MSW21" s="55"/>
      <c r="MSX21" s="55"/>
      <c r="MSY21" s="55"/>
      <c r="MSZ21" s="55"/>
      <c r="MTA21" s="55"/>
      <c r="MTB21" s="55"/>
      <c r="MTC21" s="55"/>
      <c r="MTD21" s="55"/>
      <c r="MTE21" s="55"/>
      <c r="MTF21" s="55"/>
      <c r="MTG21" s="55"/>
      <c r="MTH21" s="55"/>
      <c r="MTI21" s="55"/>
      <c r="MTJ21" s="55"/>
      <c r="MTK21" s="55"/>
      <c r="MTL21" s="55"/>
      <c r="MTM21" s="55"/>
      <c r="MTN21" s="55"/>
      <c r="MTO21" s="55"/>
      <c r="MTP21" s="55"/>
      <c r="MTQ21" s="55"/>
      <c r="MTR21" s="55"/>
      <c r="MTS21" s="55"/>
      <c r="MTT21" s="55"/>
      <c r="MTU21" s="55"/>
      <c r="MTV21" s="55"/>
      <c r="MTW21" s="55"/>
      <c r="MTX21" s="55"/>
      <c r="MTY21" s="55"/>
      <c r="MTZ21" s="55"/>
      <c r="MUA21" s="55"/>
      <c r="MUB21" s="55"/>
      <c r="MUC21" s="55"/>
      <c r="MUD21" s="55"/>
      <c r="MUE21" s="55"/>
      <c r="MUF21" s="55"/>
      <c r="MUG21" s="55"/>
      <c r="MUH21" s="55"/>
      <c r="MUI21" s="55"/>
      <c r="MUJ21" s="55"/>
      <c r="MUK21" s="55"/>
      <c r="MUL21" s="55"/>
      <c r="MUM21" s="55"/>
      <c r="MUN21" s="55"/>
      <c r="MUO21" s="55"/>
      <c r="MUP21" s="55"/>
      <c r="MUQ21" s="55"/>
      <c r="MUR21" s="55"/>
      <c r="MUS21" s="55"/>
      <c r="MUT21" s="55"/>
      <c r="MUU21" s="55"/>
      <c r="MUV21" s="55"/>
      <c r="MUW21" s="55"/>
      <c r="MUX21" s="55"/>
      <c r="MUY21" s="55"/>
      <c r="MUZ21" s="55"/>
      <c r="MVA21" s="55"/>
      <c r="MVB21" s="55"/>
      <c r="MVC21" s="55"/>
      <c r="MVD21" s="55"/>
      <c r="MVE21" s="55"/>
      <c r="MVF21" s="55"/>
      <c r="MVG21" s="55"/>
      <c r="MVH21" s="55"/>
      <c r="MVI21" s="55"/>
      <c r="MVJ21" s="55"/>
      <c r="MVK21" s="55"/>
      <c r="MVL21" s="55"/>
      <c r="MVM21" s="55"/>
      <c r="MVN21" s="55"/>
      <c r="MVO21" s="55"/>
      <c r="MVP21" s="55"/>
      <c r="MVQ21" s="55"/>
      <c r="MVR21" s="55"/>
      <c r="MVS21" s="55"/>
      <c r="MVT21" s="55"/>
      <c r="MVU21" s="55"/>
      <c r="MVV21" s="55"/>
      <c r="MVW21" s="55"/>
      <c r="MVX21" s="55"/>
      <c r="MVY21" s="55"/>
      <c r="MVZ21" s="55"/>
      <c r="MWA21" s="55"/>
      <c r="MWB21" s="55"/>
      <c r="MWC21" s="55"/>
      <c r="MWD21" s="55"/>
      <c r="MWE21" s="55"/>
      <c r="MWF21" s="55"/>
      <c r="MWG21" s="55"/>
      <c r="MWH21" s="55"/>
      <c r="MWI21" s="55"/>
      <c r="MWJ21" s="55"/>
      <c r="MWK21" s="55"/>
      <c r="MWL21" s="55"/>
      <c r="MWM21" s="55"/>
      <c r="MWN21" s="55"/>
      <c r="MWO21" s="55"/>
      <c r="MWP21" s="55"/>
      <c r="MWQ21" s="55"/>
      <c r="MWR21" s="55"/>
      <c r="MWS21" s="55"/>
      <c r="MWT21" s="55"/>
      <c r="MWU21" s="55"/>
      <c r="MWV21" s="55"/>
      <c r="MWW21" s="55"/>
      <c r="MWX21" s="55"/>
      <c r="MWY21" s="55"/>
      <c r="MWZ21" s="55"/>
      <c r="MXA21" s="55"/>
      <c r="MXB21" s="55"/>
      <c r="MXC21" s="55"/>
      <c r="MXD21" s="55"/>
      <c r="MXE21" s="55"/>
      <c r="MXF21" s="55"/>
      <c r="MXG21" s="55"/>
      <c r="MXH21" s="55"/>
      <c r="MXI21" s="55"/>
      <c r="MXJ21" s="55"/>
      <c r="MXK21" s="55"/>
      <c r="MXL21" s="55"/>
      <c r="MXM21" s="55"/>
      <c r="MXN21" s="55"/>
      <c r="MXO21" s="55"/>
      <c r="MXP21" s="55"/>
      <c r="MXQ21" s="55"/>
      <c r="MXR21" s="55"/>
      <c r="MXS21" s="55"/>
      <c r="MXT21" s="55"/>
      <c r="MXU21" s="55"/>
      <c r="MXV21" s="55"/>
      <c r="MXW21" s="55"/>
      <c r="MXX21" s="55"/>
      <c r="MXY21" s="55"/>
      <c r="MXZ21" s="55"/>
      <c r="MYA21" s="55"/>
      <c r="MYB21" s="55"/>
      <c r="MYC21" s="55"/>
      <c r="MYD21" s="55"/>
      <c r="MYE21" s="55"/>
      <c r="MYF21" s="55"/>
      <c r="MYG21" s="55"/>
      <c r="MYH21" s="55"/>
      <c r="MYI21" s="55"/>
      <c r="MYJ21" s="55"/>
      <c r="MYK21" s="55"/>
      <c r="MYL21" s="55"/>
      <c r="MYM21" s="55"/>
      <c r="MYN21" s="55"/>
      <c r="MYO21" s="55"/>
      <c r="MYP21" s="55"/>
      <c r="MYQ21" s="55"/>
      <c r="MYR21" s="55"/>
      <c r="MYS21" s="55"/>
      <c r="MYT21" s="55"/>
      <c r="MYU21" s="55"/>
      <c r="MYV21" s="55"/>
      <c r="MYW21" s="55"/>
      <c r="MYX21" s="55"/>
      <c r="MYY21" s="55"/>
      <c r="MYZ21" s="55"/>
      <c r="MZA21" s="55"/>
      <c r="MZB21" s="55"/>
      <c r="MZC21" s="55"/>
      <c r="MZD21" s="55"/>
      <c r="MZE21" s="55"/>
      <c r="MZF21" s="55"/>
      <c r="MZG21" s="55"/>
      <c r="MZH21" s="55"/>
      <c r="MZI21" s="55"/>
      <c r="MZJ21" s="55"/>
      <c r="MZK21" s="55"/>
      <c r="MZL21" s="55"/>
      <c r="MZM21" s="55"/>
      <c r="MZN21" s="55"/>
      <c r="MZO21" s="55"/>
      <c r="MZP21" s="55"/>
      <c r="MZQ21" s="55"/>
      <c r="MZR21" s="55"/>
      <c r="MZS21" s="55"/>
      <c r="MZT21" s="55"/>
      <c r="MZU21" s="55"/>
      <c r="MZV21" s="55"/>
      <c r="MZW21" s="55"/>
      <c r="MZX21" s="55"/>
      <c r="MZY21" s="55"/>
      <c r="MZZ21" s="55"/>
      <c r="NAA21" s="55"/>
      <c r="NAB21" s="55"/>
      <c r="NAC21" s="55"/>
      <c r="NAD21" s="55"/>
      <c r="NAE21" s="55"/>
      <c r="NAF21" s="55"/>
      <c r="NAG21" s="55"/>
      <c r="NAH21" s="55"/>
      <c r="NAI21" s="55"/>
      <c r="NAJ21" s="55"/>
      <c r="NAK21" s="55"/>
      <c r="NAL21" s="55"/>
      <c r="NAM21" s="55"/>
      <c r="NAN21" s="55"/>
      <c r="NAO21" s="55"/>
      <c r="NAP21" s="55"/>
      <c r="NAQ21" s="55"/>
      <c r="NAR21" s="55"/>
      <c r="NAS21" s="55"/>
      <c r="NAT21" s="55"/>
      <c r="NAU21" s="55"/>
      <c r="NAV21" s="55"/>
      <c r="NAW21" s="55"/>
      <c r="NAX21" s="55"/>
      <c r="NAY21" s="55"/>
      <c r="NAZ21" s="55"/>
      <c r="NBA21" s="55"/>
      <c r="NBB21" s="55"/>
      <c r="NBC21" s="55"/>
      <c r="NBD21" s="55"/>
      <c r="NBE21" s="55"/>
      <c r="NBF21" s="55"/>
      <c r="NBG21" s="55"/>
      <c r="NBH21" s="55"/>
      <c r="NBI21" s="55"/>
      <c r="NBJ21" s="55"/>
      <c r="NBK21" s="55"/>
      <c r="NBL21" s="55"/>
      <c r="NBM21" s="55"/>
      <c r="NBN21" s="55"/>
      <c r="NBO21" s="55"/>
      <c r="NBP21" s="55"/>
      <c r="NBQ21" s="55"/>
      <c r="NBR21" s="55"/>
      <c r="NBS21" s="55"/>
      <c r="NBT21" s="55"/>
      <c r="NBU21" s="55"/>
      <c r="NBV21" s="55"/>
      <c r="NBW21" s="55"/>
      <c r="NBX21" s="55"/>
      <c r="NBY21" s="55"/>
      <c r="NBZ21" s="55"/>
      <c r="NCA21" s="55"/>
      <c r="NCB21" s="55"/>
      <c r="NCC21" s="55"/>
      <c r="NCD21" s="55"/>
      <c r="NCE21" s="55"/>
      <c r="NCF21" s="55"/>
      <c r="NCG21" s="55"/>
      <c r="NCH21" s="55"/>
      <c r="NCI21" s="55"/>
      <c r="NCJ21" s="55"/>
      <c r="NCK21" s="55"/>
      <c r="NCL21" s="55"/>
      <c r="NCM21" s="55"/>
      <c r="NCN21" s="55"/>
      <c r="NCO21" s="55"/>
      <c r="NCP21" s="55"/>
      <c r="NCQ21" s="55"/>
      <c r="NCR21" s="55"/>
      <c r="NCS21" s="55"/>
      <c r="NCT21" s="55"/>
      <c r="NCU21" s="55"/>
      <c r="NCV21" s="55"/>
      <c r="NCW21" s="55"/>
      <c r="NCX21" s="55"/>
      <c r="NCY21" s="55"/>
      <c r="NCZ21" s="55"/>
      <c r="NDA21" s="55"/>
      <c r="NDB21" s="55"/>
      <c r="NDC21" s="55"/>
      <c r="NDD21" s="55"/>
      <c r="NDE21" s="55"/>
      <c r="NDF21" s="55"/>
      <c r="NDG21" s="55"/>
      <c r="NDH21" s="55"/>
      <c r="NDI21" s="55"/>
      <c r="NDJ21" s="55"/>
      <c r="NDK21" s="55"/>
      <c r="NDL21" s="55"/>
      <c r="NDM21" s="55"/>
      <c r="NDN21" s="55"/>
      <c r="NDO21" s="55"/>
      <c r="NDP21" s="55"/>
      <c r="NDQ21" s="55"/>
      <c r="NDR21" s="55"/>
      <c r="NDS21" s="55"/>
      <c r="NDT21" s="55"/>
      <c r="NDU21" s="55"/>
      <c r="NDV21" s="55"/>
      <c r="NDW21" s="55"/>
      <c r="NDX21" s="55"/>
      <c r="NDY21" s="55"/>
      <c r="NDZ21" s="55"/>
      <c r="NEA21" s="55"/>
      <c r="NEB21" s="55"/>
      <c r="NEC21" s="55"/>
      <c r="NED21" s="55"/>
      <c r="NEE21" s="55"/>
      <c r="NEF21" s="55"/>
      <c r="NEG21" s="55"/>
      <c r="NEH21" s="55"/>
      <c r="NEI21" s="55"/>
      <c r="NEJ21" s="55"/>
      <c r="NEK21" s="55"/>
      <c r="NEL21" s="55"/>
      <c r="NEM21" s="55"/>
      <c r="NEN21" s="55"/>
      <c r="NEO21" s="55"/>
      <c r="NEP21" s="55"/>
      <c r="NEQ21" s="55"/>
      <c r="NER21" s="55"/>
      <c r="NES21" s="55"/>
      <c r="NET21" s="55"/>
      <c r="NEU21" s="55"/>
      <c r="NEV21" s="55"/>
      <c r="NEW21" s="55"/>
      <c r="NEX21" s="55"/>
      <c r="NEY21" s="55"/>
      <c r="NEZ21" s="55"/>
      <c r="NFA21" s="55"/>
      <c r="NFB21" s="55"/>
      <c r="NFC21" s="55"/>
      <c r="NFD21" s="55"/>
      <c r="NFE21" s="55"/>
      <c r="NFF21" s="55"/>
      <c r="NFG21" s="55"/>
      <c r="NFH21" s="55"/>
      <c r="NFI21" s="55"/>
      <c r="NFJ21" s="55"/>
      <c r="NFK21" s="55"/>
      <c r="NFL21" s="55"/>
      <c r="NFM21" s="55"/>
      <c r="NFN21" s="55"/>
      <c r="NFO21" s="55"/>
      <c r="NFP21" s="55"/>
      <c r="NFQ21" s="55"/>
      <c r="NFR21" s="55"/>
      <c r="NFS21" s="55"/>
      <c r="NFT21" s="55"/>
      <c r="NFU21" s="55"/>
      <c r="NFV21" s="55"/>
      <c r="NFW21" s="55"/>
      <c r="NFX21" s="55"/>
      <c r="NFY21" s="55"/>
      <c r="NFZ21" s="55"/>
      <c r="NGA21" s="55"/>
      <c r="NGB21" s="55"/>
      <c r="NGC21" s="55"/>
      <c r="NGD21" s="55"/>
      <c r="NGE21" s="55"/>
      <c r="NGF21" s="55"/>
      <c r="NGG21" s="55"/>
      <c r="NGH21" s="55"/>
      <c r="NGI21" s="55"/>
      <c r="NGJ21" s="55"/>
      <c r="NGK21" s="55"/>
      <c r="NGL21" s="55"/>
      <c r="NGM21" s="55"/>
      <c r="NGN21" s="55"/>
      <c r="NGO21" s="55"/>
      <c r="NGP21" s="55"/>
      <c r="NGQ21" s="55"/>
      <c r="NGR21" s="55"/>
      <c r="NGS21" s="55"/>
      <c r="NGT21" s="55"/>
      <c r="NGU21" s="55"/>
      <c r="NGV21" s="55"/>
      <c r="NGW21" s="55"/>
      <c r="NGX21" s="55"/>
      <c r="NGY21" s="55"/>
      <c r="NGZ21" s="55"/>
      <c r="NHA21" s="55"/>
      <c r="NHB21" s="55"/>
      <c r="NHC21" s="55"/>
      <c r="NHD21" s="55"/>
      <c r="NHE21" s="55"/>
      <c r="NHF21" s="55"/>
      <c r="NHG21" s="55"/>
      <c r="NHH21" s="55"/>
      <c r="NHI21" s="55"/>
      <c r="NHJ21" s="55"/>
      <c r="NHK21" s="55"/>
      <c r="NHL21" s="55"/>
      <c r="NHM21" s="55"/>
      <c r="NHN21" s="55"/>
      <c r="NHO21" s="55"/>
      <c r="NHP21" s="55"/>
      <c r="NHQ21" s="55"/>
      <c r="NHR21" s="55"/>
      <c r="NHS21" s="55"/>
      <c r="NHT21" s="55"/>
      <c r="NHU21" s="55"/>
      <c r="NHV21" s="55"/>
      <c r="NHW21" s="55"/>
      <c r="NHX21" s="55"/>
      <c r="NHY21" s="55"/>
      <c r="NHZ21" s="55"/>
      <c r="NIA21" s="55"/>
      <c r="NIB21" s="55"/>
      <c r="NIC21" s="55"/>
      <c r="NID21" s="55"/>
      <c r="NIE21" s="55"/>
      <c r="NIF21" s="55"/>
      <c r="NIG21" s="55"/>
      <c r="NIH21" s="55"/>
      <c r="NII21" s="55"/>
      <c r="NIJ21" s="55"/>
      <c r="NIK21" s="55"/>
      <c r="NIL21" s="55"/>
      <c r="NIM21" s="55"/>
      <c r="NIN21" s="55"/>
      <c r="NIO21" s="55"/>
      <c r="NIP21" s="55"/>
      <c r="NIQ21" s="55"/>
      <c r="NIR21" s="55"/>
      <c r="NIS21" s="55"/>
      <c r="NIT21" s="55"/>
      <c r="NIU21" s="55"/>
      <c r="NIV21" s="55"/>
      <c r="NIW21" s="55"/>
      <c r="NIX21" s="55"/>
      <c r="NIY21" s="55"/>
      <c r="NIZ21" s="55"/>
      <c r="NJA21" s="55"/>
      <c r="NJB21" s="55"/>
      <c r="NJC21" s="55"/>
      <c r="NJD21" s="55"/>
      <c r="NJE21" s="55"/>
      <c r="NJF21" s="55"/>
      <c r="NJG21" s="55"/>
      <c r="NJH21" s="55"/>
      <c r="NJI21" s="55"/>
      <c r="NJJ21" s="55"/>
      <c r="NJK21" s="55"/>
      <c r="NJL21" s="55"/>
      <c r="NJM21" s="55"/>
      <c r="NJN21" s="55"/>
      <c r="NJO21" s="55"/>
      <c r="NJP21" s="55"/>
      <c r="NJQ21" s="55"/>
      <c r="NJR21" s="55"/>
      <c r="NJS21" s="55"/>
      <c r="NJT21" s="55"/>
      <c r="NJU21" s="55"/>
      <c r="NJV21" s="55"/>
      <c r="NJW21" s="55"/>
      <c r="NJX21" s="55"/>
      <c r="NJY21" s="55"/>
      <c r="NJZ21" s="55"/>
      <c r="NKA21" s="55"/>
      <c r="NKB21" s="55"/>
      <c r="NKC21" s="55"/>
      <c r="NKD21" s="55"/>
      <c r="NKE21" s="55"/>
      <c r="NKF21" s="55"/>
      <c r="NKG21" s="55"/>
      <c r="NKH21" s="55"/>
      <c r="NKI21" s="55"/>
      <c r="NKJ21" s="55"/>
      <c r="NKK21" s="55"/>
      <c r="NKL21" s="55"/>
      <c r="NKM21" s="55"/>
      <c r="NKN21" s="55"/>
      <c r="NKO21" s="55"/>
      <c r="NKP21" s="55"/>
      <c r="NKQ21" s="55"/>
      <c r="NKR21" s="55"/>
      <c r="NKS21" s="55"/>
      <c r="NKT21" s="55"/>
      <c r="NKU21" s="55"/>
      <c r="NKV21" s="55"/>
      <c r="NKW21" s="55"/>
      <c r="NKX21" s="55"/>
      <c r="NKY21" s="55"/>
      <c r="NKZ21" s="55"/>
      <c r="NLA21" s="55"/>
      <c r="NLB21" s="55"/>
      <c r="NLC21" s="55"/>
      <c r="NLD21" s="55"/>
      <c r="NLE21" s="55"/>
      <c r="NLF21" s="55"/>
      <c r="NLG21" s="55"/>
      <c r="NLH21" s="55"/>
      <c r="NLI21" s="55"/>
      <c r="NLJ21" s="55"/>
      <c r="NLK21" s="55"/>
      <c r="NLL21" s="55"/>
      <c r="NLM21" s="55"/>
      <c r="NLN21" s="55"/>
      <c r="NLO21" s="55"/>
      <c r="NLP21" s="55"/>
      <c r="NLQ21" s="55"/>
      <c r="NLR21" s="55"/>
      <c r="NLS21" s="55"/>
      <c r="NLT21" s="55"/>
      <c r="NLU21" s="55"/>
      <c r="NLV21" s="55"/>
      <c r="NLW21" s="55"/>
      <c r="NLX21" s="55"/>
      <c r="NLY21" s="55"/>
      <c r="NLZ21" s="55"/>
      <c r="NMA21" s="55"/>
      <c r="NMB21" s="55"/>
      <c r="NMC21" s="55"/>
      <c r="NMD21" s="55"/>
      <c r="NME21" s="55"/>
      <c r="NMF21" s="55"/>
      <c r="NMG21" s="55"/>
      <c r="NMH21" s="55"/>
      <c r="NMI21" s="55"/>
      <c r="NMJ21" s="55"/>
      <c r="NMK21" s="55"/>
      <c r="NML21" s="55"/>
      <c r="NMM21" s="55"/>
      <c r="NMN21" s="55"/>
      <c r="NMO21" s="55"/>
      <c r="NMP21" s="55"/>
      <c r="NMQ21" s="55"/>
      <c r="NMR21" s="55"/>
      <c r="NMS21" s="55"/>
      <c r="NMT21" s="55"/>
      <c r="NMU21" s="55"/>
      <c r="NMV21" s="55"/>
      <c r="NMW21" s="55"/>
      <c r="NMX21" s="55"/>
      <c r="NMY21" s="55"/>
      <c r="NMZ21" s="55"/>
      <c r="NNA21" s="55"/>
      <c r="NNB21" s="55"/>
      <c r="NNC21" s="55"/>
      <c r="NND21" s="55"/>
      <c r="NNE21" s="55"/>
      <c r="NNF21" s="55"/>
      <c r="NNG21" s="55"/>
      <c r="NNH21" s="55"/>
      <c r="NNI21" s="55"/>
      <c r="NNJ21" s="55"/>
      <c r="NNK21" s="55"/>
      <c r="NNL21" s="55"/>
      <c r="NNM21" s="55"/>
      <c r="NNN21" s="55"/>
      <c r="NNO21" s="55"/>
      <c r="NNP21" s="55"/>
      <c r="NNQ21" s="55"/>
      <c r="NNR21" s="55"/>
      <c r="NNS21" s="55"/>
      <c r="NNT21" s="55"/>
      <c r="NNU21" s="55"/>
      <c r="NNV21" s="55"/>
      <c r="NNW21" s="55"/>
      <c r="NNX21" s="55"/>
      <c r="NNY21" s="55"/>
      <c r="NNZ21" s="55"/>
      <c r="NOA21" s="55"/>
      <c r="NOB21" s="55"/>
      <c r="NOC21" s="55"/>
      <c r="NOD21" s="55"/>
      <c r="NOE21" s="55"/>
      <c r="NOF21" s="55"/>
      <c r="NOG21" s="55"/>
      <c r="NOH21" s="55"/>
      <c r="NOI21" s="55"/>
      <c r="NOJ21" s="55"/>
      <c r="NOK21" s="55"/>
      <c r="NOL21" s="55"/>
      <c r="NOM21" s="55"/>
      <c r="NON21" s="55"/>
      <c r="NOO21" s="55"/>
      <c r="NOP21" s="55"/>
      <c r="NOQ21" s="55"/>
      <c r="NOR21" s="55"/>
      <c r="NOS21" s="55"/>
      <c r="NOT21" s="55"/>
      <c r="NOU21" s="55"/>
      <c r="NOV21" s="55"/>
      <c r="NOW21" s="55"/>
      <c r="NOX21" s="55"/>
      <c r="NOY21" s="55"/>
      <c r="NOZ21" s="55"/>
      <c r="NPA21" s="55"/>
      <c r="NPB21" s="55"/>
      <c r="NPC21" s="55"/>
      <c r="NPD21" s="55"/>
      <c r="NPE21" s="55"/>
      <c r="NPF21" s="55"/>
      <c r="NPG21" s="55"/>
      <c r="NPH21" s="55"/>
      <c r="NPI21" s="55"/>
      <c r="NPJ21" s="55"/>
      <c r="NPK21" s="55"/>
      <c r="NPL21" s="55"/>
      <c r="NPM21" s="55"/>
      <c r="NPN21" s="55"/>
      <c r="NPO21" s="55"/>
      <c r="NPP21" s="55"/>
      <c r="NPQ21" s="55"/>
      <c r="NPR21" s="55"/>
      <c r="NPS21" s="55"/>
      <c r="NPT21" s="55"/>
      <c r="NPU21" s="55"/>
      <c r="NPV21" s="55"/>
      <c r="NPW21" s="55"/>
      <c r="NPX21" s="55"/>
      <c r="NPY21" s="55"/>
      <c r="NPZ21" s="55"/>
      <c r="NQA21" s="55"/>
      <c r="NQB21" s="55"/>
      <c r="NQC21" s="55"/>
      <c r="NQD21" s="55"/>
      <c r="NQE21" s="55"/>
      <c r="NQF21" s="55"/>
      <c r="NQG21" s="55"/>
      <c r="NQH21" s="55"/>
      <c r="NQI21" s="55"/>
      <c r="NQJ21" s="55"/>
      <c r="NQK21" s="55"/>
      <c r="NQL21" s="55"/>
      <c r="NQM21" s="55"/>
      <c r="NQN21" s="55"/>
      <c r="NQO21" s="55"/>
      <c r="NQP21" s="55"/>
      <c r="NQQ21" s="55"/>
      <c r="NQR21" s="55"/>
      <c r="NQS21" s="55"/>
      <c r="NQT21" s="55"/>
      <c r="NQU21" s="55"/>
      <c r="NQV21" s="55"/>
      <c r="NQW21" s="55"/>
      <c r="NQX21" s="55"/>
      <c r="NQY21" s="55"/>
      <c r="NQZ21" s="55"/>
      <c r="NRA21" s="55"/>
      <c r="NRB21" s="55"/>
      <c r="NRC21" s="55"/>
      <c r="NRD21" s="55"/>
      <c r="NRE21" s="55"/>
      <c r="NRF21" s="55"/>
      <c r="NRG21" s="55"/>
      <c r="NRH21" s="55"/>
      <c r="NRI21" s="55"/>
      <c r="NRJ21" s="55"/>
      <c r="NRK21" s="55"/>
      <c r="NRL21" s="55"/>
      <c r="NRM21" s="55"/>
      <c r="NRN21" s="55"/>
      <c r="NRO21" s="55"/>
      <c r="NRP21" s="55"/>
      <c r="NRQ21" s="55"/>
      <c r="NRR21" s="55"/>
      <c r="NRS21" s="55"/>
      <c r="NRT21" s="55"/>
      <c r="NRU21" s="55"/>
      <c r="NRV21" s="55"/>
      <c r="NRW21" s="55"/>
      <c r="NRX21" s="55"/>
      <c r="NRY21" s="55"/>
      <c r="NRZ21" s="55"/>
      <c r="NSA21" s="55"/>
      <c r="NSB21" s="55"/>
      <c r="NSC21" s="55"/>
      <c r="NSD21" s="55"/>
      <c r="NSE21" s="55"/>
      <c r="NSF21" s="55"/>
      <c r="NSG21" s="55"/>
      <c r="NSH21" s="55"/>
      <c r="NSI21" s="55"/>
      <c r="NSJ21" s="55"/>
      <c r="NSK21" s="55"/>
      <c r="NSL21" s="55"/>
      <c r="NSM21" s="55"/>
      <c r="NSN21" s="55"/>
      <c r="NSO21" s="55"/>
      <c r="NSP21" s="55"/>
      <c r="NSQ21" s="55"/>
      <c r="NSR21" s="55"/>
      <c r="NSS21" s="55"/>
      <c r="NST21" s="55"/>
      <c r="NSU21" s="55"/>
      <c r="NSV21" s="55"/>
      <c r="NSW21" s="55"/>
      <c r="NSX21" s="55"/>
      <c r="NSY21" s="55"/>
      <c r="NSZ21" s="55"/>
      <c r="NTA21" s="55"/>
      <c r="NTB21" s="55"/>
      <c r="NTC21" s="55"/>
      <c r="NTD21" s="55"/>
      <c r="NTE21" s="55"/>
      <c r="NTF21" s="55"/>
      <c r="NTG21" s="55"/>
      <c r="NTH21" s="55"/>
      <c r="NTI21" s="55"/>
      <c r="NTJ21" s="55"/>
      <c r="NTK21" s="55"/>
      <c r="NTL21" s="55"/>
      <c r="NTM21" s="55"/>
      <c r="NTN21" s="55"/>
      <c r="NTO21" s="55"/>
      <c r="NTP21" s="55"/>
      <c r="NTQ21" s="55"/>
      <c r="NTR21" s="55"/>
      <c r="NTS21" s="55"/>
      <c r="NTT21" s="55"/>
      <c r="NTU21" s="55"/>
      <c r="NTV21" s="55"/>
      <c r="NTW21" s="55"/>
      <c r="NTX21" s="55"/>
      <c r="NTY21" s="55"/>
      <c r="NTZ21" s="55"/>
      <c r="NUA21" s="55"/>
      <c r="NUB21" s="55"/>
      <c r="NUC21" s="55"/>
      <c r="NUD21" s="55"/>
      <c r="NUE21" s="55"/>
      <c r="NUF21" s="55"/>
      <c r="NUG21" s="55"/>
      <c r="NUH21" s="55"/>
      <c r="NUI21" s="55"/>
      <c r="NUJ21" s="55"/>
      <c r="NUK21" s="55"/>
      <c r="NUL21" s="55"/>
      <c r="NUM21" s="55"/>
      <c r="NUN21" s="55"/>
      <c r="NUO21" s="55"/>
      <c r="NUP21" s="55"/>
      <c r="NUQ21" s="55"/>
      <c r="NUR21" s="55"/>
      <c r="NUS21" s="55"/>
      <c r="NUT21" s="55"/>
      <c r="NUU21" s="55"/>
      <c r="NUV21" s="55"/>
      <c r="NUW21" s="55"/>
      <c r="NUX21" s="55"/>
      <c r="NUY21" s="55"/>
      <c r="NUZ21" s="55"/>
      <c r="NVA21" s="55"/>
      <c r="NVB21" s="55"/>
      <c r="NVC21" s="55"/>
      <c r="NVD21" s="55"/>
      <c r="NVE21" s="55"/>
      <c r="NVF21" s="55"/>
      <c r="NVG21" s="55"/>
      <c r="NVH21" s="55"/>
      <c r="NVI21" s="55"/>
      <c r="NVJ21" s="55"/>
      <c r="NVK21" s="55"/>
      <c r="NVL21" s="55"/>
      <c r="NVM21" s="55"/>
      <c r="NVN21" s="55"/>
      <c r="NVO21" s="55"/>
      <c r="NVP21" s="55"/>
      <c r="NVQ21" s="55"/>
      <c r="NVR21" s="55"/>
      <c r="NVS21" s="55"/>
      <c r="NVT21" s="55"/>
      <c r="NVU21" s="55"/>
      <c r="NVV21" s="55"/>
      <c r="NVW21" s="55"/>
      <c r="NVX21" s="55"/>
      <c r="NVY21" s="55"/>
      <c r="NVZ21" s="55"/>
      <c r="NWA21" s="55"/>
      <c r="NWB21" s="55"/>
      <c r="NWC21" s="55"/>
      <c r="NWD21" s="55"/>
      <c r="NWE21" s="55"/>
      <c r="NWF21" s="55"/>
      <c r="NWG21" s="55"/>
      <c r="NWH21" s="55"/>
      <c r="NWI21" s="55"/>
      <c r="NWJ21" s="55"/>
      <c r="NWK21" s="55"/>
      <c r="NWL21" s="55"/>
      <c r="NWM21" s="55"/>
      <c r="NWN21" s="55"/>
      <c r="NWO21" s="55"/>
      <c r="NWP21" s="55"/>
      <c r="NWQ21" s="55"/>
      <c r="NWR21" s="55"/>
      <c r="NWS21" s="55"/>
      <c r="NWT21" s="55"/>
      <c r="NWU21" s="55"/>
      <c r="NWV21" s="55"/>
      <c r="NWW21" s="55"/>
      <c r="NWX21" s="55"/>
      <c r="NWY21" s="55"/>
      <c r="NWZ21" s="55"/>
      <c r="NXA21" s="55"/>
      <c r="NXB21" s="55"/>
      <c r="NXC21" s="55"/>
      <c r="NXD21" s="55"/>
      <c r="NXE21" s="55"/>
      <c r="NXF21" s="55"/>
      <c r="NXG21" s="55"/>
      <c r="NXH21" s="55"/>
      <c r="NXI21" s="55"/>
      <c r="NXJ21" s="55"/>
      <c r="NXK21" s="55"/>
      <c r="NXL21" s="55"/>
      <c r="NXM21" s="55"/>
      <c r="NXN21" s="55"/>
      <c r="NXO21" s="55"/>
      <c r="NXP21" s="55"/>
      <c r="NXQ21" s="55"/>
      <c r="NXR21" s="55"/>
      <c r="NXS21" s="55"/>
      <c r="NXT21" s="55"/>
      <c r="NXU21" s="55"/>
      <c r="NXV21" s="55"/>
      <c r="NXW21" s="55"/>
      <c r="NXX21" s="55"/>
      <c r="NXY21" s="55"/>
      <c r="NXZ21" s="55"/>
      <c r="NYA21" s="55"/>
      <c r="NYB21" s="55"/>
      <c r="NYC21" s="55"/>
      <c r="NYD21" s="55"/>
      <c r="NYE21" s="55"/>
      <c r="NYF21" s="55"/>
      <c r="NYG21" s="55"/>
      <c r="NYH21" s="55"/>
      <c r="NYI21" s="55"/>
      <c r="NYJ21" s="55"/>
      <c r="NYK21" s="55"/>
      <c r="NYL21" s="55"/>
      <c r="NYM21" s="55"/>
      <c r="NYN21" s="55"/>
      <c r="NYO21" s="55"/>
      <c r="NYP21" s="55"/>
      <c r="NYQ21" s="55"/>
      <c r="NYR21" s="55"/>
      <c r="NYS21" s="55"/>
      <c r="NYT21" s="55"/>
      <c r="NYU21" s="55"/>
      <c r="NYV21" s="55"/>
      <c r="NYW21" s="55"/>
      <c r="NYX21" s="55"/>
      <c r="NYY21" s="55"/>
      <c r="NYZ21" s="55"/>
      <c r="NZA21" s="55"/>
      <c r="NZB21" s="55"/>
      <c r="NZC21" s="55"/>
      <c r="NZD21" s="55"/>
      <c r="NZE21" s="55"/>
      <c r="NZF21" s="55"/>
      <c r="NZG21" s="55"/>
      <c r="NZH21" s="55"/>
      <c r="NZI21" s="55"/>
      <c r="NZJ21" s="55"/>
      <c r="NZK21" s="55"/>
      <c r="NZL21" s="55"/>
      <c r="NZM21" s="55"/>
      <c r="NZN21" s="55"/>
      <c r="NZO21" s="55"/>
      <c r="NZP21" s="55"/>
      <c r="NZQ21" s="55"/>
      <c r="NZR21" s="55"/>
      <c r="NZS21" s="55"/>
      <c r="NZT21" s="55"/>
      <c r="NZU21" s="55"/>
      <c r="NZV21" s="55"/>
      <c r="NZW21" s="55"/>
      <c r="NZX21" s="55"/>
      <c r="NZY21" s="55"/>
      <c r="NZZ21" s="55"/>
      <c r="OAA21" s="55"/>
      <c r="OAB21" s="55"/>
      <c r="OAC21" s="55"/>
      <c r="OAD21" s="55"/>
      <c r="OAE21" s="55"/>
      <c r="OAF21" s="55"/>
      <c r="OAG21" s="55"/>
      <c r="OAH21" s="55"/>
      <c r="OAI21" s="55"/>
      <c r="OAJ21" s="55"/>
      <c r="OAK21" s="55"/>
      <c r="OAL21" s="55"/>
      <c r="OAM21" s="55"/>
      <c r="OAN21" s="55"/>
      <c r="OAO21" s="55"/>
      <c r="OAP21" s="55"/>
      <c r="OAQ21" s="55"/>
      <c r="OAR21" s="55"/>
      <c r="OAS21" s="55"/>
      <c r="OAT21" s="55"/>
      <c r="OAU21" s="55"/>
      <c r="OAV21" s="55"/>
      <c r="OAW21" s="55"/>
      <c r="OAX21" s="55"/>
      <c r="OAY21" s="55"/>
      <c r="OAZ21" s="55"/>
      <c r="OBA21" s="55"/>
      <c r="OBB21" s="55"/>
      <c r="OBC21" s="55"/>
      <c r="OBD21" s="55"/>
      <c r="OBE21" s="55"/>
      <c r="OBF21" s="55"/>
      <c r="OBG21" s="55"/>
      <c r="OBH21" s="55"/>
      <c r="OBI21" s="55"/>
      <c r="OBJ21" s="55"/>
      <c r="OBK21" s="55"/>
      <c r="OBL21" s="55"/>
      <c r="OBM21" s="55"/>
      <c r="OBN21" s="55"/>
      <c r="OBO21" s="55"/>
      <c r="OBP21" s="55"/>
      <c r="OBQ21" s="55"/>
      <c r="OBR21" s="55"/>
      <c r="OBS21" s="55"/>
      <c r="OBT21" s="55"/>
      <c r="OBU21" s="55"/>
      <c r="OBV21" s="55"/>
      <c r="OBW21" s="55"/>
      <c r="OBX21" s="55"/>
      <c r="OBY21" s="55"/>
      <c r="OBZ21" s="55"/>
      <c r="OCA21" s="55"/>
      <c r="OCB21" s="55"/>
      <c r="OCC21" s="55"/>
      <c r="OCD21" s="55"/>
      <c r="OCE21" s="55"/>
      <c r="OCF21" s="55"/>
      <c r="OCG21" s="55"/>
      <c r="OCH21" s="55"/>
      <c r="OCI21" s="55"/>
      <c r="OCJ21" s="55"/>
      <c r="OCK21" s="55"/>
      <c r="OCL21" s="55"/>
      <c r="OCM21" s="55"/>
      <c r="OCN21" s="55"/>
      <c r="OCO21" s="55"/>
      <c r="OCP21" s="55"/>
      <c r="OCQ21" s="55"/>
      <c r="OCR21" s="55"/>
      <c r="OCS21" s="55"/>
      <c r="OCT21" s="55"/>
      <c r="OCU21" s="55"/>
      <c r="OCV21" s="55"/>
      <c r="OCW21" s="55"/>
      <c r="OCX21" s="55"/>
      <c r="OCY21" s="55"/>
      <c r="OCZ21" s="55"/>
      <c r="ODA21" s="55"/>
      <c r="ODB21" s="55"/>
      <c r="ODC21" s="55"/>
      <c r="ODD21" s="55"/>
      <c r="ODE21" s="55"/>
      <c r="ODF21" s="55"/>
      <c r="ODG21" s="55"/>
      <c r="ODH21" s="55"/>
      <c r="ODI21" s="55"/>
      <c r="ODJ21" s="55"/>
      <c r="ODK21" s="55"/>
      <c r="ODL21" s="55"/>
      <c r="ODM21" s="55"/>
      <c r="ODN21" s="55"/>
      <c r="ODO21" s="55"/>
      <c r="ODP21" s="55"/>
      <c r="ODQ21" s="55"/>
      <c r="ODR21" s="55"/>
      <c r="ODS21" s="55"/>
      <c r="ODT21" s="55"/>
      <c r="ODU21" s="55"/>
      <c r="ODV21" s="55"/>
      <c r="ODW21" s="55"/>
      <c r="ODX21" s="55"/>
      <c r="ODY21" s="55"/>
      <c r="ODZ21" s="55"/>
      <c r="OEA21" s="55"/>
      <c r="OEB21" s="55"/>
      <c r="OEC21" s="55"/>
      <c r="OED21" s="55"/>
      <c r="OEE21" s="55"/>
      <c r="OEF21" s="55"/>
      <c r="OEG21" s="55"/>
      <c r="OEH21" s="55"/>
      <c r="OEI21" s="55"/>
      <c r="OEJ21" s="55"/>
      <c r="OEK21" s="55"/>
      <c r="OEL21" s="55"/>
      <c r="OEM21" s="55"/>
      <c r="OEN21" s="55"/>
      <c r="OEO21" s="55"/>
      <c r="OEP21" s="55"/>
      <c r="OEQ21" s="55"/>
      <c r="OER21" s="55"/>
      <c r="OES21" s="55"/>
      <c r="OET21" s="55"/>
      <c r="OEU21" s="55"/>
      <c r="OEV21" s="55"/>
      <c r="OEW21" s="55"/>
      <c r="OEX21" s="55"/>
      <c r="OEY21" s="55"/>
      <c r="OEZ21" s="55"/>
      <c r="OFA21" s="55"/>
      <c r="OFB21" s="55"/>
      <c r="OFC21" s="55"/>
      <c r="OFD21" s="55"/>
      <c r="OFE21" s="55"/>
      <c r="OFF21" s="55"/>
      <c r="OFG21" s="55"/>
      <c r="OFH21" s="55"/>
      <c r="OFI21" s="55"/>
      <c r="OFJ21" s="55"/>
      <c r="OFK21" s="55"/>
      <c r="OFL21" s="55"/>
      <c r="OFM21" s="55"/>
      <c r="OFN21" s="55"/>
      <c r="OFO21" s="55"/>
      <c r="OFP21" s="55"/>
      <c r="OFQ21" s="55"/>
      <c r="OFR21" s="55"/>
      <c r="OFS21" s="55"/>
      <c r="OFT21" s="55"/>
      <c r="OFU21" s="55"/>
      <c r="OFV21" s="55"/>
      <c r="OFW21" s="55"/>
      <c r="OFX21" s="55"/>
      <c r="OFY21" s="55"/>
      <c r="OFZ21" s="55"/>
      <c r="OGA21" s="55"/>
      <c r="OGB21" s="55"/>
      <c r="OGC21" s="55"/>
      <c r="OGD21" s="55"/>
      <c r="OGE21" s="55"/>
      <c r="OGF21" s="55"/>
      <c r="OGG21" s="55"/>
      <c r="OGH21" s="55"/>
      <c r="OGI21" s="55"/>
      <c r="OGJ21" s="55"/>
      <c r="OGK21" s="55"/>
      <c r="OGL21" s="55"/>
      <c r="OGM21" s="55"/>
      <c r="OGN21" s="55"/>
      <c r="OGO21" s="55"/>
      <c r="OGP21" s="55"/>
      <c r="OGQ21" s="55"/>
      <c r="OGR21" s="55"/>
      <c r="OGS21" s="55"/>
      <c r="OGT21" s="55"/>
      <c r="OGU21" s="55"/>
      <c r="OGV21" s="55"/>
      <c r="OGW21" s="55"/>
      <c r="OGX21" s="55"/>
      <c r="OGY21" s="55"/>
      <c r="OGZ21" s="55"/>
      <c r="OHA21" s="55"/>
      <c r="OHB21" s="55"/>
      <c r="OHC21" s="55"/>
      <c r="OHD21" s="55"/>
      <c r="OHE21" s="55"/>
      <c r="OHF21" s="55"/>
      <c r="OHG21" s="55"/>
      <c r="OHH21" s="55"/>
      <c r="OHI21" s="55"/>
      <c r="OHJ21" s="55"/>
      <c r="OHK21" s="55"/>
      <c r="OHL21" s="55"/>
      <c r="OHM21" s="55"/>
      <c r="OHN21" s="55"/>
      <c r="OHO21" s="55"/>
      <c r="OHP21" s="55"/>
      <c r="OHQ21" s="55"/>
      <c r="OHR21" s="55"/>
      <c r="OHS21" s="55"/>
      <c r="OHT21" s="55"/>
      <c r="OHU21" s="55"/>
      <c r="OHV21" s="55"/>
      <c r="OHW21" s="55"/>
      <c r="OHX21" s="55"/>
      <c r="OHY21" s="55"/>
      <c r="OHZ21" s="55"/>
      <c r="OIA21" s="55"/>
      <c r="OIB21" s="55"/>
      <c r="OIC21" s="55"/>
      <c r="OID21" s="55"/>
      <c r="OIE21" s="55"/>
      <c r="OIF21" s="55"/>
      <c r="OIG21" s="55"/>
      <c r="OIH21" s="55"/>
      <c r="OII21" s="55"/>
      <c r="OIJ21" s="55"/>
      <c r="OIK21" s="55"/>
      <c r="OIL21" s="55"/>
      <c r="OIM21" s="55"/>
      <c r="OIN21" s="55"/>
      <c r="OIO21" s="55"/>
      <c r="OIP21" s="55"/>
      <c r="OIQ21" s="55"/>
      <c r="OIR21" s="55"/>
      <c r="OIS21" s="55"/>
      <c r="OIT21" s="55"/>
      <c r="OIU21" s="55"/>
      <c r="OIV21" s="55"/>
      <c r="OIW21" s="55"/>
      <c r="OIX21" s="55"/>
      <c r="OIY21" s="55"/>
      <c r="OIZ21" s="55"/>
      <c r="OJA21" s="55"/>
      <c r="OJB21" s="55"/>
      <c r="OJC21" s="55"/>
      <c r="OJD21" s="55"/>
      <c r="OJE21" s="55"/>
      <c r="OJF21" s="55"/>
      <c r="OJG21" s="55"/>
      <c r="OJH21" s="55"/>
      <c r="OJI21" s="55"/>
      <c r="OJJ21" s="55"/>
      <c r="OJK21" s="55"/>
      <c r="OJL21" s="55"/>
      <c r="OJM21" s="55"/>
      <c r="OJN21" s="55"/>
      <c r="OJO21" s="55"/>
      <c r="OJP21" s="55"/>
      <c r="OJQ21" s="55"/>
      <c r="OJR21" s="55"/>
      <c r="OJS21" s="55"/>
      <c r="OJT21" s="55"/>
      <c r="OJU21" s="55"/>
      <c r="OJV21" s="55"/>
      <c r="OJW21" s="55"/>
      <c r="OJX21" s="55"/>
      <c r="OJY21" s="55"/>
      <c r="OJZ21" s="55"/>
      <c r="OKA21" s="55"/>
      <c r="OKB21" s="55"/>
      <c r="OKC21" s="55"/>
      <c r="OKD21" s="55"/>
      <c r="OKE21" s="55"/>
      <c r="OKF21" s="55"/>
      <c r="OKG21" s="55"/>
      <c r="OKH21" s="55"/>
      <c r="OKI21" s="55"/>
      <c r="OKJ21" s="55"/>
      <c r="OKK21" s="55"/>
      <c r="OKL21" s="55"/>
      <c r="OKM21" s="55"/>
      <c r="OKN21" s="55"/>
      <c r="OKO21" s="55"/>
      <c r="OKP21" s="55"/>
      <c r="OKQ21" s="55"/>
      <c r="OKR21" s="55"/>
      <c r="OKS21" s="55"/>
      <c r="OKT21" s="55"/>
      <c r="OKU21" s="55"/>
      <c r="OKV21" s="55"/>
      <c r="OKW21" s="55"/>
      <c r="OKX21" s="55"/>
      <c r="OKY21" s="55"/>
      <c r="OKZ21" s="55"/>
      <c r="OLA21" s="55"/>
      <c r="OLB21" s="55"/>
      <c r="OLC21" s="55"/>
      <c r="OLD21" s="55"/>
      <c r="OLE21" s="55"/>
      <c r="OLF21" s="55"/>
      <c r="OLG21" s="55"/>
      <c r="OLH21" s="55"/>
      <c r="OLI21" s="55"/>
      <c r="OLJ21" s="55"/>
      <c r="OLK21" s="55"/>
      <c r="OLL21" s="55"/>
      <c r="OLM21" s="55"/>
      <c r="OLN21" s="55"/>
      <c r="OLO21" s="55"/>
      <c r="OLP21" s="55"/>
      <c r="OLQ21" s="55"/>
      <c r="OLR21" s="55"/>
      <c r="OLS21" s="55"/>
      <c r="OLT21" s="55"/>
      <c r="OLU21" s="55"/>
      <c r="OLV21" s="55"/>
      <c r="OLW21" s="55"/>
      <c r="OLX21" s="55"/>
      <c r="OLY21" s="55"/>
      <c r="OLZ21" s="55"/>
      <c r="OMA21" s="55"/>
      <c r="OMB21" s="55"/>
      <c r="OMC21" s="55"/>
      <c r="OMD21" s="55"/>
      <c r="OME21" s="55"/>
      <c r="OMF21" s="55"/>
      <c r="OMG21" s="55"/>
      <c r="OMH21" s="55"/>
      <c r="OMI21" s="55"/>
      <c r="OMJ21" s="55"/>
      <c r="OMK21" s="55"/>
      <c r="OML21" s="55"/>
      <c r="OMM21" s="55"/>
      <c r="OMN21" s="55"/>
      <c r="OMO21" s="55"/>
      <c r="OMP21" s="55"/>
      <c r="OMQ21" s="55"/>
      <c r="OMR21" s="55"/>
      <c r="OMS21" s="55"/>
      <c r="OMT21" s="55"/>
      <c r="OMU21" s="55"/>
      <c r="OMV21" s="55"/>
      <c r="OMW21" s="55"/>
      <c r="OMX21" s="55"/>
      <c r="OMY21" s="55"/>
      <c r="OMZ21" s="55"/>
      <c r="ONA21" s="55"/>
      <c r="ONB21" s="55"/>
      <c r="ONC21" s="55"/>
      <c r="OND21" s="55"/>
      <c r="ONE21" s="55"/>
      <c r="ONF21" s="55"/>
      <c r="ONG21" s="55"/>
      <c r="ONH21" s="55"/>
      <c r="ONI21" s="55"/>
      <c r="ONJ21" s="55"/>
      <c r="ONK21" s="55"/>
      <c r="ONL21" s="55"/>
      <c r="ONM21" s="55"/>
      <c r="ONN21" s="55"/>
      <c r="ONO21" s="55"/>
      <c r="ONP21" s="55"/>
      <c r="ONQ21" s="55"/>
      <c r="ONR21" s="55"/>
      <c r="ONS21" s="55"/>
      <c r="ONT21" s="55"/>
      <c r="ONU21" s="55"/>
      <c r="ONV21" s="55"/>
      <c r="ONW21" s="55"/>
      <c r="ONX21" s="55"/>
      <c r="ONY21" s="55"/>
      <c r="ONZ21" s="55"/>
      <c r="OOA21" s="55"/>
      <c r="OOB21" s="55"/>
      <c r="OOC21" s="55"/>
      <c r="OOD21" s="55"/>
      <c r="OOE21" s="55"/>
      <c r="OOF21" s="55"/>
      <c r="OOG21" s="55"/>
      <c r="OOH21" s="55"/>
      <c r="OOI21" s="55"/>
      <c r="OOJ21" s="55"/>
      <c r="OOK21" s="55"/>
      <c r="OOL21" s="55"/>
      <c r="OOM21" s="55"/>
      <c r="OON21" s="55"/>
      <c r="OOO21" s="55"/>
      <c r="OOP21" s="55"/>
      <c r="OOQ21" s="55"/>
      <c r="OOR21" s="55"/>
      <c r="OOS21" s="55"/>
      <c r="OOT21" s="55"/>
      <c r="OOU21" s="55"/>
      <c r="OOV21" s="55"/>
      <c r="OOW21" s="55"/>
      <c r="OOX21" s="55"/>
      <c r="OOY21" s="55"/>
      <c r="OOZ21" s="55"/>
      <c r="OPA21" s="55"/>
      <c r="OPB21" s="55"/>
      <c r="OPC21" s="55"/>
      <c r="OPD21" s="55"/>
      <c r="OPE21" s="55"/>
      <c r="OPF21" s="55"/>
      <c r="OPG21" s="55"/>
      <c r="OPH21" s="55"/>
      <c r="OPI21" s="55"/>
      <c r="OPJ21" s="55"/>
      <c r="OPK21" s="55"/>
      <c r="OPL21" s="55"/>
      <c r="OPM21" s="55"/>
      <c r="OPN21" s="55"/>
      <c r="OPO21" s="55"/>
      <c r="OPP21" s="55"/>
      <c r="OPQ21" s="55"/>
      <c r="OPR21" s="55"/>
      <c r="OPS21" s="55"/>
      <c r="OPT21" s="55"/>
      <c r="OPU21" s="55"/>
      <c r="OPV21" s="55"/>
      <c r="OPW21" s="55"/>
      <c r="OPX21" s="55"/>
      <c r="OPY21" s="55"/>
      <c r="OPZ21" s="55"/>
      <c r="OQA21" s="55"/>
      <c r="OQB21" s="55"/>
      <c r="OQC21" s="55"/>
      <c r="OQD21" s="55"/>
      <c r="OQE21" s="55"/>
      <c r="OQF21" s="55"/>
      <c r="OQG21" s="55"/>
      <c r="OQH21" s="55"/>
      <c r="OQI21" s="55"/>
      <c r="OQJ21" s="55"/>
      <c r="OQK21" s="55"/>
      <c r="OQL21" s="55"/>
      <c r="OQM21" s="55"/>
      <c r="OQN21" s="55"/>
      <c r="OQO21" s="55"/>
      <c r="OQP21" s="55"/>
      <c r="OQQ21" s="55"/>
      <c r="OQR21" s="55"/>
      <c r="OQS21" s="55"/>
      <c r="OQT21" s="55"/>
      <c r="OQU21" s="55"/>
      <c r="OQV21" s="55"/>
      <c r="OQW21" s="55"/>
      <c r="OQX21" s="55"/>
      <c r="OQY21" s="55"/>
      <c r="OQZ21" s="55"/>
      <c r="ORA21" s="55"/>
      <c r="ORB21" s="55"/>
      <c r="ORC21" s="55"/>
      <c r="ORD21" s="55"/>
      <c r="ORE21" s="55"/>
      <c r="ORF21" s="55"/>
      <c r="ORG21" s="55"/>
      <c r="ORH21" s="55"/>
      <c r="ORI21" s="55"/>
      <c r="ORJ21" s="55"/>
      <c r="ORK21" s="55"/>
      <c r="ORL21" s="55"/>
      <c r="ORM21" s="55"/>
      <c r="ORN21" s="55"/>
      <c r="ORO21" s="55"/>
      <c r="ORP21" s="55"/>
      <c r="ORQ21" s="55"/>
      <c r="ORR21" s="55"/>
      <c r="ORS21" s="55"/>
      <c r="ORT21" s="55"/>
      <c r="ORU21" s="55"/>
      <c r="ORV21" s="55"/>
      <c r="ORW21" s="55"/>
      <c r="ORX21" s="55"/>
      <c r="ORY21" s="55"/>
      <c r="ORZ21" s="55"/>
      <c r="OSA21" s="55"/>
      <c r="OSB21" s="55"/>
      <c r="OSC21" s="55"/>
      <c r="OSD21" s="55"/>
      <c r="OSE21" s="55"/>
      <c r="OSF21" s="55"/>
      <c r="OSG21" s="55"/>
      <c r="OSH21" s="55"/>
      <c r="OSI21" s="55"/>
      <c r="OSJ21" s="55"/>
      <c r="OSK21" s="55"/>
      <c r="OSL21" s="55"/>
      <c r="OSM21" s="55"/>
      <c r="OSN21" s="55"/>
      <c r="OSO21" s="55"/>
      <c r="OSP21" s="55"/>
      <c r="OSQ21" s="55"/>
      <c r="OSR21" s="55"/>
      <c r="OSS21" s="55"/>
      <c r="OST21" s="55"/>
      <c r="OSU21" s="55"/>
      <c r="OSV21" s="55"/>
      <c r="OSW21" s="55"/>
      <c r="OSX21" s="55"/>
      <c r="OSY21" s="55"/>
      <c r="OSZ21" s="55"/>
      <c r="OTA21" s="55"/>
      <c r="OTB21" s="55"/>
      <c r="OTC21" s="55"/>
      <c r="OTD21" s="55"/>
      <c r="OTE21" s="55"/>
      <c r="OTF21" s="55"/>
      <c r="OTG21" s="55"/>
      <c r="OTH21" s="55"/>
      <c r="OTI21" s="55"/>
      <c r="OTJ21" s="55"/>
      <c r="OTK21" s="55"/>
      <c r="OTL21" s="55"/>
      <c r="OTM21" s="55"/>
      <c r="OTN21" s="55"/>
      <c r="OTO21" s="55"/>
      <c r="OTP21" s="55"/>
      <c r="OTQ21" s="55"/>
      <c r="OTR21" s="55"/>
      <c r="OTS21" s="55"/>
      <c r="OTT21" s="55"/>
      <c r="OTU21" s="55"/>
      <c r="OTV21" s="55"/>
      <c r="OTW21" s="55"/>
      <c r="OTX21" s="55"/>
      <c r="OTY21" s="55"/>
      <c r="OTZ21" s="55"/>
      <c r="OUA21" s="55"/>
      <c r="OUB21" s="55"/>
      <c r="OUC21" s="55"/>
      <c r="OUD21" s="55"/>
      <c r="OUE21" s="55"/>
      <c r="OUF21" s="55"/>
      <c r="OUG21" s="55"/>
      <c r="OUH21" s="55"/>
      <c r="OUI21" s="55"/>
      <c r="OUJ21" s="55"/>
      <c r="OUK21" s="55"/>
      <c r="OUL21" s="55"/>
      <c r="OUM21" s="55"/>
      <c r="OUN21" s="55"/>
      <c r="OUO21" s="55"/>
      <c r="OUP21" s="55"/>
      <c r="OUQ21" s="55"/>
      <c r="OUR21" s="55"/>
      <c r="OUS21" s="55"/>
      <c r="OUT21" s="55"/>
      <c r="OUU21" s="55"/>
      <c r="OUV21" s="55"/>
      <c r="OUW21" s="55"/>
      <c r="OUX21" s="55"/>
      <c r="OUY21" s="55"/>
      <c r="OUZ21" s="55"/>
      <c r="OVA21" s="55"/>
      <c r="OVB21" s="55"/>
      <c r="OVC21" s="55"/>
      <c r="OVD21" s="55"/>
      <c r="OVE21" s="55"/>
      <c r="OVF21" s="55"/>
      <c r="OVG21" s="55"/>
      <c r="OVH21" s="55"/>
      <c r="OVI21" s="55"/>
      <c r="OVJ21" s="55"/>
      <c r="OVK21" s="55"/>
      <c r="OVL21" s="55"/>
      <c r="OVM21" s="55"/>
      <c r="OVN21" s="55"/>
      <c r="OVO21" s="55"/>
      <c r="OVP21" s="55"/>
      <c r="OVQ21" s="55"/>
      <c r="OVR21" s="55"/>
      <c r="OVS21" s="55"/>
      <c r="OVT21" s="55"/>
      <c r="OVU21" s="55"/>
      <c r="OVV21" s="55"/>
      <c r="OVW21" s="55"/>
      <c r="OVX21" s="55"/>
      <c r="OVY21" s="55"/>
      <c r="OVZ21" s="55"/>
      <c r="OWA21" s="55"/>
      <c r="OWB21" s="55"/>
      <c r="OWC21" s="55"/>
      <c r="OWD21" s="55"/>
      <c r="OWE21" s="55"/>
      <c r="OWF21" s="55"/>
      <c r="OWG21" s="55"/>
      <c r="OWH21" s="55"/>
      <c r="OWI21" s="55"/>
      <c r="OWJ21" s="55"/>
      <c r="OWK21" s="55"/>
      <c r="OWL21" s="55"/>
      <c r="OWM21" s="55"/>
      <c r="OWN21" s="55"/>
      <c r="OWO21" s="55"/>
      <c r="OWP21" s="55"/>
      <c r="OWQ21" s="55"/>
      <c r="OWR21" s="55"/>
      <c r="OWS21" s="55"/>
      <c r="OWT21" s="55"/>
      <c r="OWU21" s="55"/>
      <c r="OWV21" s="55"/>
      <c r="OWW21" s="55"/>
      <c r="OWX21" s="55"/>
      <c r="OWY21" s="55"/>
      <c r="OWZ21" s="55"/>
      <c r="OXA21" s="55"/>
      <c r="OXB21" s="55"/>
      <c r="OXC21" s="55"/>
      <c r="OXD21" s="55"/>
      <c r="OXE21" s="55"/>
      <c r="OXF21" s="55"/>
      <c r="OXG21" s="55"/>
      <c r="OXH21" s="55"/>
      <c r="OXI21" s="55"/>
      <c r="OXJ21" s="55"/>
      <c r="OXK21" s="55"/>
      <c r="OXL21" s="55"/>
      <c r="OXM21" s="55"/>
      <c r="OXN21" s="55"/>
      <c r="OXO21" s="55"/>
      <c r="OXP21" s="55"/>
      <c r="OXQ21" s="55"/>
      <c r="OXR21" s="55"/>
      <c r="OXS21" s="55"/>
      <c r="OXT21" s="55"/>
      <c r="OXU21" s="55"/>
      <c r="OXV21" s="55"/>
      <c r="OXW21" s="55"/>
      <c r="OXX21" s="55"/>
      <c r="OXY21" s="55"/>
      <c r="OXZ21" s="55"/>
      <c r="OYA21" s="55"/>
      <c r="OYB21" s="55"/>
      <c r="OYC21" s="55"/>
      <c r="OYD21" s="55"/>
      <c r="OYE21" s="55"/>
      <c r="OYF21" s="55"/>
      <c r="OYG21" s="55"/>
      <c r="OYH21" s="55"/>
      <c r="OYI21" s="55"/>
      <c r="OYJ21" s="55"/>
      <c r="OYK21" s="55"/>
      <c r="OYL21" s="55"/>
      <c r="OYM21" s="55"/>
      <c r="OYN21" s="55"/>
      <c r="OYO21" s="55"/>
      <c r="OYP21" s="55"/>
      <c r="OYQ21" s="55"/>
      <c r="OYR21" s="55"/>
      <c r="OYS21" s="55"/>
      <c r="OYT21" s="55"/>
      <c r="OYU21" s="55"/>
      <c r="OYV21" s="55"/>
      <c r="OYW21" s="55"/>
      <c r="OYX21" s="55"/>
      <c r="OYY21" s="55"/>
      <c r="OYZ21" s="55"/>
      <c r="OZA21" s="55"/>
      <c r="OZB21" s="55"/>
      <c r="OZC21" s="55"/>
      <c r="OZD21" s="55"/>
      <c r="OZE21" s="55"/>
      <c r="OZF21" s="55"/>
      <c r="OZG21" s="55"/>
      <c r="OZH21" s="55"/>
      <c r="OZI21" s="55"/>
      <c r="OZJ21" s="55"/>
      <c r="OZK21" s="55"/>
      <c r="OZL21" s="55"/>
      <c r="OZM21" s="55"/>
      <c r="OZN21" s="55"/>
      <c r="OZO21" s="55"/>
      <c r="OZP21" s="55"/>
      <c r="OZQ21" s="55"/>
      <c r="OZR21" s="55"/>
      <c r="OZS21" s="55"/>
      <c r="OZT21" s="55"/>
      <c r="OZU21" s="55"/>
      <c r="OZV21" s="55"/>
      <c r="OZW21" s="55"/>
      <c r="OZX21" s="55"/>
      <c r="OZY21" s="55"/>
      <c r="OZZ21" s="55"/>
      <c r="PAA21" s="55"/>
      <c r="PAB21" s="55"/>
      <c r="PAC21" s="55"/>
      <c r="PAD21" s="55"/>
      <c r="PAE21" s="55"/>
      <c r="PAF21" s="55"/>
      <c r="PAG21" s="55"/>
      <c r="PAH21" s="55"/>
      <c r="PAI21" s="55"/>
      <c r="PAJ21" s="55"/>
      <c r="PAK21" s="55"/>
      <c r="PAL21" s="55"/>
      <c r="PAM21" s="55"/>
      <c r="PAN21" s="55"/>
      <c r="PAO21" s="55"/>
      <c r="PAP21" s="55"/>
      <c r="PAQ21" s="55"/>
      <c r="PAR21" s="55"/>
      <c r="PAS21" s="55"/>
      <c r="PAT21" s="55"/>
      <c r="PAU21" s="55"/>
      <c r="PAV21" s="55"/>
      <c r="PAW21" s="55"/>
      <c r="PAX21" s="55"/>
      <c r="PAY21" s="55"/>
      <c r="PAZ21" s="55"/>
      <c r="PBA21" s="55"/>
      <c r="PBB21" s="55"/>
      <c r="PBC21" s="55"/>
      <c r="PBD21" s="55"/>
      <c r="PBE21" s="55"/>
      <c r="PBF21" s="55"/>
      <c r="PBG21" s="55"/>
      <c r="PBH21" s="55"/>
      <c r="PBI21" s="55"/>
      <c r="PBJ21" s="55"/>
      <c r="PBK21" s="55"/>
      <c r="PBL21" s="55"/>
      <c r="PBM21" s="55"/>
      <c r="PBN21" s="55"/>
      <c r="PBO21" s="55"/>
      <c r="PBP21" s="55"/>
      <c r="PBQ21" s="55"/>
      <c r="PBR21" s="55"/>
      <c r="PBS21" s="55"/>
      <c r="PBT21" s="55"/>
      <c r="PBU21" s="55"/>
      <c r="PBV21" s="55"/>
      <c r="PBW21" s="55"/>
      <c r="PBX21" s="55"/>
      <c r="PBY21" s="55"/>
      <c r="PBZ21" s="55"/>
      <c r="PCA21" s="55"/>
      <c r="PCB21" s="55"/>
      <c r="PCC21" s="55"/>
      <c r="PCD21" s="55"/>
      <c r="PCE21" s="55"/>
      <c r="PCF21" s="55"/>
      <c r="PCG21" s="55"/>
      <c r="PCH21" s="55"/>
      <c r="PCI21" s="55"/>
      <c r="PCJ21" s="55"/>
      <c r="PCK21" s="55"/>
      <c r="PCL21" s="55"/>
      <c r="PCM21" s="55"/>
      <c r="PCN21" s="55"/>
      <c r="PCO21" s="55"/>
      <c r="PCP21" s="55"/>
      <c r="PCQ21" s="55"/>
      <c r="PCR21" s="55"/>
      <c r="PCS21" s="55"/>
      <c r="PCT21" s="55"/>
      <c r="PCU21" s="55"/>
      <c r="PCV21" s="55"/>
      <c r="PCW21" s="55"/>
      <c r="PCX21" s="55"/>
      <c r="PCY21" s="55"/>
      <c r="PCZ21" s="55"/>
      <c r="PDA21" s="55"/>
      <c r="PDB21" s="55"/>
      <c r="PDC21" s="55"/>
      <c r="PDD21" s="55"/>
      <c r="PDE21" s="55"/>
      <c r="PDF21" s="55"/>
      <c r="PDG21" s="55"/>
      <c r="PDH21" s="55"/>
      <c r="PDI21" s="55"/>
      <c r="PDJ21" s="55"/>
      <c r="PDK21" s="55"/>
      <c r="PDL21" s="55"/>
      <c r="PDM21" s="55"/>
      <c r="PDN21" s="55"/>
      <c r="PDO21" s="55"/>
      <c r="PDP21" s="55"/>
      <c r="PDQ21" s="55"/>
      <c r="PDR21" s="55"/>
      <c r="PDS21" s="55"/>
      <c r="PDT21" s="55"/>
      <c r="PDU21" s="55"/>
      <c r="PDV21" s="55"/>
      <c r="PDW21" s="55"/>
      <c r="PDX21" s="55"/>
      <c r="PDY21" s="55"/>
      <c r="PDZ21" s="55"/>
      <c r="PEA21" s="55"/>
      <c r="PEB21" s="55"/>
      <c r="PEC21" s="55"/>
      <c r="PED21" s="55"/>
      <c r="PEE21" s="55"/>
      <c r="PEF21" s="55"/>
      <c r="PEG21" s="55"/>
      <c r="PEH21" s="55"/>
      <c r="PEI21" s="55"/>
      <c r="PEJ21" s="55"/>
      <c r="PEK21" s="55"/>
      <c r="PEL21" s="55"/>
      <c r="PEM21" s="55"/>
      <c r="PEN21" s="55"/>
      <c r="PEO21" s="55"/>
      <c r="PEP21" s="55"/>
      <c r="PEQ21" s="55"/>
      <c r="PER21" s="55"/>
      <c r="PES21" s="55"/>
      <c r="PET21" s="55"/>
      <c r="PEU21" s="55"/>
      <c r="PEV21" s="55"/>
      <c r="PEW21" s="55"/>
      <c r="PEX21" s="55"/>
      <c r="PEY21" s="55"/>
      <c r="PEZ21" s="55"/>
      <c r="PFA21" s="55"/>
      <c r="PFB21" s="55"/>
      <c r="PFC21" s="55"/>
      <c r="PFD21" s="55"/>
      <c r="PFE21" s="55"/>
      <c r="PFF21" s="55"/>
      <c r="PFG21" s="55"/>
      <c r="PFH21" s="55"/>
      <c r="PFI21" s="55"/>
      <c r="PFJ21" s="55"/>
      <c r="PFK21" s="55"/>
      <c r="PFL21" s="55"/>
      <c r="PFM21" s="55"/>
      <c r="PFN21" s="55"/>
      <c r="PFO21" s="55"/>
      <c r="PFP21" s="55"/>
      <c r="PFQ21" s="55"/>
      <c r="PFR21" s="55"/>
      <c r="PFS21" s="55"/>
      <c r="PFT21" s="55"/>
      <c r="PFU21" s="55"/>
      <c r="PFV21" s="55"/>
      <c r="PFW21" s="55"/>
      <c r="PFX21" s="55"/>
      <c r="PFY21" s="55"/>
      <c r="PFZ21" s="55"/>
      <c r="PGA21" s="55"/>
      <c r="PGB21" s="55"/>
      <c r="PGC21" s="55"/>
      <c r="PGD21" s="55"/>
      <c r="PGE21" s="55"/>
      <c r="PGF21" s="55"/>
      <c r="PGG21" s="55"/>
      <c r="PGH21" s="55"/>
      <c r="PGI21" s="55"/>
      <c r="PGJ21" s="55"/>
      <c r="PGK21" s="55"/>
      <c r="PGL21" s="55"/>
      <c r="PGM21" s="55"/>
      <c r="PGN21" s="55"/>
      <c r="PGO21" s="55"/>
      <c r="PGP21" s="55"/>
      <c r="PGQ21" s="55"/>
      <c r="PGR21" s="55"/>
      <c r="PGS21" s="55"/>
      <c r="PGT21" s="55"/>
      <c r="PGU21" s="55"/>
      <c r="PGV21" s="55"/>
      <c r="PGW21" s="55"/>
      <c r="PGX21" s="55"/>
      <c r="PGY21" s="55"/>
      <c r="PGZ21" s="55"/>
      <c r="PHA21" s="55"/>
      <c r="PHB21" s="55"/>
      <c r="PHC21" s="55"/>
      <c r="PHD21" s="55"/>
      <c r="PHE21" s="55"/>
      <c r="PHF21" s="55"/>
      <c r="PHG21" s="55"/>
      <c r="PHH21" s="55"/>
      <c r="PHI21" s="55"/>
      <c r="PHJ21" s="55"/>
      <c r="PHK21" s="55"/>
      <c r="PHL21" s="55"/>
      <c r="PHM21" s="55"/>
      <c r="PHN21" s="55"/>
      <c r="PHO21" s="55"/>
      <c r="PHP21" s="55"/>
      <c r="PHQ21" s="55"/>
      <c r="PHR21" s="55"/>
      <c r="PHS21" s="55"/>
      <c r="PHT21" s="55"/>
      <c r="PHU21" s="55"/>
      <c r="PHV21" s="55"/>
      <c r="PHW21" s="55"/>
      <c r="PHX21" s="55"/>
      <c r="PHY21" s="55"/>
      <c r="PHZ21" s="55"/>
      <c r="PIA21" s="55"/>
      <c r="PIB21" s="55"/>
      <c r="PIC21" s="55"/>
      <c r="PID21" s="55"/>
      <c r="PIE21" s="55"/>
      <c r="PIF21" s="55"/>
      <c r="PIG21" s="55"/>
      <c r="PIH21" s="55"/>
      <c r="PII21" s="55"/>
      <c r="PIJ21" s="55"/>
      <c r="PIK21" s="55"/>
      <c r="PIL21" s="55"/>
      <c r="PIM21" s="55"/>
      <c r="PIN21" s="55"/>
      <c r="PIO21" s="55"/>
      <c r="PIP21" s="55"/>
      <c r="PIQ21" s="55"/>
      <c r="PIR21" s="55"/>
      <c r="PIS21" s="55"/>
      <c r="PIT21" s="55"/>
      <c r="PIU21" s="55"/>
      <c r="PIV21" s="55"/>
      <c r="PIW21" s="55"/>
      <c r="PIX21" s="55"/>
      <c r="PIY21" s="55"/>
      <c r="PIZ21" s="55"/>
      <c r="PJA21" s="55"/>
      <c r="PJB21" s="55"/>
      <c r="PJC21" s="55"/>
      <c r="PJD21" s="55"/>
      <c r="PJE21" s="55"/>
      <c r="PJF21" s="55"/>
      <c r="PJG21" s="55"/>
      <c r="PJH21" s="55"/>
      <c r="PJI21" s="55"/>
      <c r="PJJ21" s="55"/>
      <c r="PJK21" s="55"/>
      <c r="PJL21" s="55"/>
      <c r="PJM21" s="55"/>
      <c r="PJN21" s="55"/>
      <c r="PJO21" s="55"/>
      <c r="PJP21" s="55"/>
      <c r="PJQ21" s="55"/>
      <c r="PJR21" s="55"/>
      <c r="PJS21" s="55"/>
      <c r="PJT21" s="55"/>
      <c r="PJU21" s="55"/>
      <c r="PJV21" s="55"/>
      <c r="PJW21" s="55"/>
      <c r="PJX21" s="55"/>
      <c r="PJY21" s="55"/>
      <c r="PJZ21" s="55"/>
      <c r="PKA21" s="55"/>
      <c r="PKB21" s="55"/>
      <c r="PKC21" s="55"/>
      <c r="PKD21" s="55"/>
      <c r="PKE21" s="55"/>
      <c r="PKF21" s="55"/>
      <c r="PKG21" s="55"/>
      <c r="PKH21" s="55"/>
      <c r="PKI21" s="55"/>
      <c r="PKJ21" s="55"/>
      <c r="PKK21" s="55"/>
      <c r="PKL21" s="55"/>
      <c r="PKM21" s="55"/>
      <c r="PKN21" s="55"/>
      <c r="PKO21" s="55"/>
      <c r="PKP21" s="55"/>
      <c r="PKQ21" s="55"/>
      <c r="PKR21" s="55"/>
      <c r="PKS21" s="55"/>
      <c r="PKT21" s="55"/>
      <c r="PKU21" s="55"/>
      <c r="PKV21" s="55"/>
      <c r="PKW21" s="55"/>
      <c r="PKX21" s="55"/>
      <c r="PKY21" s="55"/>
      <c r="PKZ21" s="55"/>
      <c r="PLA21" s="55"/>
      <c r="PLB21" s="55"/>
      <c r="PLC21" s="55"/>
      <c r="PLD21" s="55"/>
      <c r="PLE21" s="55"/>
      <c r="PLF21" s="55"/>
      <c r="PLG21" s="55"/>
      <c r="PLH21" s="55"/>
      <c r="PLI21" s="55"/>
      <c r="PLJ21" s="55"/>
      <c r="PLK21" s="55"/>
      <c r="PLL21" s="55"/>
      <c r="PLM21" s="55"/>
      <c r="PLN21" s="55"/>
      <c r="PLO21" s="55"/>
      <c r="PLP21" s="55"/>
      <c r="PLQ21" s="55"/>
      <c r="PLR21" s="55"/>
      <c r="PLS21" s="55"/>
      <c r="PLT21" s="55"/>
      <c r="PLU21" s="55"/>
      <c r="PLV21" s="55"/>
      <c r="PLW21" s="55"/>
      <c r="PLX21" s="55"/>
      <c r="PLY21" s="55"/>
      <c r="PLZ21" s="55"/>
      <c r="PMA21" s="55"/>
      <c r="PMB21" s="55"/>
      <c r="PMC21" s="55"/>
      <c r="PMD21" s="55"/>
      <c r="PME21" s="55"/>
      <c r="PMF21" s="55"/>
      <c r="PMG21" s="55"/>
      <c r="PMH21" s="55"/>
      <c r="PMI21" s="55"/>
      <c r="PMJ21" s="55"/>
      <c r="PMK21" s="55"/>
      <c r="PML21" s="55"/>
      <c r="PMM21" s="55"/>
      <c r="PMN21" s="55"/>
      <c r="PMO21" s="55"/>
      <c r="PMP21" s="55"/>
      <c r="PMQ21" s="55"/>
      <c r="PMR21" s="55"/>
      <c r="PMS21" s="55"/>
      <c r="PMT21" s="55"/>
      <c r="PMU21" s="55"/>
      <c r="PMV21" s="55"/>
      <c r="PMW21" s="55"/>
      <c r="PMX21" s="55"/>
      <c r="PMY21" s="55"/>
      <c r="PMZ21" s="55"/>
      <c r="PNA21" s="55"/>
      <c r="PNB21" s="55"/>
      <c r="PNC21" s="55"/>
      <c r="PND21" s="55"/>
      <c r="PNE21" s="55"/>
      <c r="PNF21" s="55"/>
      <c r="PNG21" s="55"/>
      <c r="PNH21" s="55"/>
      <c r="PNI21" s="55"/>
      <c r="PNJ21" s="55"/>
      <c r="PNK21" s="55"/>
      <c r="PNL21" s="55"/>
      <c r="PNM21" s="55"/>
      <c r="PNN21" s="55"/>
      <c r="PNO21" s="55"/>
      <c r="PNP21" s="55"/>
      <c r="PNQ21" s="55"/>
      <c r="PNR21" s="55"/>
      <c r="PNS21" s="55"/>
      <c r="PNT21" s="55"/>
      <c r="PNU21" s="55"/>
      <c r="PNV21" s="55"/>
      <c r="PNW21" s="55"/>
      <c r="PNX21" s="55"/>
      <c r="PNY21" s="55"/>
      <c r="PNZ21" s="55"/>
      <c r="POA21" s="55"/>
      <c r="POB21" s="55"/>
      <c r="POC21" s="55"/>
      <c r="POD21" s="55"/>
      <c r="POE21" s="55"/>
      <c r="POF21" s="55"/>
      <c r="POG21" s="55"/>
      <c r="POH21" s="55"/>
      <c r="POI21" s="55"/>
      <c r="POJ21" s="55"/>
      <c r="POK21" s="55"/>
      <c r="POL21" s="55"/>
      <c r="POM21" s="55"/>
      <c r="PON21" s="55"/>
      <c r="POO21" s="55"/>
      <c r="POP21" s="55"/>
      <c r="POQ21" s="55"/>
      <c r="POR21" s="55"/>
      <c r="POS21" s="55"/>
      <c r="POT21" s="55"/>
      <c r="POU21" s="55"/>
      <c r="POV21" s="55"/>
      <c r="POW21" s="55"/>
      <c r="POX21" s="55"/>
      <c r="POY21" s="55"/>
      <c r="POZ21" s="55"/>
      <c r="PPA21" s="55"/>
      <c r="PPB21" s="55"/>
      <c r="PPC21" s="55"/>
      <c r="PPD21" s="55"/>
      <c r="PPE21" s="55"/>
      <c r="PPF21" s="55"/>
      <c r="PPG21" s="55"/>
      <c r="PPH21" s="55"/>
      <c r="PPI21" s="55"/>
      <c r="PPJ21" s="55"/>
      <c r="PPK21" s="55"/>
      <c r="PPL21" s="55"/>
      <c r="PPM21" s="55"/>
      <c r="PPN21" s="55"/>
      <c r="PPO21" s="55"/>
      <c r="PPP21" s="55"/>
      <c r="PPQ21" s="55"/>
      <c r="PPR21" s="55"/>
      <c r="PPS21" s="55"/>
      <c r="PPT21" s="55"/>
      <c r="PPU21" s="55"/>
      <c r="PPV21" s="55"/>
      <c r="PPW21" s="55"/>
      <c r="PPX21" s="55"/>
      <c r="PPY21" s="55"/>
      <c r="PPZ21" s="55"/>
      <c r="PQA21" s="55"/>
      <c r="PQB21" s="55"/>
      <c r="PQC21" s="55"/>
      <c r="PQD21" s="55"/>
      <c r="PQE21" s="55"/>
      <c r="PQF21" s="55"/>
      <c r="PQG21" s="55"/>
      <c r="PQH21" s="55"/>
      <c r="PQI21" s="55"/>
      <c r="PQJ21" s="55"/>
      <c r="PQK21" s="55"/>
      <c r="PQL21" s="55"/>
      <c r="PQM21" s="55"/>
      <c r="PQN21" s="55"/>
      <c r="PQO21" s="55"/>
      <c r="PQP21" s="55"/>
      <c r="PQQ21" s="55"/>
      <c r="PQR21" s="55"/>
      <c r="PQS21" s="55"/>
      <c r="PQT21" s="55"/>
      <c r="PQU21" s="55"/>
      <c r="PQV21" s="55"/>
      <c r="PQW21" s="55"/>
      <c r="PQX21" s="55"/>
      <c r="PQY21" s="55"/>
      <c r="PQZ21" s="55"/>
      <c r="PRA21" s="55"/>
      <c r="PRB21" s="55"/>
      <c r="PRC21" s="55"/>
      <c r="PRD21" s="55"/>
      <c r="PRE21" s="55"/>
      <c r="PRF21" s="55"/>
      <c r="PRG21" s="55"/>
      <c r="PRH21" s="55"/>
      <c r="PRI21" s="55"/>
      <c r="PRJ21" s="55"/>
      <c r="PRK21" s="55"/>
      <c r="PRL21" s="55"/>
      <c r="PRM21" s="55"/>
      <c r="PRN21" s="55"/>
      <c r="PRO21" s="55"/>
      <c r="PRP21" s="55"/>
      <c r="PRQ21" s="55"/>
      <c r="PRR21" s="55"/>
      <c r="PRS21" s="55"/>
      <c r="PRT21" s="55"/>
      <c r="PRU21" s="55"/>
      <c r="PRV21" s="55"/>
      <c r="PRW21" s="55"/>
      <c r="PRX21" s="55"/>
      <c r="PRY21" s="55"/>
      <c r="PRZ21" s="55"/>
      <c r="PSA21" s="55"/>
      <c r="PSB21" s="55"/>
      <c r="PSC21" s="55"/>
      <c r="PSD21" s="55"/>
      <c r="PSE21" s="55"/>
      <c r="PSF21" s="55"/>
      <c r="PSG21" s="55"/>
      <c r="PSH21" s="55"/>
      <c r="PSI21" s="55"/>
      <c r="PSJ21" s="55"/>
      <c r="PSK21" s="55"/>
      <c r="PSL21" s="55"/>
      <c r="PSM21" s="55"/>
      <c r="PSN21" s="55"/>
      <c r="PSO21" s="55"/>
      <c r="PSP21" s="55"/>
      <c r="PSQ21" s="55"/>
      <c r="PSR21" s="55"/>
      <c r="PSS21" s="55"/>
      <c r="PST21" s="55"/>
      <c r="PSU21" s="55"/>
      <c r="PSV21" s="55"/>
      <c r="PSW21" s="55"/>
      <c r="PSX21" s="55"/>
      <c r="PSY21" s="55"/>
      <c r="PSZ21" s="55"/>
      <c r="PTA21" s="55"/>
      <c r="PTB21" s="55"/>
      <c r="PTC21" s="55"/>
      <c r="PTD21" s="55"/>
      <c r="PTE21" s="55"/>
      <c r="PTF21" s="55"/>
      <c r="PTG21" s="55"/>
      <c r="PTH21" s="55"/>
      <c r="PTI21" s="55"/>
      <c r="PTJ21" s="55"/>
      <c r="PTK21" s="55"/>
      <c r="PTL21" s="55"/>
      <c r="PTM21" s="55"/>
      <c r="PTN21" s="55"/>
      <c r="PTO21" s="55"/>
      <c r="PTP21" s="55"/>
      <c r="PTQ21" s="55"/>
      <c r="PTR21" s="55"/>
      <c r="PTS21" s="55"/>
      <c r="PTT21" s="55"/>
      <c r="PTU21" s="55"/>
      <c r="PTV21" s="55"/>
      <c r="PTW21" s="55"/>
      <c r="PTX21" s="55"/>
      <c r="PTY21" s="55"/>
      <c r="PTZ21" s="55"/>
      <c r="PUA21" s="55"/>
      <c r="PUB21" s="55"/>
      <c r="PUC21" s="55"/>
      <c r="PUD21" s="55"/>
      <c r="PUE21" s="55"/>
      <c r="PUF21" s="55"/>
      <c r="PUG21" s="55"/>
      <c r="PUH21" s="55"/>
      <c r="PUI21" s="55"/>
      <c r="PUJ21" s="55"/>
      <c r="PUK21" s="55"/>
      <c r="PUL21" s="55"/>
      <c r="PUM21" s="55"/>
      <c r="PUN21" s="55"/>
      <c r="PUO21" s="55"/>
      <c r="PUP21" s="55"/>
      <c r="PUQ21" s="55"/>
      <c r="PUR21" s="55"/>
      <c r="PUS21" s="55"/>
      <c r="PUT21" s="55"/>
      <c r="PUU21" s="55"/>
      <c r="PUV21" s="55"/>
      <c r="PUW21" s="55"/>
      <c r="PUX21" s="55"/>
      <c r="PUY21" s="55"/>
      <c r="PUZ21" s="55"/>
      <c r="PVA21" s="55"/>
      <c r="PVB21" s="55"/>
      <c r="PVC21" s="55"/>
      <c r="PVD21" s="55"/>
      <c r="PVE21" s="55"/>
      <c r="PVF21" s="55"/>
      <c r="PVG21" s="55"/>
      <c r="PVH21" s="55"/>
      <c r="PVI21" s="55"/>
      <c r="PVJ21" s="55"/>
      <c r="PVK21" s="55"/>
      <c r="PVL21" s="55"/>
      <c r="PVM21" s="55"/>
      <c r="PVN21" s="55"/>
      <c r="PVO21" s="55"/>
      <c r="PVP21" s="55"/>
      <c r="PVQ21" s="55"/>
      <c r="PVR21" s="55"/>
      <c r="PVS21" s="55"/>
      <c r="PVT21" s="55"/>
      <c r="PVU21" s="55"/>
      <c r="PVV21" s="55"/>
      <c r="PVW21" s="55"/>
      <c r="PVX21" s="55"/>
      <c r="PVY21" s="55"/>
      <c r="PVZ21" s="55"/>
      <c r="PWA21" s="55"/>
      <c r="PWB21" s="55"/>
      <c r="PWC21" s="55"/>
      <c r="PWD21" s="55"/>
      <c r="PWE21" s="55"/>
      <c r="PWF21" s="55"/>
      <c r="PWG21" s="55"/>
      <c r="PWH21" s="55"/>
      <c r="PWI21" s="55"/>
      <c r="PWJ21" s="55"/>
      <c r="PWK21" s="55"/>
      <c r="PWL21" s="55"/>
      <c r="PWM21" s="55"/>
      <c r="PWN21" s="55"/>
      <c r="PWO21" s="55"/>
      <c r="PWP21" s="55"/>
      <c r="PWQ21" s="55"/>
      <c r="PWR21" s="55"/>
      <c r="PWS21" s="55"/>
      <c r="PWT21" s="55"/>
      <c r="PWU21" s="55"/>
      <c r="PWV21" s="55"/>
      <c r="PWW21" s="55"/>
      <c r="PWX21" s="55"/>
      <c r="PWY21" s="55"/>
      <c r="PWZ21" s="55"/>
      <c r="PXA21" s="55"/>
      <c r="PXB21" s="55"/>
      <c r="PXC21" s="55"/>
      <c r="PXD21" s="55"/>
      <c r="PXE21" s="55"/>
      <c r="PXF21" s="55"/>
      <c r="PXG21" s="55"/>
      <c r="PXH21" s="55"/>
      <c r="PXI21" s="55"/>
      <c r="PXJ21" s="55"/>
      <c r="PXK21" s="55"/>
      <c r="PXL21" s="55"/>
      <c r="PXM21" s="55"/>
      <c r="PXN21" s="55"/>
      <c r="PXO21" s="55"/>
      <c r="PXP21" s="55"/>
      <c r="PXQ21" s="55"/>
      <c r="PXR21" s="55"/>
      <c r="PXS21" s="55"/>
      <c r="PXT21" s="55"/>
      <c r="PXU21" s="55"/>
      <c r="PXV21" s="55"/>
      <c r="PXW21" s="55"/>
      <c r="PXX21" s="55"/>
      <c r="PXY21" s="55"/>
      <c r="PXZ21" s="55"/>
      <c r="PYA21" s="55"/>
      <c r="PYB21" s="55"/>
      <c r="PYC21" s="55"/>
      <c r="PYD21" s="55"/>
      <c r="PYE21" s="55"/>
      <c r="PYF21" s="55"/>
      <c r="PYG21" s="55"/>
      <c r="PYH21" s="55"/>
      <c r="PYI21" s="55"/>
      <c r="PYJ21" s="55"/>
      <c r="PYK21" s="55"/>
      <c r="PYL21" s="55"/>
      <c r="PYM21" s="55"/>
      <c r="PYN21" s="55"/>
      <c r="PYO21" s="55"/>
      <c r="PYP21" s="55"/>
      <c r="PYQ21" s="55"/>
      <c r="PYR21" s="55"/>
      <c r="PYS21" s="55"/>
      <c r="PYT21" s="55"/>
      <c r="PYU21" s="55"/>
      <c r="PYV21" s="55"/>
      <c r="PYW21" s="55"/>
      <c r="PYX21" s="55"/>
      <c r="PYY21" s="55"/>
      <c r="PYZ21" s="55"/>
      <c r="PZA21" s="55"/>
      <c r="PZB21" s="55"/>
      <c r="PZC21" s="55"/>
      <c r="PZD21" s="55"/>
      <c r="PZE21" s="55"/>
      <c r="PZF21" s="55"/>
      <c r="PZG21" s="55"/>
      <c r="PZH21" s="55"/>
      <c r="PZI21" s="55"/>
      <c r="PZJ21" s="55"/>
      <c r="PZK21" s="55"/>
      <c r="PZL21" s="55"/>
      <c r="PZM21" s="55"/>
      <c r="PZN21" s="55"/>
      <c r="PZO21" s="55"/>
      <c r="PZP21" s="55"/>
      <c r="PZQ21" s="55"/>
      <c r="PZR21" s="55"/>
      <c r="PZS21" s="55"/>
      <c r="PZT21" s="55"/>
      <c r="PZU21" s="55"/>
      <c r="PZV21" s="55"/>
      <c r="PZW21" s="55"/>
      <c r="PZX21" s="55"/>
      <c r="PZY21" s="55"/>
      <c r="PZZ21" s="55"/>
      <c r="QAA21" s="55"/>
      <c r="QAB21" s="55"/>
      <c r="QAC21" s="55"/>
      <c r="QAD21" s="55"/>
      <c r="QAE21" s="55"/>
      <c r="QAF21" s="55"/>
      <c r="QAG21" s="55"/>
      <c r="QAH21" s="55"/>
      <c r="QAI21" s="55"/>
      <c r="QAJ21" s="55"/>
      <c r="QAK21" s="55"/>
      <c r="QAL21" s="55"/>
      <c r="QAM21" s="55"/>
      <c r="QAN21" s="55"/>
      <c r="QAO21" s="55"/>
      <c r="QAP21" s="55"/>
      <c r="QAQ21" s="55"/>
      <c r="QAR21" s="55"/>
      <c r="QAS21" s="55"/>
      <c r="QAT21" s="55"/>
      <c r="QAU21" s="55"/>
      <c r="QAV21" s="55"/>
      <c r="QAW21" s="55"/>
      <c r="QAX21" s="55"/>
      <c r="QAY21" s="55"/>
      <c r="QAZ21" s="55"/>
      <c r="QBA21" s="55"/>
      <c r="QBB21" s="55"/>
      <c r="QBC21" s="55"/>
      <c r="QBD21" s="55"/>
      <c r="QBE21" s="55"/>
      <c r="QBF21" s="55"/>
      <c r="QBG21" s="55"/>
      <c r="QBH21" s="55"/>
      <c r="QBI21" s="55"/>
      <c r="QBJ21" s="55"/>
      <c r="QBK21" s="55"/>
      <c r="QBL21" s="55"/>
      <c r="QBM21" s="55"/>
      <c r="QBN21" s="55"/>
      <c r="QBO21" s="55"/>
      <c r="QBP21" s="55"/>
      <c r="QBQ21" s="55"/>
      <c r="QBR21" s="55"/>
      <c r="QBS21" s="55"/>
      <c r="QBT21" s="55"/>
      <c r="QBU21" s="55"/>
      <c r="QBV21" s="55"/>
      <c r="QBW21" s="55"/>
      <c r="QBX21" s="55"/>
      <c r="QBY21" s="55"/>
      <c r="QBZ21" s="55"/>
      <c r="QCA21" s="55"/>
      <c r="QCB21" s="55"/>
      <c r="QCC21" s="55"/>
      <c r="QCD21" s="55"/>
      <c r="QCE21" s="55"/>
      <c r="QCF21" s="55"/>
      <c r="QCG21" s="55"/>
      <c r="QCH21" s="55"/>
      <c r="QCI21" s="55"/>
      <c r="QCJ21" s="55"/>
      <c r="QCK21" s="55"/>
      <c r="QCL21" s="55"/>
      <c r="QCM21" s="55"/>
      <c r="QCN21" s="55"/>
      <c r="QCO21" s="55"/>
      <c r="QCP21" s="55"/>
      <c r="QCQ21" s="55"/>
      <c r="QCR21" s="55"/>
      <c r="QCS21" s="55"/>
      <c r="QCT21" s="55"/>
      <c r="QCU21" s="55"/>
      <c r="QCV21" s="55"/>
      <c r="QCW21" s="55"/>
      <c r="QCX21" s="55"/>
      <c r="QCY21" s="55"/>
      <c r="QCZ21" s="55"/>
      <c r="QDA21" s="55"/>
      <c r="QDB21" s="55"/>
      <c r="QDC21" s="55"/>
      <c r="QDD21" s="55"/>
      <c r="QDE21" s="55"/>
      <c r="QDF21" s="55"/>
      <c r="QDG21" s="55"/>
      <c r="QDH21" s="55"/>
      <c r="QDI21" s="55"/>
      <c r="QDJ21" s="55"/>
      <c r="QDK21" s="55"/>
      <c r="QDL21" s="55"/>
      <c r="QDM21" s="55"/>
      <c r="QDN21" s="55"/>
      <c r="QDO21" s="55"/>
      <c r="QDP21" s="55"/>
      <c r="QDQ21" s="55"/>
      <c r="QDR21" s="55"/>
      <c r="QDS21" s="55"/>
      <c r="QDT21" s="55"/>
      <c r="QDU21" s="55"/>
      <c r="QDV21" s="55"/>
      <c r="QDW21" s="55"/>
      <c r="QDX21" s="55"/>
      <c r="QDY21" s="55"/>
      <c r="QDZ21" s="55"/>
      <c r="QEA21" s="55"/>
      <c r="QEB21" s="55"/>
      <c r="QEC21" s="55"/>
      <c r="QED21" s="55"/>
      <c r="QEE21" s="55"/>
      <c r="QEF21" s="55"/>
      <c r="QEG21" s="55"/>
      <c r="QEH21" s="55"/>
      <c r="QEI21" s="55"/>
      <c r="QEJ21" s="55"/>
      <c r="QEK21" s="55"/>
      <c r="QEL21" s="55"/>
      <c r="QEM21" s="55"/>
      <c r="QEN21" s="55"/>
      <c r="QEO21" s="55"/>
      <c r="QEP21" s="55"/>
      <c r="QEQ21" s="55"/>
      <c r="QER21" s="55"/>
      <c r="QES21" s="55"/>
      <c r="QET21" s="55"/>
      <c r="QEU21" s="55"/>
      <c r="QEV21" s="55"/>
      <c r="QEW21" s="55"/>
      <c r="QEX21" s="55"/>
      <c r="QEY21" s="55"/>
      <c r="QEZ21" s="55"/>
      <c r="QFA21" s="55"/>
      <c r="QFB21" s="55"/>
      <c r="QFC21" s="55"/>
      <c r="QFD21" s="55"/>
      <c r="QFE21" s="55"/>
      <c r="QFF21" s="55"/>
      <c r="QFG21" s="55"/>
      <c r="QFH21" s="55"/>
      <c r="QFI21" s="55"/>
      <c r="QFJ21" s="55"/>
      <c r="QFK21" s="55"/>
      <c r="QFL21" s="55"/>
      <c r="QFM21" s="55"/>
      <c r="QFN21" s="55"/>
      <c r="QFO21" s="55"/>
      <c r="QFP21" s="55"/>
      <c r="QFQ21" s="55"/>
      <c r="QFR21" s="55"/>
      <c r="QFS21" s="55"/>
      <c r="QFT21" s="55"/>
      <c r="QFU21" s="55"/>
      <c r="QFV21" s="55"/>
      <c r="QFW21" s="55"/>
      <c r="QFX21" s="55"/>
      <c r="QFY21" s="55"/>
      <c r="QFZ21" s="55"/>
      <c r="QGA21" s="55"/>
      <c r="QGB21" s="55"/>
      <c r="QGC21" s="55"/>
      <c r="QGD21" s="55"/>
      <c r="QGE21" s="55"/>
      <c r="QGF21" s="55"/>
      <c r="QGG21" s="55"/>
      <c r="QGH21" s="55"/>
      <c r="QGI21" s="55"/>
      <c r="QGJ21" s="55"/>
      <c r="QGK21" s="55"/>
      <c r="QGL21" s="55"/>
      <c r="QGM21" s="55"/>
      <c r="QGN21" s="55"/>
      <c r="QGO21" s="55"/>
      <c r="QGP21" s="55"/>
      <c r="QGQ21" s="55"/>
      <c r="QGR21" s="55"/>
      <c r="QGS21" s="55"/>
      <c r="QGT21" s="55"/>
      <c r="QGU21" s="55"/>
      <c r="QGV21" s="55"/>
      <c r="QGW21" s="55"/>
      <c r="QGX21" s="55"/>
      <c r="QGY21" s="55"/>
      <c r="QGZ21" s="55"/>
      <c r="QHA21" s="55"/>
      <c r="QHB21" s="55"/>
      <c r="QHC21" s="55"/>
      <c r="QHD21" s="55"/>
      <c r="QHE21" s="55"/>
      <c r="QHF21" s="55"/>
      <c r="QHG21" s="55"/>
      <c r="QHH21" s="55"/>
      <c r="QHI21" s="55"/>
      <c r="QHJ21" s="55"/>
      <c r="QHK21" s="55"/>
      <c r="QHL21" s="55"/>
      <c r="QHM21" s="55"/>
      <c r="QHN21" s="55"/>
      <c r="QHO21" s="55"/>
      <c r="QHP21" s="55"/>
      <c r="QHQ21" s="55"/>
      <c r="QHR21" s="55"/>
      <c r="QHS21" s="55"/>
      <c r="QHT21" s="55"/>
      <c r="QHU21" s="55"/>
      <c r="QHV21" s="55"/>
      <c r="QHW21" s="55"/>
      <c r="QHX21" s="55"/>
      <c r="QHY21" s="55"/>
      <c r="QHZ21" s="55"/>
      <c r="QIA21" s="55"/>
      <c r="QIB21" s="55"/>
      <c r="QIC21" s="55"/>
      <c r="QID21" s="55"/>
      <c r="QIE21" s="55"/>
      <c r="QIF21" s="55"/>
      <c r="QIG21" s="55"/>
      <c r="QIH21" s="55"/>
      <c r="QII21" s="55"/>
      <c r="QIJ21" s="55"/>
      <c r="QIK21" s="55"/>
      <c r="QIL21" s="55"/>
      <c r="QIM21" s="55"/>
      <c r="QIN21" s="55"/>
      <c r="QIO21" s="55"/>
      <c r="QIP21" s="55"/>
      <c r="QIQ21" s="55"/>
      <c r="QIR21" s="55"/>
      <c r="QIS21" s="55"/>
      <c r="QIT21" s="55"/>
      <c r="QIU21" s="55"/>
      <c r="QIV21" s="55"/>
      <c r="QIW21" s="55"/>
      <c r="QIX21" s="55"/>
      <c r="QIY21" s="55"/>
      <c r="QIZ21" s="55"/>
      <c r="QJA21" s="55"/>
      <c r="QJB21" s="55"/>
      <c r="QJC21" s="55"/>
      <c r="QJD21" s="55"/>
      <c r="QJE21" s="55"/>
      <c r="QJF21" s="55"/>
      <c r="QJG21" s="55"/>
      <c r="QJH21" s="55"/>
      <c r="QJI21" s="55"/>
      <c r="QJJ21" s="55"/>
      <c r="QJK21" s="55"/>
      <c r="QJL21" s="55"/>
      <c r="QJM21" s="55"/>
      <c r="QJN21" s="55"/>
      <c r="QJO21" s="55"/>
      <c r="QJP21" s="55"/>
      <c r="QJQ21" s="55"/>
      <c r="QJR21" s="55"/>
      <c r="QJS21" s="55"/>
      <c r="QJT21" s="55"/>
      <c r="QJU21" s="55"/>
      <c r="QJV21" s="55"/>
      <c r="QJW21" s="55"/>
      <c r="QJX21" s="55"/>
      <c r="QJY21" s="55"/>
      <c r="QJZ21" s="55"/>
      <c r="QKA21" s="55"/>
      <c r="QKB21" s="55"/>
      <c r="QKC21" s="55"/>
      <c r="QKD21" s="55"/>
      <c r="QKE21" s="55"/>
      <c r="QKF21" s="55"/>
      <c r="QKG21" s="55"/>
      <c r="QKH21" s="55"/>
      <c r="QKI21" s="55"/>
      <c r="QKJ21" s="55"/>
      <c r="QKK21" s="55"/>
      <c r="QKL21" s="55"/>
      <c r="QKM21" s="55"/>
      <c r="QKN21" s="55"/>
      <c r="QKO21" s="55"/>
      <c r="QKP21" s="55"/>
      <c r="QKQ21" s="55"/>
      <c r="QKR21" s="55"/>
      <c r="QKS21" s="55"/>
      <c r="QKT21" s="55"/>
      <c r="QKU21" s="55"/>
      <c r="QKV21" s="55"/>
      <c r="QKW21" s="55"/>
      <c r="QKX21" s="55"/>
      <c r="QKY21" s="55"/>
      <c r="QKZ21" s="55"/>
      <c r="QLA21" s="55"/>
      <c r="QLB21" s="55"/>
      <c r="QLC21" s="55"/>
      <c r="QLD21" s="55"/>
      <c r="QLE21" s="55"/>
      <c r="QLF21" s="55"/>
      <c r="QLG21" s="55"/>
      <c r="QLH21" s="55"/>
      <c r="QLI21" s="55"/>
      <c r="QLJ21" s="55"/>
      <c r="QLK21" s="55"/>
      <c r="QLL21" s="55"/>
      <c r="QLM21" s="55"/>
      <c r="QLN21" s="55"/>
      <c r="QLO21" s="55"/>
      <c r="QLP21" s="55"/>
      <c r="QLQ21" s="55"/>
      <c r="QLR21" s="55"/>
      <c r="QLS21" s="55"/>
      <c r="QLT21" s="55"/>
      <c r="QLU21" s="55"/>
      <c r="QLV21" s="55"/>
      <c r="QLW21" s="55"/>
      <c r="QLX21" s="55"/>
      <c r="QLY21" s="55"/>
      <c r="QLZ21" s="55"/>
      <c r="QMA21" s="55"/>
      <c r="QMB21" s="55"/>
      <c r="QMC21" s="55"/>
      <c r="QMD21" s="55"/>
      <c r="QME21" s="55"/>
      <c r="QMF21" s="55"/>
      <c r="QMG21" s="55"/>
      <c r="QMH21" s="55"/>
      <c r="QMI21" s="55"/>
      <c r="QMJ21" s="55"/>
      <c r="QMK21" s="55"/>
      <c r="QML21" s="55"/>
      <c r="QMM21" s="55"/>
      <c r="QMN21" s="55"/>
      <c r="QMO21" s="55"/>
      <c r="QMP21" s="55"/>
      <c r="QMQ21" s="55"/>
      <c r="QMR21" s="55"/>
      <c r="QMS21" s="55"/>
      <c r="QMT21" s="55"/>
      <c r="QMU21" s="55"/>
      <c r="QMV21" s="55"/>
      <c r="QMW21" s="55"/>
      <c r="QMX21" s="55"/>
      <c r="QMY21" s="55"/>
      <c r="QMZ21" s="55"/>
      <c r="QNA21" s="55"/>
      <c r="QNB21" s="55"/>
      <c r="QNC21" s="55"/>
      <c r="QND21" s="55"/>
      <c r="QNE21" s="55"/>
      <c r="QNF21" s="55"/>
      <c r="QNG21" s="55"/>
      <c r="QNH21" s="55"/>
      <c r="QNI21" s="55"/>
      <c r="QNJ21" s="55"/>
      <c r="QNK21" s="55"/>
      <c r="QNL21" s="55"/>
      <c r="QNM21" s="55"/>
      <c r="QNN21" s="55"/>
      <c r="QNO21" s="55"/>
      <c r="QNP21" s="55"/>
      <c r="QNQ21" s="55"/>
      <c r="QNR21" s="55"/>
      <c r="QNS21" s="55"/>
      <c r="QNT21" s="55"/>
      <c r="QNU21" s="55"/>
      <c r="QNV21" s="55"/>
      <c r="QNW21" s="55"/>
      <c r="QNX21" s="55"/>
      <c r="QNY21" s="55"/>
      <c r="QNZ21" s="55"/>
      <c r="QOA21" s="55"/>
      <c r="QOB21" s="55"/>
      <c r="QOC21" s="55"/>
      <c r="QOD21" s="55"/>
      <c r="QOE21" s="55"/>
      <c r="QOF21" s="55"/>
      <c r="QOG21" s="55"/>
      <c r="QOH21" s="55"/>
      <c r="QOI21" s="55"/>
      <c r="QOJ21" s="55"/>
      <c r="QOK21" s="55"/>
      <c r="QOL21" s="55"/>
      <c r="QOM21" s="55"/>
      <c r="QON21" s="55"/>
      <c r="QOO21" s="55"/>
      <c r="QOP21" s="55"/>
      <c r="QOQ21" s="55"/>
      <c r="QOR21" s="55"/>
      <c r="QOS21" s="55"/>
      <c r="QOT21" s="55"/>
      <c r="QOU21" s="55"/>
      <c r="QOV21" s="55"/>
      <c r="QOW21" s="55"/>
      <c r="QOX21" s="55"/>
      <c r="QOY21" s="55"/>
      <c r="QOZ21" s="55"/>
      <c r="QPA21" s="55"/>
      <c r="QPB21" s="55"/>
      <c r="QPC21" s="55"/>
      <c r="QPD21" s="55"/>
      <c r="QPE21" s="55"/>
      <c r="QPF21" s="55"/>
      <c r="QPG21" s="55"/>
      <c r="QPH21" s="55"/>
      <c r="QPI21" s="55"/>
      <c r="QPJ21" s="55"/>
      <c r="QPK21" s="55"/>
      <c r="QPL21" s="55"/>
      <c r="QPM21" s="55"/>
      <c r="QPN21" s="55"/>
      <c r="QPO21" s="55"/>
      <c r="QPP21" s="55"/>
      <c r="QPQ21" s="55"/>
      <c r="QPR21" s="55"/>
      <c r="QPS21" s="55"/>
      <c r="QPT21" s="55"/>
      <c r="QPU21" s="55"/>
      <c r="QPV21" s="55"/>
      <c r="QPW21" s="55"/>
      <c r="QPX21" s="55"/>
      <c r="QPY21" s="55"/>
      <c r="QPZ21" s="55"/>
      <c r="QQA21" s="55"/>
      <c r="QQB21" s="55"/>
      <c r="QQC21" s="55"/>
      <c r="QQD21" s="55"/>
      <c r="QQE21" s="55"/>
      <c r="QQF21" s="55"/>
      <c r="QQG21" s="55"/>
      <c r="QQH21" s="55"/>
      <c r="QQI21" s="55"/>
      <c r="QQJ21" s="55"/>
      <c r="QQK21" s="55"/>
      <c r="QQL21" s="55"/>
      <c r="QQM21" s="55"/>
      <c r="QQN21" s="55"/>
      <c r="QQO21" s="55"/>
      <c r="QQP21" s="55"/>
      <c r="QQQ21" s="55"/>
      <c r="QQR21" s="55"/>
      <c r="QQS21" s="55"/>
      <c r="QQT21" s="55"/>
      <c r="QQU21" s="55"/>
      <c r="QQV21" s="55"/>
      <c r="QQW21" s="55"/>
      <c r="QQX21" s="55"/>
      <c r="QQY21" s="55"/>
      <c r="QQZ21" s="55"/>
      <c r="QRA21" s="55"/>
      <c r="QRB21" s="55"/>
      <c r="QRC21" s="55"/>
      <c r="QRD21" s="55"/>
      <c r="QRE21" s="55"/>
      <c r="QRF21" s="55"/>
      <c r="QRG21" s="55"/>
      <c r="QRH21" s="55"/>
      <c r="QRI21" s="55"/>
      <c r="QRJ21" s="55"/>
      <c r="QRK21" s="55"/>
      <c r="QRL21" s="55"/>
      <c r="QRM21" s="55"/>
      <c r="QRN21" s="55"/>
      <c r="QRO21" s="55"/>
      <c r="QRP21" s="55"/>
      <c r="QRQ21" s="55"/>
      <c r="QRR21" s="55"/>
      <c r="QRS21" s="55"/>
      <c r="QRT21" s="55"/>
      <c r="QRU21" s="55"/>
      <c r="QRV21" s="55"/>
      <c r="QRW21" s="55"/>
      <c r="QRX21" s="55"/>
      <c r="QRY21" s="55"/>
      <c r="QRZ21" s="55"/>
      <c r="QSA21" s="55"/>
      <c r="QSB21" s="55"/>
      <c r="QSC21" s="55"/>
      <c r="QSD21" s="55"/>
      <c r="QSE21" s="55"/>
      <c r="QSF21" s="55"/>
      <c r="QSG21" s="55"/>
      <c r="QSH21" s="55"/>
      <c r="QSI21" s="55"/>
      <c r="QSJ21" s="55"/>
      <c r="QSK21" s="55"/>
      <c r="QSL21" s="55"/>
      <c r="QSM21" s="55"/>
      <c r="QSN21" s="55"/>
      <c r="QSO21" s="55"/>
      <c r="QSP21" s="55"/>
      <c r="QSQ21" s="55"/>
      <c r="QSR21" s="55"/>
      <c r="QSS21" s="55"/>
      <c r="QST21" s="55"/>
      <c r="QSU21" s="55"/>
      <c r="QSV21" s="55"/>
      <c r="QSW21" s="55"/>
      <c r="QSX21" s="55"/>
      <c r="QSY21" s="55"/>
      <c r="QSZ21" s="55"/>
      <c r="QTA21" s="55"/>
      <c r="QTB21" s="55"/>
      <c r="QTC21" s="55"/>
      <c r="QTD21" s="55"/>
      <c r="QTE21" s="55"/>
      <c r="QTF21" s="55"/>
      <c r="QTG21" s="55"/>
      <c r="QTH21" s="55"/>
      <c r="QTI21" s="55"/>
      <c r="QTJ21" s="55"/>
      <c r="QTK21" s="55"/>
      <c r="QTL21" s="55"/>
      <c r="QTM21" s="55"/>
      <c r="QTN21" s="55"/>
      <c r="QTO21" s="55"/>
      <c r="QTP21" s="55"/>
      <c r="QTQ21" s="55"/>
      <c r="QTR21" s="55"/>
      <c r="QTS21" s="55"/>
      <c r="QTT21" s="55"/>
      <c r="QTU21" s="55"/>
      <c r="QTV21" s="55"/>
      <c r="QTW21" s="55"/>
      <c r="QTX21" s="55"/>
      <c r="QTY21" s="55"/>
      <c r="QTZ21" s="55"/>
      <c r="QUA21" s="55"/>
      <c r="QUB21" s="55"/>
      <c r="QUC21" s="55"/>
      <c r="QUD21" s="55"/>
      <c r="QUE21" s="55"/>
      <c r="QUF21" s="55"/>
      <c r="QUG21" s="55"/>
      <c r="QUH21" s="55"/>
      <c r="QUI21" s="55"/>
      <c r="QUJ21" s="55"/>
      <c r="QUK21" s="55"/>
      <c r="QUL21" s="55"/>
      <c r="QUM21" s="55"/>
      <c r="QUN21" s="55"/>
      <c r="QUO21" s="55"/>
      <c r="QUP21" s="55"/>
      <c r="QUQ21" s="55"/>
      <c r="QUR21" s="55"/>
      <c r="QUS21" s="55"/>
      <c r="QUT21" s="55"/>
      <c r="QUU21" s="55"/>
      <c r="QUV21" s="55"/>
      <c r="QUW21" s="55"/>
      <c r="QUX21" s="55"/>
      <c r="QUY21" s="55"/>
      <c r="QUZ21" s="55"/>
      <c r="QVA21" s="55"/>
      <c r="QVB21" s="55"/>
      <c r="QVC21" s="55"/>
      <c r="QVD21" s="55"/>
      <c r="QVE21" s="55"/>
      <c r="QVF21" s="55"/>
      <c r="QVG21" s="55"/>
      <c r="QVH21" s="55"/>
      <c r="QVI21" s="55"/>
      <c r="QVJ21" s="55"/>
      <c r="QVK21" s="55"/>
      <c r="QVL21" s="55"/>
      <c r="QVM21" s="55"/>
      <c r="QVN21" s="55"/>
      <c r="QVO21" s="55"/>
      <c r="QVP21" s="55"/>
      <c r="QVQ21" s="55"/>
      <c r="QVR21" s="55"/>
      <c r="QVS21" s="55"/>
      <c r="QVT21" s="55"/>
      <c r="QVU21" s="55"/>
      <c r="QVV21" s="55"/>
      <c r="QVW21" s="55"/>
      <c r="QVX21" s="55"/>
      <c r="QVY21" s="55"/>
      <c r="QVZ21" s="55"/>
      <c r="QWA21" s="55"/>
      <c r="QWB21" s="55"/>
      <c r="QWC21" s="55"/>
      <c r="QWD21" s="55"/>
      <c r="QWE21" s="55"/>
      <c r="QWF21" s="55"/>
      <c r="QWG21" s="55"/>
      <c r="QWH21" s="55"/>
      <c r="QWI21" s="55"/>
      <c r="QWJ21" s="55"/>
      <c r="QWK21" s="55"/>
      <c r="QWL21" s="55"/>
      <c r="QWM21" s="55"/>
      <c r="QWN21" s="55"/>
      <c r="QWO21" s="55"/>
      <c r="QWP21" s="55"/>
      <c r="QWQ21" s="55"/>
      <c r="QWR21" s="55"/>
      <c r="QWS21" s="55"/>
      <c r="QWT21" s="55"/>
      <c r="QWU21" s="55"/>
      <c r="QWV21" s="55"/>
      <c r="QWW21" s="55"/>
      <c r="QWX21" s="55"/>
      <c r="QWY21" s="55"/>
      <c r="QWZ21" s="55"/>
      <c r="QXA21" s="55"/>
      <c r="QXB21" s="55"/>
      <c r="QXC21" s="55"/>
      <c r="QXD21" s="55"/>
      <c r="QXE21" s="55"/>
      <c r="QXF21" s="55"/>
      <c r="QXG21" s="55"/>
      <c r="QXH21" s="55"/>
      <c r="QXI21" s="55"/>
      <c r="QXJ21" s="55"/>
      <c r="QXK21" s="55"/>
      <c r="QXL21" s="55"/>
      <c r="QXM21" s="55"/>
      <c r="QXN21" s="55"/>
      <c r="QXO21" s="55"/>
      <c r="QXP21" s="55"/>
      <c r="QXQ21" s="55"/>
      <c r="QXR21" s="55"/>
      <c r="QXS21" s="55"/>
      <c r="QXT21" s="55"/>
      <c r="QXU21" s="55"/>
      <c r="QXV21" s="55"/>
      <c r="QXW21" s="55"/>
      <c r="QXX21" s="55"/>
      <c r="QXY21" s="55"/>
      <c r="QXZ21" s="55"/>
      <c r="QYA21" s="55"/>
      <c r="QYB21" s="55"/>
      <c r="QYC21" s="55"/>
      <c r="QYD21" s="55"/>
      <c r="QYE21" s="55"/>
      <c r="QYF21" s="55"/>
      <c r="QYG21" s="55"/>
      <c r="QYH21" s="55"/>
      <c r="QYI21" s="55"/>
      <c r="QYJ21" s="55"/>
      <c r="QYK21" s="55"/>
      <c r="QYL21" s="55"/>
      <c r="QYM21" s="55"/>
      <c r="QYN21" s="55"/>
      <c r="QYO21" s="55"/>
      <c r="QYP21" s="55"/>
      <c r="QYQ21" s="55"/>
      <c r="QYR21" s="55"/>
      <c r="QYS21" s="55"/>
      <c r="QYT21" s="55"/>
      <c r="QYU21" s="55"/>
      <c r="QYV21" s="55"/>
      <c r="QYW21" s="55"/>
      <c r="QYX21" s="55"/>
      <c r="QYY21" s="55"/>
      <c r="QYZ21" s="55"/>
      <c r="QZA21" s="55"/>
      <c r="QZB21" s="55"/>
      <c r="QZC21" s="55"/>
      <c r="QZD21" s="55"/>
      <c r="QZE21" s="55"/>
      <c r="QZF21" s="55"/>
      <c r="QZG21" s="55"/>
      <c r="QZH21" s="55"/>
      <c r="QZI21" s="55"/>
      <c r="QZJ21" s="55"/>
      <c r="QZK21" s="55"/>
      <c r="QZL21" s="55"/>
      <c r="QZM21" s="55"/>
      <c r="QZN21" s="55"/>
      <c r="QZO21" s="55"/>
      <c r="QZP21" s="55"/>
      <c r="QZQ21" s="55"/>
      <c r="QZR21" s="55"/>
      <c r="QZS21" s="55"/>
      <c r="QZT21" s="55"/>
      <c r="QZU21" s="55"/>
      <c r="QZV21" s="55"/>
      <c r="QZW21" s="55"/>
      <c r="QZX21" s="55"/>
      <c r="QZY21" s="55"/>
      <c r="QZZ21" s="55"/>
      <c r="RAA21" s="55"/>
      <c r="RAB21" s="55"/>
      <c r="RAC21" s="55"/>
      <c r="RAD21" s="55"/>
      <c r="RAE21" s="55"/>
      <c r="RAF21" s="55"/>
      <c r="RAG21" s="55"/>
      <c r="RAH21" s="55"/>
      <c r="RAI21" s="55"/>
      <c r="RAJ21" s="55"/>
      <c r="RAK21" s="55"/>
      <c r="RAL21" s="55"/>
      <c r="RAM21" s="55"/>
      <c r="RAN21" s="55"/>
      <c r="RAO21" s="55"/>
      <c r="RAP21" s="55"/>
      <c r="RAQ21" s="55"/>
      <c r="RAR21" s="55"/>
      <c r="RAS21" s="55"/>
      <c r="RAT21" s="55"/>
      <c r="RAU21" s="55"/>
      <c r="RAV21" s="55"/>
      <c r="RAW21" s="55"/>
      <c r="RAX21" s="55"/>
      <c r="RAY21" s="55"/>
      <c r="RAZ21" s="55"/>
      <c r="RBA21" s="55"/>
      <c r="RBB21" s="55"/>
      <c r="RBC21" s="55"/>
      <c r="RBD21" s="55"/>
      <c r="RBE21" s="55"/>
      <c r="RBF21" s="55"/>
      <c r="RBG21" s="55"/>
      <c r="RBH21" s="55"/>
      <c r="RBI21" s="55"/>
      <c r="RBJ21" s="55"/>
      <c r="RBK21" s="55"/>
      <c r="RBL21" s="55"/>
      <c r="RBM21" s="55"/>
      <c r="RBN21" s="55"/>
      <c r="RBO21" s="55"/>
      <c r="RBP21" s="55"/>
      <c r="RBQ21" s="55"/>
      <c r="RBR21" s="55"/>
      <c r="RBS21" s="55"/>
      <c r="RBT21" s="55"/>
      <c r="RBU21" s="55"/>
      <c r="RBV21" s="55"/>
      <c r="RBW21" s="55"/>
      <c r="RBX21" s="55"/>
      <c r="RBY21" s="55"/>
      <c r="RBZ21" s="55"/>
      <c r="RCA21" s="55"/>
      <c r="RCB21" s="55"/>
      <c r="RCC21" s="55"/>
      <c r="RCD21" s="55"/>
      <c r="RCE21" s="55"/>
      <c r="RCF21" s="55"/>
      <c r="RCG21" s="55"/>
      <c r="RCH21" s="55"/>
      <c r="RCI21" s="55"/>
      <c r="RCJ21" s="55"/>
      <c r="RCK21" s="55"/>
      <c r="RCL21" s="55"/>
      <c r="RCM21" s="55"/>
      <c r="RCN21" s="55"/>
      <c r="RCO21" s="55"/>
      <c r="RCP21" s="55"/>
      <c r="RCQ21" s="55"/>
      <c r="RCR21" s="55"/>
      <c r="RCS21" s="55"/>
      <c r="RCT21" s="55"/>
      <c r="RCU21" s="55"/>
      <c r="RCV21" s="55"/>
      <c r="RCW21" s="55"/>
      <c r="RCX21" s="55"/>
      <c r="RCY21" s="55"/>
      <c r="RCZ21" s="55"/>
      <c r="RDA21" s="55"/>
      <c r="RDB21" s="55"/>
      <c r="RDC21" s="55"/>
      <c r="RDD21" s="55"/>
      <c r="RDE21" s="55"/>
      <c r="RDF21" s="55"/>
      <c r="RDG21" s="55"/>
      <c r="RDH21" s="55"/>
      <c r="RDI21" s="55"/>
      <c r="RDJ21" s="55"/>
      <c r="RDK21" s="55"/>
      <c r="RDL21" s="55"/>
      <c r="RDM21" s="55"/>
      <c r="RDN21" s="55"/>
      <c r="RDO21" s="55"/>
      <c r="RDP21" s="55"/>
      <c r="RDQ21" s="55"/>
      <c r="RDR21" s="55"/>
      <c r="RDS21" s="55"/>
      <c r="RDT21" s="55"/>
      <c r="RDU21" s="55"/>
      <c r="RDV21" s="55"/>
      <c r="RDW21" s="55"/>
      <c r="RDX21" s="55"/>
      <c r="RDY21" s="55"/>
      <c r="RDZ21" s="55"/>
      <c r="REA21" s="55"/>
      <c r="REB21" s="55"/>
      <c r="REC21" s="55"/>
      <c r="RED21" s="55"/>
      <c r="REE21" s="55"/>
      <c r="REF21" s="55"/>
      <c r="REG21" s="55"/>
      <c r="REH21" s="55"/>
      <c r="REI21" s="55"/>
      <c r="REJ21" s="55"/>
      <c r="REK21" s="55"/>
      <c r="REL21" s="55"/>
      <c r="REM21" s="55"/>
      <c r="REN21" s="55"/>
      <c r="REO21" s="55"/>
      <c r="REP21" s="55"/>
      <c r="REQ21" s="55"/>
      <c r="RER21" s="55"/>
      <c r="RES21" s="55"/>
      <c r="RET21" s="55"/>
      <c r="REU21" s="55"/>
      <c r="REV21" s="55"/>
      <c r="REW21" s="55"/>
      <c r="REX21" s="55"/>
      <c r="REY21" s="55"/>
      <c r="REZ21" s="55"/>
      <c r="RFA21" s="55"/>
      <c r="RFB21" s="55"/>
      <c r="RFC21" s="55"/>
      <c r="RFD21" s="55"/>
      <c r="RFE21" s="55"/>
      <c r="RFF21" s="55"/>
      <c r="RFG21" s="55"/>
      <c r="RFH21" s="55"/>
      <c r="RFI21" s="55"/>
      <c r="RFJ21" s="55"/>
      <c r="RFK21" s="55"/>
      <c r="RFL21" s="55"/>
      <c r="RFM21" s="55"/>
      <c r="RFN21" s="55"/>
      <c r="RFO21" s="55"/>
      <c r="RFP21" s="55"/>
      <c r="RFQ21" s="55"/>
      <c r="RFR21" s="55"/>
      <c r="RFS21" s="55"/>
      <c r="RFT21" s="55"/>
      <c r="RFU21" s="55"/>
      <c r="RFV21" s="55"/>
      <c r="RFW21" s="55"/>
      <c r="RFX21" s="55"/>
      <c r="RFY21" s="55"/>
      <c r="RFZ21" s="55"/>
      <c r="RGA21" s="55"/>
      <c r="RGB21" s="55"/>
      <c r="RGC21" s="55"/>
      <c r="RGD21" s="55"/>
      <c r="RGE21" s="55"/>
      <c r="RGF21" s="55"/>
      <c r="RGG21" s="55"/>
      <c r="RGH21" s="55"/>
      <c r="RGI21" s="55"/>
      <c r="RGJ21" s="55"/>
      <c r="RGK21" s="55"/>
      <c r="RGL21" s="55"/>
      <c r="RGM21" s="55"/>
      <c r="RGN21" s="55"/>
      <c r="RGO21" s="55"/>
      <c r="RGP21" s="55"/>
      <c r="RGQ21" s="55"/>
      <c r="RGR21" s="55"/>
      <c r="RGS21" s="55"/>
      <c r="RGT21" s="55"/>
      <c r="RGU21" s="55"/>
      <c r="RGV21" s="55"/>
      <c r="RGW21" s="55"/>
      <c r="RGX21" s="55"/>
      <c r="RGY21" s="55"/>
      <c r="RGZ21" s="55"/>
      <c r="RHA21" s="55"/>
      <c r="RHB21" s="55"/>
      <c r="RHC21" s="55"/>
      <c r="RHD21" s="55"/>
      <c r="RHE21" s="55"/>
      <c r="RHF21" s="55"/>
      <c r="RHG21" s="55"/>
      <c r="RHH21" s="55"/>
      <c r="RHI21" s="55"/>
      <c r="RHJ21" s="55"/>
      <c r="RHK21" s="55"/>
      <c r="RHL21" s="55"/>
      <c r="RHM21" s="55"/>
      <c r="RHN21" s="55"/>
      <c r="RHO21" s="55"/>
      <c r="RHP21" s="55"/>
      <c r="RHQ21" s="55"/>
      <c r="RHR21" s="55"/>
      <c r="RHS21" s="55"/>
      <c r="RHT21" s="55"/>
      <c r="RHU21" s="55"/>
      <c r="RHV21" s="55"/>
      <c r="RHW21" s="55"/>
      <c r="RHX21" s="55"/>
      <c r="RHY21" s="55"/>
      <c r="RHZ21" s="55"/>
      <c r="RIA21" s="55"/>
      <c r="RIB21" s="55"/>
      <c r="RIC21" s="55"/>
      <c r="RID21" s="55"/>
      <c r="RIE21" s="55"/>
      <c r="RIF21" s="55"/>
      <c r="RIG21" s="55"/>
      <c r="RIH21" s="55"/>
      <c r="RII21" s="55"/>
      <c r="RIJ21" s="55"/>
      <c r="RIK21" s="55"/>
      <c r="RIL21" s="55"/>
      <c r="RIM21" s="55"/>
      <c r="RIN21" s="55"/>
      <c r="RIO21" s="55"/>
      <c r="RIP21" s="55"/>
      <c r="RIQ21" s="55"/>
      <c r="RIR21" s="55"/>
      <c r="RIS21" s="55"/>
      <c r="RIT21" s="55"/>
      <c r="RIU21" s="55"/>
      <c r="RIV21" s="55"/>
      <c r="RIW21" s="55"/>
      <c r="RIX21" s="55"/>
      <c r="RIY21" s="55"/>
      <c r="RIZ21" s="55"/>
      <c r="RJA21" s="55"/>
      <c r="RJB21" s="55"/>
      <c r="RJC21" s="55"/>
      <c r="RJD21" s="55"/>
      <c r="RJE21" s="55"/>
      <c r="RJF21" s="55"/>
      <c r="RJG21" s="55"/>
      <c r="RJH21" s="55"/>
      <c r="RJI21" s="55"/>
      <c r="RJJ21" s="55"/>
      <c r="RJK21" s="55"/>
      <c r="RJL21" s="55"/>
      <c r="RJM21" s="55"/>
      <c r="RJN21" s="55"/>
      <c r="RJO21" s="55"/>
      <c r="RJP21" s="55"/>
      <c r="RJQ21" s="55"/>
      <c r="RJR21" s="55"/>
      <c r="RJS21" s="55"/>
      <c r="RJT21" s="55"/>
      <c r="RJU21" s="55"/>
      <c r="RJV21" s="55"/>
      <c r="RJW21" s="55"/>
      <c r="RJX21" s="55"/>
      <c r="RJY21" s="55"/>
      <c r="RJZ21" s="55"/>
      <c r="RKA21" s="55"/>
      <c r="RKB21" s="55"/>
      <c r="RKC21" s="55"/>
      <c r="RKD21" s="55"/>
      <c r="RKE21" s="55"/>
      <c r="RKF21" s="55"/>
      <c r="RKG21" s="55"/>
      <c r="RKH21" s="55"/>
      <c r="RKI21" s="55"/>
      <c r="RKJ21" s="55"/>
      <c r="RKK21" s="55"/>
      <c r="RKL21" s="55"/>
      <c r="RKM21" s="55"/>
      <c r="RKN21" s="55"/>
      <c r="RKO21" s="55"/>
      <c r="RKP21" s="55"/>
      <c r="RKQ21" s="55"/>
      <c r="RKR21" s="55"/>
      <c r="RKS21" s="55"/>
      <c r="RKT21" s="55"/>
      <c r="RKU21" s="55"/>
      <c r="RKV21" s="55"/>
      <c r="RKW21" s="55"/>
      <c r="RKX21" s="55"/>
      <c r="RKY21" s="55"/>
      <c r="RKZ21" s="55"/>
      <c r="RLA21" s="55"/>
      <c r="RLB21" s="55"/>
      <c r="RLC21" s="55"/>
      <c r="RLD21" s="55"/>
      <c r="RLE21" s="55"/>
      <c r="RLF21" s="55"/>
      <c r="RLG21" s="55"/>
      <c r="RLH21" s="55"/>
      <c r="RLI21" s="55"/>
      <c r="RLJ21" s="55"/>
      <c r="RLK21" s="55"/>
      <c r="RLL21" s="55"/>
      <c r="RLM21" s="55"/>
      <c r="RLN21" s="55"/>
      <c r="RLO21" s="55"/>
      <c r="RLP21" s="55"/>
      <c r="RLQ21" s="55"/>
      <c r="RLR21" s="55"/>
      <c r="RLS21" s="55"/>
      <c r="RLT21" s="55"/>
      <c r="RLU21" s="55"/>
      <c r="RLV21" s="55"/>
      <c r="RLW21" s="55"/>
      <c r="RLX21" s="55"/>
      <c r="RLY21" s="55"/>
      <c r="RLZ21" s="55"/>
      <c r="RMA21" s="55"/>
      <c r="RMB21" s="55"/>
      <c r="RMC21" s="55"/>
      <c r="RMD21" s="55"/>
      <c r="RME21" s="55"/>
      <c r="RMF21" s="55"/>
      <c r="RMG21" s="55"/>
      <c r="RMH21" s="55"/>
      <c r="RMI21" s="55"/>
      <c r="RMJ21" s="55"/>
      <c r="RMK21" s="55"/>
      <c r="RML21" s="55"/>
      <c r="RMM21" s="55"/>
      <c r="RMN21" s="55"/>
      <c r="RMO21" s="55"/>
      <c r="RMP21" s="55"/>
      <c r="RMQ21" s="55"/>
      <c r="RMR21" s="55"/>
      <c r="RMS21" s="55"/>
      <c r="RMT21" s="55"/>
      <c r="RMU21" s="55"/>
      <c r="RMV21" s="55"/>
      <c r="RMW21" s="55"/>
      <c r="RMX21" s="55"/>
      <c r="RMY21" s="55"/>
      <c r="RMZ21" s="55"/>
      <c r="RNA21" s="55"/>
      <c r="RNB21" s="55"/>
      <c r="RNC21" s="55"/>
      <c r="RND21" s="55"/>
      <c r="RNE21" s="55"/>
      <c r="RNF21" s="55"/>
      <c r="RNG21" s="55"/>
      <c r="RNH21" s="55"/>
      <c r="RNI21" s="55"/>
      <c r="RNJ21" s="55"/>
      <c r="RNK21" s="55"/>
      <c r="RNL21" s="55"/>
      <c r="RNM21" s="55"/>
      <c r="RNN21" s="55"/>
      <c r="RNO21" s="55"/>
      <c r="RNP21" s="55"/>
      <c r="RNQ21" s="55"/>
      <c r="RNR21" s="55"/>
      <c r="RNS21" s="55"/>
      <c r="RNT21" s="55"/>
      <c r="RNU21" s="55"/>
      <c r="RNV21" s="55"/>
      <c r="RNW21" s="55"/>
      <c r="RNX21" s="55"/>
      <c r="RNY21" s="55"/>
      <c r="RNZ21" s="55"/>
      <c r="ROA21" s="55"/>
      <c r="ROB21" s="55"/>
      <c r="ROC21" s="55"/>
      <c r="ROD21" s="55"/>
      <c r="ROE21" s="55"/>
      <c r="ROF21" s="55"/>
      <c r="ROG21" s="55"/>
      <c r="ROH21" s="55"/>
      <c r="ROI21" s="55"/>
      <c r="ROJ21" s="55"/>
      <c r="ROK21" s="55"/>
      <c r="ROL21" s="55"/>
      <c r="ROM21" s="55"/>
      <c r="RON21" s="55"/>
      <c r="ROO21" s="55"/>
      <c r="ROP21" s="55"/>
      <c r="ROQ21" s="55"/>
      <c r="ROR21" s="55"/>
      <c r="ROS21" s="55"/>
      <c r="ROT21" s="55"/>
      <c r="ROU21" s="55"/>
      <c r="ROV21" s="55"/>
      <c r="ROW21" s="55"/>
      <c r="ROX21" s="55"/>
      <c r="ROY21" s="55"/>
      <c r="ROZ21" s="55"/>
      <c r="RPA21" s="55"/>
      <c r="RPB21" s="55"/>
      <c r="RPC21" s="55"/>
      <c r="RPD21" s="55"/>
      <c r="RPE21" s="55"/>
      <c r="RPF21" s="55"/>
      <c r="RPG21" s="55"/>
      <c r="RPH21" s="55"/>
      <c r="RPI21" s="55"/>
      <c r="RPJ21" s="55"/>
      <c r="RPK21" s="55"/>
      <c r="RPL21" s="55"/>
      <c r="RPM21" s="55"/>
      <c r="RPN21" s="55"/>
      <c r="RPO21" s="55"/>
      <c r="RPP21" s="55"/>
      <c r="RPQ21" s="55"/>
      <c r="RPR21" s="55"/>
      <c r="RPS21" s="55"/>
      <c r="RPT21" s="55"/>
      <c r="RPU21" s="55"/>
      <c r="RPV21" s="55"/>
      <c r="RPW21" s="55"/>
      <c r="RPX21" s="55"/>
      <c r="RPY21" s="55"/>
      <c r="RPZ21" s="55"/>
      <c r="RQA21" s="55"/>
      <c r="RQB21" s="55"/>
      <c r="RQC21" s="55"/>
      <c r="RQD21" s="55"/>
      <c r="RQE21" s="55"/>
      <c r="RQF21" s="55"/>
      <c r="RQG21" s="55"/>
      <c r="RQH21" s="55"/>
      <c r="RQI21" s="55"/>
      <c r="RQJ21" s="55"/>
      <c r="RQK21" s="55"/>
      <c r="RQL21" s="55"/>
      <c r="RQM21" s="55"/>
      <c r="RQN21" s="55"/>
      <c r="RQO21" s="55"/>
      <c r="RQP21" s="55"/>
      <c r="RQQ21" s="55"/>
      <c r="RQR21" s="55"/>
      <c r="RQS21" s="55"/>
      <c r="RQT21" s="55"/>
      <c r="RQU21" s="55"/>
      <c r="RQV21" s="55"/>
      <c r="RQW21" s="55"/>
      <c r="RQX21" s="55"/>
      <c r="RQY21" s="55"/>
      <c r="RQZ21" s="55"/>
      <c r="RRA21" s="55"/>
      <c r="RRB21" s="55"/>
      <c r="RRC21" s="55"/>
      <c r="RRD21" s="55"/>
      <c r="RRE21" s="55"/>
      <c r="RRF21" s="55"/>
      <c r="RRG21" s="55"/>
      <c r="RRH21" s="55"/>
      <c r="RRI21" s="55"/>
      <c r="RRJ21" s="55"/>
      <c r="RRK21" s="55"/>
      <c r="RRL21" s="55"/>
      <c r="RRM21" s="55"/>
      <c r="RRN21" s="55"/>
      <c r="RRO21" s="55"/>
      <c r="RRP21" s="55"/>
      <c r="RRQ21" s="55"/>
      <c r="RRR21" s="55"/>
      <c r="RRS21" s="55"/>
      <c r="RRT21" s="55"/>
      <c r="RRU21" s="55"/>
      <c r="RRV21" s="55"/>
      <c r="RRW21" s="55"/>
      <c r="RRX21" s="55"/>
      <c r="RRY21" s="55"/>
      <c r="RRZ21" s="55"/>
      <c r="RSA21" s="55"/>
      <c r="RSB21" s="55"/>
      <c r="RSC21" s="55"/>
      <c r="RSD21" s="55"/>
      <c r="RSE21" s="55"/>
      <c r="RSF21" s="55"/>
      <c r="RSG21" s="55"/>
      <c r="RSH21" s="55"/>
      <c r="RSI21" s="55"/>
      <c r="RSJ21" s="55"/>
      <c r="RSK21" s="55"/>
      <c r="RSL21" s="55"/>
      <c r="RSM21" s="55"/>
      <c r="RSN21" s="55"/>
      <c r="RSO21" s="55"/>
      <c r="RSP21" s="55"/>
      <c r="RSQ21" s="55"/>
      <c r="RSR21" s="55"/>
      <c r="RSS21" s="55"/>
      <c r="RST21" s="55"/>
      <c r="RSU21" s="55"/>
      <c r="RSV21" s="55"/>
      <c r="RSW21" s="55"/>
      <c r="RSX21" s="55"/>
      <c r="RSY21" s="55"/>
      <c r="RSZ21" s="55"/>
      <c r="RTA21" s="55"/>
      <c r="RTB21" s="55"/>
      <c r="RTC21" s="55"/>
      <c r="RTD21" s="55"/>
      <c r="RTE21" s="55"/>
      <c r="RTF21" s="55"/>
      <c r="RTG21" s="55"/>
      <c r="RTH21" s="55"/>
      <c r="RTI21" s="55"/>
      <c r="RTJ21" s="55"/>
      <c r="RTK21" s="55"/>
      <c r="RTL21" s="55"/>
      <c r="RTM21" s="55"/>
      <c r="RTN21" s="55"/>
      <c r="RTO21" s="55"/>
      <c r="RTP21" s="55"/>
      <c r="RTQ21" s="55"/>
      <c r="RTR21" s="55"/>
      <c r="RTS21" s="55"/>
      <c r="RTT21" s="55"/>
      <c r="RTU21" s="55"/>
      <c r="RTV21" s="55"/>
      <c r="RTW21" s="55"/>
      <c r="RTX21" s="55"/>
      <c r="RTY21" s="55"/>
      <c r="RTZ21" s="55"/>
      <c r="RUA21" s="55"/>
      <c r="RUB21" s="55"/>
      <c r="RUC21" s="55"/>
      <c r="RUD21" s="55"/>
      <c r="RUE21" s="55"/>
      <c r="RUF21" s="55"/>
      <c r="RUG21" s="55"/>
      <c r="RUH21" s="55"/>
      <c r="RUI21" s="55"/>
      <c r="RUJ21" s="55"/>
      <c r="RUK21" s="55"/>
      <c r="RUL21" s="55"/>
      <c r="RUM21" s="55"/>
      <c r="RUN21" s="55"/>
      <c r="RUO21" s="55"/>
      <c r="RUP21" s="55"/>
      <c r="RUQ21" s="55"/>
      <c r="RUR21" s="55"/>
      <c r="RUS21" s="55"/>
      <c r="RUT21" s="55"/>
      <c r="RUU21" s="55"/>
      <c r="RUV21" s="55"/>
      <c r="RUW21" s="55"/>
      <c r="RUX21" s="55"/>
      <c r="RUY21" s="55"/>
      <c r="RUZ21" s="55"/>
      <c r="RVA21" s="55"/>
      <c r="RVB21" s="55"/>
      <c r="RVC21" s="55"/>
      <c r="RVD21" s="55"/>
      <c r="RVE21" s="55"/>
      <c r="RVF21" s="55"/>
      <c r="RVG21" s="55"/>
      <c r="RVH21" s="55"/>
      <c r="RVI21" s="55"/>
      <c r="RVJ21" s="55"/>
      <c r="RVK21" s="55"/>
      <c r="RVL21" s="55"/>
      <c r="RVM21" s="55"/>
      <c r="RVN21" s="55"/>
      <c r="RVO21" s="55"/>
      <c r="RVP21" s="55"/>
      <c r="RVQ21" s="55"/>
      <c r="RVR21" s="55"/>
      <c r="RVS21" s="55"/>
      <c r="RVT21" s="55"/>
      <c r="RVU21" s="55"/>
      <c r="RVV21" s="55"/>
      <c r="RVW21" s="55"/>
      <c r="RVX21" s="55"/>
      <c r="RVY21" s="55"/>
      <c r="RVZ21" s="55"/>
      <c r="RWA21" s="55"/>
      <c r="RWB21" s="55"/>
      <c r="RWC21" s="55"/>
      <c r="RWD21" s="55"/>
      <c r="RWE21" s="55"/>
      <c r="RWF21" s="55"/>
      <c r="RWG21" s="55"/>
      <c r="RWH21" s="55"/>
      <c r="RWI21" s="55"/>
      <c r="RWJ21" s="55"/>
      <c r="RWK21" s="55"/>
      <c r="RWL21" s="55"/>
      <c r="RWM21" s="55"/>
      <c r="RWN21" s="55"/>
      <c r="RWO21" s="55"/>
      <c r="RWP21" s="55"/>
      <c r="RWQ21" s="55"/>
      <c r="RWR21" s="55"/>
      <c r="RWS21" s="55"/>
      <c r="RWT21" s="55"/>
      <c r="RWU21" s="55"/>
      <c r="RWV21" s="55"/>
      <c r="RWW21" s="55"/>
      <c r="RWX21" s="55"/>
      <c r="RWY21" s="55"/>
      <c r="RWZ21" s="55"/>
      <c r="RXA21" s="55"/>
      <c r="RXB21" s="55"/>
      <c r="RXC21" s="55"/>
      <c r="RXD21" s="55"/>
      <c r="RXE21" s="55"/>
      <c r="RXF21" s="55"/>
      <c r="RXG21" s="55"/>
      <c r="RXH21" s="55"/>
      <c r="RXI21" s="55"/>
      <c r="RXJ21" s="55"/>
      <c r="RXK21" s="55"/>
      <c r="RXL21" s="55"/>
      <c r="RXM21" s="55"/>
      <c r="RXN21" s="55"/>
      <c r="RXO21" s="55"/>
      <c r="RXP21" s="55"/>
      <c r="RXQ21" s="55"/>
      <c r="RXR21" s="55"/>
      <c r="RXS21" s="55"/>
      <c r="RXT21" s="55"/>
      <c r="RXU21" s="55"/>
      <c r="RXV21" s="55"/>
      <c r="RXW21" s="55"/>
      <c r="RXX21" s="55"/>
      <c r="RXY21" s="55"/>
      <c r="RXZ21" s="55"/>
      <c r="RYA21" s="55"/>
      <c r="RYB21" s="55"/>
      <c r="RYC21" s="55"/>
      <c r="RYD21" s="55"/>
      <c r="RYE21" s="55"/>
      <c r="RYF21" s="55"/>
      <c r="RYG21" s="55"/>
      <c r="RYH21" s="55"/>
      <c r="RYI21" s="55"/>
      <c r="RYJ21" s="55"/>
      <c r="RYK21" s="55"/>
      <c r="RYL21" s="55"/>
      <c r="RYM21" s="55"/>
      <c r="RYN21" s="55"/>
      <c r="RYO21" s="55"/>
      <c r="RYP21" s="55"/>
      <c r="RYQ21" s="55"/>
      <c r="RYR21" s="55"/>
      <c r="RYS21" s="55"/>
      <c r="RYT21" s="55"/>
      <c r="RYU21" s="55"/>
      <c r="RYV21" s="55"/>
      <c r="RYW21" s="55"/>
      <c r="RYX21" s="55"/>
      <c r="RYY21" s="55"/>
      <c r="RYZ21" s="55"/>
      <c r="RZA21" s="55"/>
      <c r="RZB21" s="55"/>
      <c r="RZC21" s="55"/>
      <c r="RZD21" s="55"/>
      <c r="RZE21" s="55"/>
      <c r="RZF21" s="55"/>
      <c r="RZG21" s="55"/>
      <c r="RZH21" s="55"/>
      <c r="RZI21" s="55"/>
      <c r="RZJ21" s="55"/>
      <c r="RZK21" s="55"/>
      <c r="RZL21" s="55"/>
      <c r="RZM21" s="55"/>
      <c r="RZN21" s="55"/>
      <c r="RZO21" s="55"/>
      <c r="RZP21" s="55"/>
      <c r="RZQ21" s="55"/>
      <c r="RZR21" s="55"/>
      <c r="RZS21" s="55"/>
      <c r="RZT21" s="55"/>
      <c r="RZU21" s="55"/>
      <c r="RZV21" s="55"/>
      <c r="RZW21" s="55"/>
      <c r="RZX21" s="55"/>
      <c r="RZY21" s="55"/>
      <c r="RZZ21" s="55"/>
      <c r="SAA21" s="55"/>
      <c r="SAB21" s="55"/>
      <c r="SAC21" s="55"/>
      <c r="SAD21" s="55"/>
      <c r="SAE21" s="55"/>
      <c r="SAF21" s="55"/>
      <c r="SAG21" s="55"/>
      <c r="SAH21" s="55"/>
      <c r="SAI21" s="55"/>
      <c r="SAJ21" s="55"/>
      <c r="SAK21" s="55"/>
      <c r="SAL21" s="55"/>
      <c r="SAM21" s="55"/>
      <c r="SAN21" s="55"/>
      <c r="SAO21" s="55"/>
      <c r="SAP21" s="55"/>
      <c r="SAQ21" s="55"/>
      <c r="SAR21" s="55"/>
      <c r="SAS21" s="55"/>
      <c r="SAT21" s="55"/>
      <c r="SAU21" s="55"/>
      <c r="SAV21" s="55"/>
      <c r="SAW21" s="55"/>
      <c r="SAX21" s="55"/>
      <c r="SAY21" s="55"/>
      <c r="SAZ21" s="55"/>
      <c r="SBA21" s="55"/>
      <c r="SBB21" s="55"/>
      <c r="SBC21" s="55"/>
      <c r="SBD21" s="55"/>
      <c r="SBE21" s="55"/>
      <c r="SBF21" s="55"/>
      <c r="SBG21" s="55"/>
      <c r="SBH21" s="55"/>
      <c r="SBI21" s="55"/>
      <c r="SBJ21" s="55"/>
      <c r="SBK21" s="55"/>
      <c r="SBL21" s="55"/>
      <c r="SBM21" s="55"/>
      <c r="SBN21" s="55"/>
      <c r="SBO21" s="55"/>
      <c r="SBP21" s="55"/>
      <c r="SBQ21" s="55"/>
      <c r="SBR21" s="55"/>
      <c r="SBS21" s="55"/>
      <c r="SBT21" s="55"/>
      <c r="SBU21" s="55"/>
      <c r="SBV21" s="55"/>
      <c r="SBW21" s="55"/>
      <c r="SBX21" s="55"/>
      <c r="SBY21" s="55"/>
      <c r="SBZ21" s="55"/>
      <c r="SCA21" s="55"/>
      <c r="SCB21" s="55"/>
      <c r="SCC21" s="55"/>
      <c r="SCD21" s="55"/>
      <c r="SCE21" s="55"/>
      <c r="SCF21" s="55"/>
      <c r="SCG21" s="55"/>
      <c r="SCH21" s="55"/>
      <c r="SCI21" s="55"/>
      <c r="SCJ21" s="55"/>
      <c r="SCK21" s="55"/>
      <c r="SCL21" s="55"/>
      <c r="SCM21" s="55"/>
      <c r="SCN21" s="55"/>
      <c r="SCO21" s="55"/>
      <c r="SCP21" s="55"/>
      <c r="SCQ21" s="55"/>
      <c r="SCR21" s="55"/>
      <c r="SCS21" s="55"/>
      <c r="SCT21" s="55"/>
      <c r="SCU21" s="55"/>
      <c r="SCV21" s="55"/>
      <c r="SCW21" s="55"/>
      <c r="SCX21" s="55"/>
      <c r="SCY21" s="55"/>
      <c r="SCZ21" s="55"/>
      <c r="SDA21" s="55"/>
      <c r="SDB21" s="55"/>
      <c r="SDC21" s="55"/>
      <c r="SDD21" s="55"/>
      <c r="SDE21" s="55"/>
      <c r="SDF21" s="55"/>
      <c r="SDG21" s="55"/>
      <c r="SDH21" s="55"/>
      <c r="SDI21" s="55"/>
      <c r="SDJ21" s="55"/>
      <c r="SDK21" s="55"/>
      <c r="SDL21" s="55"/>
      <c r="SDM21" s="55"/>
      <c r="SDN21" s="55"/>
      <c r="SDO21" s="55"/>
      <c r="SDP21" s="55"/>
      <c r="SDQ21" s="55"/>
      <c r="SDR21" s="55"/>
      <c r="SDS21" s="55"/>
      <c r="SDT21" s="55"/>
      <c r="SDU21" s="55"/>
      <c r="SDV21" s="55"/>
      <c r="SDW21" s="55"/>
      <c r="SDX21" s="55"/>
      <c r="SDY21" s="55"/>
      <c r="SDZ21" s="55"/>
      <c r="SEA21" s="55"/>
      <c r="SEB21" s="55"/>
      <c r="SEC21" s="55"/>
      <c r="SED21" s="55"/>
      <c r="SEE21" s="55"/>
      <c r="SEF21" s="55"/>
      <c r="SEG21" s="55"/>
      <c r="SEH21" s="55"/>
      <c r="SEI21" s="55"/>
      <c r="SEJ21" s="55"/>
      <c r="SEK21" s="55"/>
      <c r="SEL21" s="55"/>
      <c r="SEM21" s="55"/>
      <c r="SEN21" s="55"/>
      <c r="SEO21" s="55"/>
      <c r="SEP21" s="55"/>
      <c r="SEQ21" s="55"/>
      <c r="SER21" s="55"/>
      <c r="SES21" s="55"/>
      <c r="SET21" s="55"/>
      <c r="SEU21" s="55"/>
      <c r="SEV21" s="55"/>
      <c r="SEW21" s="55"/>
      <c r="SEX21" s="55"/>
      <c r="SEY21" s="55"/>
      <c r="SEZ21" s="55"/>
      <c r="SFA21" s="55"/>
      <c r="SFB21" s="55"/>
      <c r="SFC21" s="55"/>
      <c r="SFD21" s="55"/>
      <c r="SFE21" s="55"/>
      <c r="SFF21" s="55"/>
      <c r="SFG21" s="55"/>
      <c r="SFH21" s="55"/>
      <c r="SFI21" s="55"/>
      <c r="SFJ21" s="55"/>
      <c r="SFK21" s="55"/>
      <c r="SFL21" s="55"/>
      <c r="SFM21" s="55"/>
      <c r="SFN21" s="55"/>
      <c r="SFO21" s="55"/>
      <c r="SFP21" s="55"/>
      <c r="SFQ21" s="55"/>
      <c r="SFR21" s="55"/>
      <c r="SFS21" s="55"/>
      <c r="SFT21" s="55"/>
      <c r="SFU21" s="55"/>
      <c r="SFV21" s="55"/>
      <c r="SFW21" s="55"/>
      <c r="SFX21" s="55"/>
      <c r="SFY21" s="55"/>
      <c r="SFZ21" s="55"/>
      <c r="SGA21" s="55"/>
      <c r="SGB21" s="55"/>
      <c r="SGC21" s="55"/>
      <c r="SGD21" s="55"/>
      <c r="SGE21" s="55"/>
      <c r="SGF21" s="55"/>
      <c r="SGG21" s="55"/>
      <c r="SGH21" s="55"/>
      <c r="SGI21" s="55"/>
      <c r="SGJ21" s="55"/>
      <c r="SGK21" s="55"/>
      <c r="SGL21" s="55"/>
      <c r="SGM21" s="55"/>
      <c r="SGN21" s="55"/>
      <c r="SGO21" s="55"/>
      <c r="SGP21" s="55"/>
      <c r="SGQ21" s="55"/>
      <c r="SGR21" s="55"/>
      <c r="SGS21" s="55"/>
      <c r="SGT21" s="55"/>
      <c r="SGU21" s="55"/>
      <c r="SGV21" s="55"/>
      <c r="SGW21" s="55"/>
      <c r="SGX21" s="55"/>
      <c r="SGY21" s="55"/>
      <c r="SGZ21" s="55"/>
      <c r="SHA21" s="55"/>
      <c r="SHB21" s="55"/>
      <c r="SHC21" s="55"/>
      <c r="SHD21" s="55"/>
      <c r="SHE21" s="55"/>
      <c r="SHF21" s="55"/>
      <c r="SHG21" s="55"/>
      <c r="SHH21" s="55"/>
      <c r="SHI21" s="55"/>
      <c r="SHJ21" s="55"/>
      <c r="SHK21" s="55"/>
      <c r="SHL21" s="55"/>
      <c r="SHM21" s="55"/>
      <c r="SHN21" s="55"/>
      <c r="SHO21" s="55"/>
      <c r="SHP21" s="55"/>
      <c r="SHQ21" s="55"/>
      <c r="SHR21" s="55"/>
      <c r="SHS21" s="55"/>
      <c r="SHT21" s="55"/>
      <c r="SHU21" s="55"/>
      <c r="SHV21" s="55"/>
      <c r="SHW21" s="55"/>
      <c r="SHX21" s="55"/>
      <c r="SHY21" s="55"/>
      <c r="SHZ21" s="55"/>
      <c r="SIA21" s="55"/>
      <c r="SIB21" s="55"/>
      <c r="SIC21" s="55"/>
      <c r="SID21" s="55"/>
      <c r="SIE21" s="55"/>
      <c r="SIF21" s="55"/>
      <c r="SIG21" s="55"/>
      <c r="SIH21" s="55"/>
      <c r="SII21" s="55"/>
      <c r="SIJ21" s="55"/>
      <c r="SIK21" s="55"/>
      <c r="SIL21" s="55"/>
      <c r="SIM21" s="55"/>
      <c r="SIN21" s="55"/>
      <c r="SIO21" s="55"/>
      <c r="SIP21" s="55"/>
      <c r="SIQ21" s="55"/>
      <c r="SIR21" s="55"/>
      <c r="SIS21" s="55"/>
      <c r="SIT21" s="55"/>
      <c r="SIU21" s="55"/>
      <c r="SIV21" s="55"/>
      <c r="SIW21" s="55"/>
      <c r="SIX21" s="55"/>
      <c r="SIY21" s="55"/>
      <c r="SIZ21" s="55"/>
      <c r="SJA21" s="55"/>
      <c r="SJB21" s="55"/>
      <c r="SJC21" s="55"/>
      <c r="SJD21" s="55"/>
      <c r="SJE21" s="55"/>
      <c r="SJF21" s="55"/>
      <c r="SJG21" s="55"/>
      <c r="SJH21" s="55"/>
      <c r="SJI21" s="55"/>
      <c r="SJJ21" s="55"/>
      <c r="SJK21" s="55"/>
      <c r="SJL21" s="55"/>
      <c r="SJM21" s="55"/>
      <c r="SJN21" s="55"/>
      <c r="SJO21" s="55"/>
      <c r="SJP21" s="55"/>
      <c r="SJQ21" s="55"/>
      <c r="SJR21" s="55"/>
      <c r="SJS21" s="55"/>
      <c r="SJT21" s="55"/>
      <c r="SJU21" s="55"/>
      <c r="SJV21" s="55"/>
      <c r="SJW21" s="55"/>
      <c r="SJX21" s="55"/>
      <c r="SJY21" s="55"/>
      <c r="SJZ21" s="55"/>
      <c r="SKA21" s="55"/>
      <c r="SKB21" s="55"/>
      <c r="SKC21" s="55"/>
      <c r="SKD21" s="55"/>
      <c r="SKE21" s="55"/>
      <c r="SKF21" s="55"/>
      <c r="SKG21" s="55"/>
      <c r="SKH21" s="55"/>
      <c r="SKI21" s="55"/>
      <c r="SKJ21" s="55"/>
      <c r="SKK21" s="55"/>
      <c r="SKL21" s="55"/>
      <c r="SKM21" s="55"/>
      <c r="SKN21" s="55"/>
      <c r="SKO21" s="55"/>
      <c r="SKP21" s="55"/>
      <c r="SKQ21" s="55"/>
      <c r="SKR21" s="55"/>
      <c r="SKS21" s="55"/>
      <c r="SKT21" s="55"/>
      <c r="SKU21" s="55"/>
      <c r="SKV21" s="55"/>
      <c r="SKW21" s="55"/>
      <c r="SKX21" s="55"/>
      <c r="SKY21" s="55"/>
      <c r="SKZ21" s="55"/>
      <c r="SLA21" s="55"/>
      <c r="SLB21" s="55"/>
      <c r="SLC21" s="55"/>
      <c r="SLD21" s="55"/>
      <c r="SLE21" s="55"/>
      <c r="SLF21" s="55"/>
      <c r="SLG21" s="55"/>
      <c r="SLH21" s="55"/>
      <c r="SLI21" s="55"/>
      <c r="SLJ21" s="55"/>
      <c r="SLK21" s="55"/>
      <c r="SLL21" s="55"/>
      <c r="SLM21" s="55"/>
      <c r="SLN21" s="55"/>
      <c r="SLO21" s="55"/>
      <c r="SLP21" s="55"/>
      <c r="SLQ21" s="55"/>
      <c r="SLR21" s="55"/>
      <c r="SLS21" s="55"/>
      <c r="SLT21" s="55"/>
      <c r="SLU21" s="55"/>
      <c r="SLV21" s="55"/>
      <c r="SLW21" s="55"/>
      <c r="SLX21" s="55"/>
      <c r="SLY21" s="55"/>
      <c r="SLZ21" s="55"/>
      <c r="SMA21" s="55"/>
      <c r="SMB21" s="55"/>
      <c r="SMC21" s="55"/>
      <c r="SMD21" s="55"/>
      <c r="SME21" s="55"/>
      <c r="SMF21" s="55"/>
      <c r="SMG21" s="55"/>
      <c r="SMH21" s="55"/>
      <c r="SMI21" s="55"/>
      <c r="SMJ21" s="55"/>
      <c r="SMK21" s="55"/>
      <c r="SML21" s="55"/>
      <c r="SMM21" s="55"/>
      <c r="SMN21" s="55"/>
      <c r="SMO21" s="55"/>
      <c r="SMP21" s="55"/>
      <c r="SMQ21" s="55"/>
      <c r="SMR21" s="55"/>
      <c r="SMS21" s="55"/>
      <c r="SMT21" s="55"/>
      <c r="SMU21" s="55"/>
      <c r="SMV21" s="55"/>
      <c r="SMW21" s="55"/>
      <c r="SMX21" s="55"/>
      <c r="SMY21" s="55"/>
      <c r="SMZ21" s="55"/>
      <c r="SNA21" s="55"/>
      <c r="SNB21" s="55"/>
      <c r="SNC21" s="55"/>
      <c r="SND21" s="55"/>
      <c r="SNE21" s="55"/>
      <c r="SNF21" s="55"/>
      <c r="SNG21" s="55"/>
      <c r="SNH21" s="55"/>
      <c r="SNI21" s="55"/>
      <c r="SNJ21" s="55"/>
      <c r="SNK21" s="55"/>
      <c r="SNL21" s="55"/>
      <c r="SNM21" s="55"/>
      <c r="SNN21" s="55"/>
      <c r="SNO21" s="55"/>
      <c r="SNP21" s="55"/>
      <c r="SNQ21" s="55"/>
      <c r="SNR21" s="55"/>
      <c r="SNS21" s="55"/>
      <c r="SNT21" s="55"/>
      <c r="SNU21" s="55"/>
      <c r="SNV21" s="55"/>
      <c r="SNW21" s="55"/>
      <c r="SNX21" s="55"/>
      <c r="SNY21" s="55"/>
      <c r="SNZ21" s="55"/>
      <c r="SOA21" s="55"/>
      <c r="SOB21" s="55"/>
      <c r="SOC21" s="55"/>
      <c r="SOD21" s="55"/>
      <c r="SOE21" s="55"/>
      <c r="SOF21" s="55"/>
      <c r="SOG21" s="55"/>
      <c r="SOH21" s="55"/>
      <c r="SOI21" s="55"/>
      <c r="SOJ21" s="55"/>
      <c r="SOK21" s="55"/>
      <c r="SOL21" s="55"/>
      <c r="SOM21" s="55"/>
      <c r="SON21" s="55"/>
      <c r="SOO21" s="55"/>
      <c r="SOP21" s="55"/>
      <c r="SOQ21" s="55"/>
      <c r="SOR21" s="55"/>
      <c r="SOS21" s="55"/>
      <c r="SOT21" s="55"/>
      <c r="SOU21" s="55"/>
      <c r="SOV21" s="55"/>
      <c r="SOW21" s="55"/>
      <c r="SOX21" s="55"/>
      <c r="SOY21" s="55"/>
      <c r="SOZ21" s="55"/>
      <c r="SPA21" s="55"/>
      <c r="SPB21" s="55"/>
      <c r="SPC21" s="55"/>
      <c r="SPD21" s="55"/>
      <c r="SPE21" s="55"/>
      <c r="SPF21" s="55"/>
      <c r="SPG21" s="55"/>
      <c r="SPH21" s="55"/>
      <c r="SPI21" s="55"/>
      <c r="SPJ21" s="55"/>
      <c r="SPK21" s="55"/>
      <c r="SPL21" s="55"/>
      <c r="SPM21" s="55"/>
      <c r="SPN21" s="55"/>
      <c r="SPO21" s="55"/>
      <c r="SPP21" s="55"/>
      <c r="SPQ21" s="55"/>
      <c r="SPR21" s="55"/>
      <c r="SPS21" s="55"/>
      <c r="SPT21" s="55"/>
      <c r="SPU21" s="55"/>
      <c r="SPV21" s="55"/>
      <c r="SPW21" s="55"/>
      <c r="SPX21" s="55"/>
      <c r="SPY21" s="55"/>
      <c r="SPZ21" s="55"/>
      <c r="SQA21" s="55"/>
      <c r="SQB21" s="55"/>
      <c r="SQC21" s="55"/>
      <c r="SQD21" s="55"/>
      <c r="SQE21" s="55"/>
      <c r="SQF21" s="55"/>
      <c r="SQG21" s="55"/>
      <c r="SQH21" s="55"/>
      <c r="SQI21" s="55"/>
      <c r="SQJ21" s="55"/>
      <c r="SQK21" s="55"/>
      <c r="SQL21" s="55"/>
      <c r="SQM21" s="55"/>
      <c r="SQN21" s="55"/>
      <c r="SQO21" s="55"/>
      <c r="SQP21" s="55"/>
      <c r="SQQ21" s="55"/>
      <c r="SQR21" s="55"/>
      <c r="SQS21" s="55"/>
      <c r="SQT21" s="55"/>
      <c r="SQU21" s="55"/>
      <c r="SQV21" s="55"/>
      <c r="SQW21" s="55"/>
      <c r="SQX21" s="55"/>
      <c r="SQY21" s="55"/>
      <c r="SQZ21" s="55"/>
      <c r="SRA21" s="55"/>
      <c r="SRB21" s="55"/>
      <c r="SRC21" s="55"/>
      <c r="SRD21" s="55"/>
      <c r="SRE21" s="55"/>
      <c r="SRF21" s="55"/>
      <c r="SRG21" s="55"/>
      <c r="SRH21" s="55"/>
      <c r="SRI21" s="55"/>
      <c r="SRJ21" s="55"/>
      <c r="SRK21" s="55"/>
      <c r="SRL21" s="55"/>
      <c r="SRM21" s="55"/>
      <c r="SRN21" s="55"/>
      <c r="SRO21" s="55"/>
      <c r="SRP21" s="55"/>
      <c r="SRQ21" s="55"/>
      <c r="SRR21" s="55"/>
      <c r="SRS21" s="55"/>
      <c r="SRT21" s="55"/>
      <c r="SRU21" s="55"/>
      <c r="SRV21" s="55"/>
      <c r="SRW21" s="55"/>
      <c r="SRX21" s="55"/>
      <c r="SRY21" s="55"/>
      <c r="SRZ21" s="55"/>
      <c r="SSA21" s="55"/>
      <c r="SSB21" s="55"/>
      <c r="SSC21" s="55"/>
      <c r="SSD21" s="55"/>
      <c r="SSE21" s="55"/>
      <c r="SSF21" s="55"/>
      <c r="SSG21" s="55"/>
      <c r="SSH21" s="55"/>
      <c r="SSI21" s="55"/>
      <c r="SSJ21" s="55"/>
      <c r="SSK21" s="55"/>
      <c r="SSL21" s="55"/>
      <c r="SSM21" s="55"/>
      <c r="SSN21" s="55"/>
      <c r="SSO21" s="55"/>
      <c r="SSP21" s="55"/>
      <c r="SSQ21" s="55"/>
      <c r="SSR21" s="55"/>
      <c r="SSS21" s="55"/>
      <c r="SST21" s="55"/>
      <c r="SSU21" s="55"/>
      <c r="SSV21" s="55"/>
      <c r="SSW21" s="55"/>
      <c r="SSX21" s="55"/>
      <c r="SSY21" s="55"/>
      <c r="SSZ21" s="55"/>
      <c r="STA21" s="55"/>
      <c r="STB21" s="55"/>
      <c r="STC21" s="55"/>
      <c r="STD21" s="55"/>
      <c r="STE21" s="55"/>
      <c r="STF21" s="55"/>
      <c r="STG21" s="55"/>
      <c r="STH21" s="55"/>
      <c r="STI21" s="55"/>
      <c r="STJ21" s="55"/>
      <c r="STK21" s="55"/>
      <c r="STL21" s="55"/>
      <c r="STM21" s="55"/>
      <c r="STN21" s="55"/>
      <c r="STO21" s="55"/>
      <c r="STP21" s="55"/>
      <c r="STQ21" s="55"/>
      <c r="STR21" s="55"/>
      <c r="STS21" s="55"/>
      <c r="STT21" s="55"/>
      <c r="STU21" s="55"/>
      <c r="STV21" s="55"/>
      <c r="STW21" s="55"/>
      <c r="STX21" s="55"/>
      <c r="STY21" s="55"/>
      <c r="STZ21" s="55"/>
      <c r="SUA21" s="55"/>
      <c r="SUB21" s="55"/>
      <c r="SUC21" s="55"/>
      <c r="SUD21" s="55"/>
      <c r="SUE21" s="55"/>
      <c r="SUF21" s="55"/>
      <c r="SUG21" s="55"/>
      <c r="SUH21" s="55"/>
      <c r="SUI21" s="55"/>
      <c r="SUJ21" s="55"/>
      <c r="SUK21" s="55"/>
      <c r="SUL21" s="55"/>
      <c r="SUM21" s="55"/>
      <c r="SUN21" s="55"/>
      <c r="SUO21" s="55"/>
      <c r="SUP21" s="55"/>
      <c r="SUQ21" s="55"/>
      <c r="SUR21" s="55"/>
      <c r="SUS21" s="55"/>
      <c r="SUT21" s="55"/>
      <c r="SUU21" s="55"/>
      <c r="SUV21" s="55"/>
      <c r="SUW21" s="55"/>
      <c r="SUX21" s="55"/>
      <c r="SUY21" s="55"/>
      <c r="SUZ21" s="55"/>
      <c r="SVA21" s="55"/>
      <c r="SVB21" s="55"/>
      <c r="SVC21" s="55"/>
      <c r="SVD21" s="55"/>
      <c r="SVE21" s="55"/>
      <c r="SVF21" s="55"/>
      <c r="SVG21" s="55"/>
      <c r="SVH21" s="55"/>
      <c r="SVI21" s="55"/>
      <c r="SVJ21" s="55"/>
      <c r="SVK21" s="55"/>
      <c r="SVL21" s="55"/>
      <c r="SVM21" s="55"/>
      <c r="SVN21" s="55"/>
      <c r="SVO21" s="55"/>
      <c r="SVP21" s="55"/>
      <c r="SVQ21" s="55"/>
      <c r="SVR21" s="55"/>
      <c r="SVS21" s="55"/>
      <c r="SVT21" s="55"/>
      <c r="SVU21" s="55"/>
      <c r="SVV21" s="55"/>
      <c r="SVW21" s="55"/>
      <c r="SVX21" s="55"/>
      <c r="SVY21" s="55"/>
      <c r="SVZ21" s="55"/>
      <c r="SWA21" s="55"/>
      <c r="SWB21" s="55"/>
      <c r="SWC21" s="55"/>
      <c r="SWD21" s="55"/>
      <c r="SWE21" s="55"/>
      <c r="SWF21" s="55"/>
      <c r="SWG21" s="55"/>
      <c r="SWH21" s="55"/>
      <c r="SWI21" s="55"/>
      <c r="SWJ21" s="55"/>
      <c r="SWK21" s="55"/>
      <c r="SWL21" s="55"/>
      <c r="SWM21" s="55"/>
      <c r="SWN21" s="55"/>
      <c r="SWO21" s="55"/>
      <c r="SWP21" s="55"/>
      <c r="SWQ21" s="55"/>
      <c r="SWR21" s="55"/>
      <c r="SWS21" s="55"/>
      <c r="SWT21" s="55"/>
      <c r="SWU21" s="55"/>
      <c r="SWV21" s="55"/>
      <c r="SWW21" s="55"/>
      <c r="SWX21" s="55"/>
      <c r="SWY21" s="55"/>
      <c r="SWZ21" s="55"/>
      <c r="SXA21" s="55"/>
      <c r="SXB21" s="55"/>
      <c r="SXC21" s="55"/>
      <c r="SXD21" s="55"/>
      <c r="SXE21" s="55"/>
      <c r="SXF21" s="55"/>
      <c r="SXG21" s="55"/>
      <c r="SXH21" s="55"/>
      <c r="SXI21" s="55"/>
      <c r="SXJ21" s="55"/>
      <c r="SXK21" s="55"/>
      <c r="SXL21" s="55"/>
      <c r="SXM21" s="55"/>
      <c r="SXN21" s="55"/>
      <c r="SXO21" s="55"/>
      <c r="SXP21" s="55"/>
      <c r="SXQ21" s="55"/>
      <c r="SXR21" s="55"/>
      <c r="SXS21" s="55"/>
      <c r="SXT21" s="55"/>
      <c r="SXU21" s="55"/>
      <c r="SXV21" s="55"/>
      <c r="SXW21" s="55"/>
      <c r="SXX21" s="55"/>
      <c r="SXY21" s="55"/>
      <c r="SXZ21" s="55"/>
      <c r="SYA21" s="55"/>
      <c r="SYB21" s="55"/>
      <c r="SYC21" s="55"/>
      <c r="SYD21" s="55"/>
      <c r="SYE21" s="55"/>
      <c r="SYF21" s="55"/>
      <c r="SYG21" s="55"/>
      <c r="SYH21" s="55"/>
      <c r="SYI21" s="55"/>
      <c r="SYJ21" s="55"/>
      <c r="SYK21" s="55"/>
      <c r="SYL21" s="55"/>
      <c r="SYM21" s="55"/>
      <c r="SYN21" s="55"/>
      <c r="SYO21" s="55"/>
      <c r="SYP21" s="55"/>
      <c r="SYQ21" s="55"/>
      <c r="SYR21" s="55"/>
      <c r="SYS21" s="55"/>
      <c r="SYT21" s="55"/>
      <c r="SYU21" s="55"/>
      <c r="SYV21" s="55"/>
      <c r="SYW21" s="55"/>
      <c r="SYX21" s="55"/>
      <c r="SYY21" s="55"/>
      <c r="SYZ21" s="55"/>
      <c r="SZA21" s="55"/>
      <c r="SZB21" s="55"/>
      <c r="SZC21" s="55"/>
      <c r="SZD21" s="55"/>
      <c r="SZE21" s="55"/>
      <c r="SZF21" s="55"/>
      <c r="SZG21" s="55"/>
      <c r="SZH21" s="55"/>
      <c r="SZI21" s="55"/>
      <c r="SZJ21" s="55"/>
      <c r="SZK21" s="55"/>
      <c r="SZL21" s="55"/>
      <c r="SZM21" s="55"/>
      <c r="SZN21" s="55"/>
      <c r="SZO21" s="55"/>
      <c r="SZP21" s="55"/>
      <c r="SZQ21" s="55"/>
      <c r="SZR21" s="55"/>
      <c r="SZS21" s="55"/>
      <c r="SZT21" s="55"/>
      <c r="SZU21" s="55"/>
      <c r="SZV21" s="55"/>
      <c r="SZW21" s="55"/>
      <c r="SZX21" s="55"/>
      <c r="SZY21" s="55"/>
      <c r="SZZ21" s="55"/>
      <c r="TAA21" s="55"/>
      <c r="TAB21" s="55"/>
      <c r="TAC21" s="55"/>
      <c r="TAD21" s="55"/>
      <c r="TAE21" s="55"/>
      <c r="TAF21" s="55"/>
      <c r="TAG21" s="55"/>
      <c r="TAH21" s="55"/>
      <c r="TAI21" s="55"/>
      <c r="TAJ21" s="55"/>
      <c r="TAK21" s="55"/>
      <c r="TAL21" s="55"/>
      <c r="TAM21" s="55"/>
      <c r="TAN21" s="55"/>
      <c r="TAO21" s="55"/>
      <c r="TAP21" s="55"/>
      <c r="TAQ21" s="55"/>
      <c r="TAR21" s="55"/>
      <c r="TAS21" s="55"/>
      <c r="TAT21" s="55"/>
      <c r="TAU21" s="55"/>
      <c r="TAV21" s="55"/>
      <c r="TAW21" s="55"/>
      <c r="TAX21" s="55"/>
      <c r="TAY21" s="55"/>
      <c r="TAZ21" s="55"/>
      <c r="TBA21" s="55"/>
      <c r="TBB21" s="55"/>
      <c r="TBC21" s="55"/>
      <c r="TBD21" s="55"/>
      <c r="TBE21" s="55"/>
      <c r="TBF21" s="55"/>
      <c r="TBG21" s="55"/>
      <c r="TBH21" s="55"/>
      <c r="TBI21" s="55"/>
      <c r="TBJ21" s="55"/>
      <c r="TBK21" s="55"/>
      <c r="TBL21" s="55"/>
      <c r="TBM21" s="55"/>
      <c r="TBN21" s="55"/>
      <c r="TBO21" s="55"/>
      <c r="TBP21" s="55"/>
      <c r="TBQ21" s="55"/>
      <c r="TBR21" s="55"/>
      <c r="TBS21" s="55"/>
      <c r="TBT21" s="55"/>
      <c r="TBU21" s="55"/>
      <c r="TBV21" s="55"/>
      <c r="TBW21" s="55"/>
      <c r="TBX21" s="55"/>
      <c r="TBY21" s="55"/>
      <c r="TBZ21" s="55"/>
      <c r="TCA21" s="55"/>
      <c r="TCB21" s="55"/>
      <c r="TCC21" s="55"/>
      <c r="TCD21" s="55"/>
      <c r="TCE21" s="55"/>
      <c r="TCF21" s="55"/>
      <c r="TCG21" s="55"/>
      <c r="TCH21" s="55"/>
      <c r="TCI21" s="55"/>
      <c r="TCJ21" s="55"/>
      <c r="TCK21" s="55"/>
      <c r="TCL21" s="55"/>
      <c r="TCM21" s="55"/>
      <c r="TCN21" s="55"/>
      <c r="TCO21" s="55"/>
      <c r="TCP21" s="55"/>
      <c r="TCQ21" s="55"/>
      <c r="TCR21" s="55"/>
      <c r="TCS21" s="55"/>
      <c r="TCT21" s="55"/>
      <c r="TCU21" s="55"/>
      <c r="TCV21" s="55"/>
      <c r="TCW21" s="55"/>
      <c r="TCX21" s="55"/>
      <c r="TCY21" s="55"/>
      <c r="TCZ21" s="55"/>
      <c r="TDA21" s="55"/>
      <c r="TDB21" s="55"/>
      <c r="TDC21" s="55"/>
      <c r="TDD21" s="55"/>
      <c r="TDE21" s="55"/>
      <c r="TDF21" s="55"/>
      <c r="TDG21" s="55"/>
      <c r="TDH21" s="55"/>
      <c r="TDI21" s="55"/>
      <c r="TDJ21" s="55"/>
      <c r="TDK21" s="55"/>
      <c r="TDL21" s="55"/>
      <c r="TDM21" s="55"/>
      <c r="TDN21" s="55"/>
      <c r="TDO21" s="55"/>
      <c r="TDP21" s="55"/>
      <c r="TDQ21" s="55"/>
      <c r="TDR21" s="55"/>
      <c r="TDS21" s="55"/>
      <c r="TDT21" s="55"/>
      <c r="TDU21" s="55"/>
      <c r="TDV21" s="55"/>
      <c r="TDW21" s="55"/>
      <c r="TDX21" s="55"/>
      <c r="TDY21" s="55"/>
      <c r="TDZ21" s="55"/>
      <c r="TEA21" s="55"/>
      <c r="TEB21" s="55"/>
      <c r="TEC21" s="55"/>
      <c r="TED21" s="55"/>
      <c r="TEE21" s="55"/>
      <c r="TEF21" s="55"/>
      <c r="TEG21" s="55"/>
      <c r="TEH21" s="55"/>
      <c r="TEI21" s="55"/>
      <c r="TEJ21" s="55"/>
      <c r="TEK21" s="55"/>
      <c r="TEL21" s="55"/>
      <c r="TEM21" s="55"/>
      <c r="TEN21" s="55"/>
      <c r="TEO21" s="55"/>
      <c r="TEP21" s="55"/>
      <c r="TEQ21" s="55"/>
      <c r="TER21" s="55"/>
      <c r="TES21" s="55"/>
      <c r="TET21" s="55"/>
      <c r="TEU21" s="55"/>
      <c r="TEV21" s="55"/>
      <c r="TEW21" s="55"/>
      <c r="TEX21" s="55"/>
      <c r="TEY21" s="55"/>
      <c r="TEZ21" s="55"/>
      <c r="TFA21" s="55"/>
      <c r="TFB21" s="55"/>
      <c r="TFC21" s="55"/>
      <c r="TFD21" s="55"/>
      <c r="TFE21" s="55"/>
      <c r="TFF21" s="55"/>
      <c r="TFG21" s="55"/>
      <c r="TFH21" s="55"/>
      <c r="TFI21" s="55"/>
      <c r="TFJ21" s="55"/>
      <c r="TFK21" s="55"/>
      <c r="TFL21" s="55"/>
      <c r="TFM21" s="55"/>
      <c r="TFN21" s="55"/>
      <c r="TFO21" s="55"/>
      <c r="TFP21" s="55"/>
      <c r="TFQ21" s="55"/>
      <c r="TFR21" s="55"/>
      <c r="TFS21" s="55"/>
      <c r="TFT21" s="55"/>
      <c r="TFU21" s="55"/>
      <c r="TFV21" s="55"/>
      <c r="TFW21" s="55"/>
      <c r="TFX21" s="55"/>
      <c r="TFY21" s="55"/>
      <c r="TFZ21" s="55"/>
      <c r="TGA21" s="55"/>
      <c r="TGB21" s="55"/>
      <c r="TGC21" s="55"/>
      <c r="TGD21" s="55"/>
      <c r="TGE21" s="55"/>
      <c r="TGF21" s="55"/>
      <c r="TGG21" s="55"/>
      <c r="TGH21" s="55"/>
      <c r="TGI21" s="55"/>
      <c r="TGJ21" s="55"/>
      <c r="TGK21" s="55"/>
      <c r="TGL21" s="55"/>
      <c r="TGM21" s="55"/>
      <c r="TGN21" s="55"/>
      <c r="TGO21" s="55"/>
      <c r="TGP21" s="55"/>
      <c r="TGQ21" s="55"/>
      <c r="TGR21" s="55"/>
      <c r="TGS21" s="55"/>
      <c r="TGT21" s="55"/>
      <c r="TGU21" s="55"/>
      <c r="TGV21" s="55"/>
      <c r="TGW21" s="55"/>
      <c r="TGX21" s="55"/>
      <c r="TGY21" s="55"/>
      <c r="TGZ21" s="55"/>
      <c r="THA21" s="55"/>
      <c r="THB21" s="55"/>
      <c r="THC21" s="55"/>
      <c r="THD21" s="55"/>
      <c r="THE21" s="55"/>
      <c r="THF21" s="55"/>
      <c r="THG21" s="55"/>
      <c r="THH21" s="55"/>
      <c r="THI21" s="55"/>
      <c r="THJ21" s="55"/>
      <c r="THK21" s="55"/>
      <c r="THL21" s="55"/>
      <c r="THM21" s="55"/>
      <c r="THN21" s="55"/>
      <c r="THO21" s="55"/>
      <c r="THP21" s="55"/>
      <c r="THQ21" s="55"/>
      <c r="THR21" s="55"/>
      <c r="THS21" s="55"/>
      <c r="THT21" s="55"/>
      <c r="THU21" s="55"/>
      <c r="THV21" s="55"/>
      <c r="THW21" s="55"/>
      <c r="THX21" s="55"/>
      <c r="THY21" s="55"/>
      <c r="THZ21" s="55"/>
      <c r="TIA21" s="55"/>
      <c r="TIB21" s="55"/>
      <c r="TIC21" s="55"/>
      <c r="TID21" s="55"/>
      <c r="TIE21" s="55"/>
      <c r="TIF21" s="55"/>
      <c r="TIG21" s="55"/>
      <c r="TIH21" s="55"/>
      <c r="TII21" s="55"/>
      <c r="TIJ21" s="55"/>
      <c r="TIK21" s="55"/>
      <c r="TIL21" s="55"/>
      <c r="TIM21" s="55"/>
      <c r="TIN21" s="55"/>
      <c r="TIO21" s="55"/>
      <c r="TIP21" s="55"/>
      <c r="TIQ21" s="55"/>
      <c r="TIR21" s="55"/>
      <c r="TIS21" s="55"/>
      <c r="TIT21" s="55"/>
      <c r="TIU21" s="55"/>
      <c r="TIV21" s="55"/>
      <c r="TIW21" s="55"/>
      <c r="TIX21" s="55"/>
      <c r="TIY21" s="55"/>
      <c r="TIZ21" s="55"/>
      <c r="TJA21" s="55"/>
      <c r="TJB21" s="55"/>
      <c r="TJC21" s="55"/>
      <c r="TJD21" s="55"/>
      <c r="TJE21" s="55"/>
      <c r="TJF21" s="55"/>
      <c r="TJG21" s="55"/>
      <c r="TJH21" s="55"/>
      <c r="TJI21" s="55"/>
      <c r="TJJ21" s="55"/>
      <c r="TJK21" s="55"/>
      <c r="TJL21" s="55"/>
      <c r="TJM21" s="55"/>
      <c r="TJN21" s="55"/>
      <c r="TJO21" s="55"/>
      <c r="TJP21" s="55"/>
      <c r="TJQ21" s="55"/>
      <c r="TJR21" s="55"/>
      <c r="TJS21" s="55"/>
      <c r="TJT21" s="55"/>
      <c r="TJU21" s="55"/>
      <c r="TJV21" s="55"/>
      <c r="TJW21" s="55"/>
      <c r="TJX21" s="55"/>
      <c r="TJY21" s="55"/>
      <c r="TJZ21" s="55"/>
      <c r="TKA21" s="55"/>
      <c r="TKB21" s="55"/>
      <c r="TKC21" s="55"/>
      <c r="TKD21" s="55"/>
      <c r="TKE21" s="55"/>
      <c r="TKF21" s="55"/>
      <c r="TKG21" s="55"/>
      <c r="TKH21" s="55"/>
      <c r="TKI21" s="55"/>
      <c r="TKJ21" s="55"/>
      <c r="TKK21" s="55"/>
      <c r="TKL21" s="55"/>
      <c r="TKM21" s="55"/>
      <c r="TKN21" s="55"/>
      <c r="TKO21" s="55"/>
      <c r="TKP21" s="55"/>
      <c r="TKQ21" s="55"/>
      <c r="TKR21" s="55"/>
      <c r="TKS21" s="55"/>
      <c r="TKT21" s="55"/>
      <c r="TKU21" s="55"/>
      <c r="TKV21" s="55"/>
      <c r="TKW21" s="55"/>
      <c r="TKX21" s="55"/>
      <c r="TKY21" s="55"/>
      <c r="TKZ21" s="55"/>
      <c r="TLA21" s="55"/>
      <c r="TLB21" s="55"/>
      <c r="TLC21" s="55"/>
      <c r="TLD21" s="55"/>
      <c r="TLE21" s="55"/>
      <c r="TLF21" s="55"/>
      <c r="TLG21" s="55"/>
      <c r="TLH21" s="55"/>
      <c r="TLI21" s="55"/>
      <c r="TLJ21" s="55"/>
      <c r="TLK21" s="55"/>
      <c r="TLL21" s="55"/>
      <c r="TLM21" s="55"/>
      <c r="TLN21" s="55"/>
      <c r="TLO21" s="55"/>
      <c r="TLP21" s="55"/>
      <c r="TLQ21" s="55"/>
      <c r="TLR21" s="55"/>
      <c r="TLS21" s="55"/>
      <c r="TLT21" s="55"/>
      <c r="TLU21" s="55"/>
      <c r="TLV21" s="55"/>
      <c r="TLW21" s="55"/>
      <c r="TLX21" s="55"/>
      <c r="TLY21" s="55"/>
      <c r="TLZ21" s="55"/>
      <c r="TMA21" s="55"/>
      <c r="TMB21" s="55"/>
      <c r="TMC21" s="55"/>
      <c r="TMD21" s="55"/>
      <c r="TME21" s="55"/>
      <c r="TMF21" s="55"/>
      <c r="TMG21" s="55"/>
      <c r="TMH21" s="55"/>
      <c r="TMI21" s="55"/>
      <c r="TMJ21" s="55"/>
      <c r="TMK21" s="55"/>
      <c r="TML21" s="55"/>
      <c r="TMM21" s="55"/>
      <c r="TMN21" s="55"/>
      <c r="TMO21" s="55"/>
      <c r="TMP21" s="55"/>
      <c r="TMQ21" s="55"/>
      <c r="TMR21" s="55"/>
      <c r="TMS21" s="55"/>
      <c r="TMT21" s="55"/>
      <c r="TMU21" s="55"/>
      <c r="TMV21" s="55"/>
      <c r="TMW21" s="55"/>
      <c r="TMX21" s="55"/>
      <c r="TMY21" s="55"/>
      <c r="TMZ21" s="55"/>
      <c r="TNA21" s="55"/>
      <c r="TNB21" s="55"/>
      <c r="TNC21" s="55"/>
      <c r="TND21" s="55"/>
      <c r="TNE21" s="55"/>
      <c r="TNF21" s="55"/>
      <c r="TNG21" s="55"/>
      <c r="TNH21" s="55"/>
      <c r="TNI21" s="55"/>
      <c r="TNJ21" s="55"/>
      <c r="TNK21" s="55"/>
      <c r="TNL21" s="55"/>
      <c r="TNM21" s="55"/>
      <c r="TNN21" s="55"/>
      <c r="TNO21" s="55"/>
      <c r="TNP21" s="55"/>
      <c r="TNQ21" s="55"/>
      <c r="TNR21" s="55"/>
      <c r="TNS21" s="55"/>
      <c r="TNT21" s="55"/>
      <c r="TNU21" s="55"/>
      <c r="TNV21" s="55"/>
      <c r="TNW21" s="55"/>
      <c r="TNX21" s="55"/>
      <c r="TNY21" s="55"/>
      <c r="TNZ21" s="55"/>
      <c r="TOA21" s="55"/>
      <c r="TOB21" s="55"/>
      <c r="TOC21" s="55"/>
      <c r="TOD21" s="55"/>
      <c r="TOE21" s="55"/>
      <c r="TOF21" s="55"/>
      <c r="TOG21" s="55"/>
      <c r="TOH21" s="55"/>
      <c r="TOI21" s="55"/>
      <c r="TOJ21" s="55"/>
      <c r="TOK21" s="55"/>
      <c r="TOL21" s="55"/>
      <c r="TOM21" s="55"/>
      <c r="TON21" s="55"/>
      <c r="TOO21" s="55"/>
      <c r="TOP21" s="55"/>
      <c r="TOQ21" s="55"/>
      <c r="TOR21" s="55"/>
      <c r="TOS21" s="55"/>
      <c r="TOT21" s="55"/>
      <c r="TOU21" s="55"/>
      <c r="TOV21" s="55"/>
      <c r="TOW21" s="55"/>
      <c r="TOX21" s="55"/>
      <c r="TOY21" s="55"/>
      <c r="TOZ21" s="55"/>
      <c r="TPA21" s="55"/>
      <c r="TPB21" s="55"/>
      <c r="TPC21" s="55"/>
      <c r="TPD21" s="55"/>
      <c r="TPE21" s="55"/>
      <c r="TPF21" s="55"/>
      <c r="TPG21" s="55"/>
      <c r="TPH21" s="55"/>
      <c r="TPI21" s="55"/>
      <c r="TPJ21" s="55"/>
      <c r="TPK21" s="55"/>
      <c r="TPL21" s="55"/>
      <c r="TPM21" s="55"/>
      <c r="TPN21" s="55"/>
      <c r="TPO21" s="55"/>
      <c r="TPP21" s="55"/>
      <c r="TPQ21" s="55"/>
      <c r="TPR21" s="55"/>
      <c r="TPS21" s="55"/>
      <c r="TPT21" s="55"/>
      <c r="TPU21" s="55"/>
      <c r="TPV21" s="55"/>
      <c r="TPW21" s="55"/>
      <c r="TPX21" s="55"/>
      <c r="TPY21" s="55"/>
      <c r="TPZ21" s="55"/>
      <c r="TQA21" s="55"/>
      <c r="TQB21" s="55"/>
      <c r="TQC21" s="55"/>
      <c r="TQD21" s="55"/>
      <c r="TQE21" s="55"/>
      <c r="TQF21" s="55"/>
      <c r="TQG21" s="55"/>
      <c r="TQH21" s="55"/>
      <c r="TQI21" s="55"/>
      <c r="TQJ21" s="55"/>
      <c r="TQK21" s="55"/>
      <c r="TQL21" s="55"/>
      <c r="TQM21" s="55"/>
      <c r="TQN21" s="55"/>
      <c r="TQO21" s="55"/>
      <c r="TQP21" s="55"/>
      <c r="TQQ21" s="55"/>
      <c r="TQR21" s="55"/>
      <c r="TQS21" s="55"/>
      <c r="TQT21" s="55"/>
      <c r="TQU21" s="55"/>
      <c r="TQV21" s="55"/>
      <c r="TQW21" s="55"/>
      <c r="TQX21" s="55"/>
      <c r="TQY21" s="55"/>
      <c r="TQZ21" s="55"/>
      <c r="TRA21" s="55"/>
      <c r="TRB21" s="55"/>
      <c r="TRC21" s="55"/>
      <c r="TRD21" s="55"/>
      <c r="TRE21" s="55"/>
      <c r="TRF21" s="55"/>
      <c r="TRG21" s="55"/>
      <c r="TRH21" s="55"/>
      <c r="TRI21" s="55"/>
      <c r="TRJ21" s="55"/>
      <c r="TRK21" s="55"/>
      <c r="TRL21" s="55"/>
      <c r="TRM21" s="55"/>
      <c r="TRN21" s="55"/>
      <c r="TRO21" s="55"/>
      <c r="TRP21" s="55"/>
      <c r="TRQ21" s="55"/>
      <c r="TRR21" s="55"/>
      <c r="TRS21" s="55"/>
      <c r="TRT21" s="55"/>
      <c r="TRU21" s="55"/>
      <c r="TRV21" s="55"/>
      <c r="TRW21" s="55"/>
      <c r="TRX21" s="55"/>
      <c r="TRY21" s="55"/>
      <c r="TRZ21" s="55"/>
      <c r="TSA21" s="55"/>
      <c r="TSB21" s="55"/>
      <c r="TSC21" s="55"/>
      <c r="TSD21" s="55"/>
      <c r="TSE21" s="55"/>
      <c r="TSF21" s="55"/>
      <c r="TSG21" s="55"/>
      <c r="TSH21" s="55"/>
      <c r="TSI21" s="55"/>
      <c r="TSJ21" s="55"/>
      <c r="TSK21" s="55"/>
      <c r="TSL21" s="55"/>
      <c r="TSM21" s="55"/>
      <c r="TSN21" s="55"/>
      <c r="TSO21" s="55"/>
      <c r="TSP21" s="55"/>
      <c r="TSQ21" s="55"/>
      <c r="TSR21" s="55"/>
      <c r="TSS21" s="55"/>
      <c r="TST21" s="55"/>
      <c r="TSU21" s="55"/>
      <c r="TSV21" s="55"/>
      <c r="TSW21" s="55"/>
      <c r="TSX21" s="55"/>
      <c r="TSY21" s="55"/>
      <c r="TSZ21" s="55"/>
      <c r="TTA21" s="55"/>
      <c r="TTB21" s="55"/>
      <c r="TTC21" s="55"/>
      <c r="TTD21" s="55"/>
      <c r="TTE21" s="55"/>
      <c r="TTF21" s="55"/>
      <c r="TTG21" s="55"/>
      <c r="TTH21" s="55"/>
      <c r="TTI21" s="55"/>
      <c r="TTJ21" s="55"/>
      <c r="TTK21" s="55"/>
      <c r="TTL21" s="55"/>
      <c r="TTM21" s="55"/>
      <c r="TTN21" s="55"/>
      <c r="TTO21" s="55"/>
      <c r="TTP21" s="55"/>
      <c r="TTQ21" s="55"/>
      <c r="TTR21" s="55"/>
      <c r="TTS21" s="55"/>
      <c r="TTT21" s="55"/>
      <c r="TTU21" s="55"/>
      <c r="TTV21" s="55"/>
      <c r="TTW21" s="55"/>
      <c r="TTX21" s="55"/>
      <c r="TTY21" s="55"/>
      <c r="TTZ21" s="55"/>
      <c r="TUA21" s="55"/>
      <c r="TUB21" s="55"/>
      <c r="TUC21" s="55"/>
      <c r="TUD21" s="55"/>
      <c r="TUE21" s="55"/>
      <c r="TUF21" s="55"/>
      <c r="TUG21" s="55"/>
      <c r="TUH21" s="55"/>
      <c r="TUI21" s="55"/>
      <c r="TUJ21" s="55"/>
      <c r="TUK21" s="55"/>
      <c r="TUL21" s="55"/>
      <c r="TUM21" s="55"/>
      <c r="TUN21" s="55"/>
      <c r="TUO21" s="55"/>
      <c r="TUP21" s="55"/>
      <c r="TUQ21" s="55"/>
      <c r="TUR21" s="55"/>
      <c r="TUS21" s="55"/>
      <c r="TUT21" s="55"/>
      <c r="TUU21" s="55"/>
      <c r="TUV21" s="55"/>
      <c r="TUW21" s="55"/>
      <c r="TUX21" s="55"/>
      <c r="TUY21" s="55"/>
      <c r="TUZ21" s="55"/>
      <c r="TVA21" s="55"/>
      <c r="TVB21" s="55"/>
      <c r="TVC21" s="55"/>
      <c r="TVD21" s="55"/>
      <c r="TVE21" s="55"/>
      <c r="TVF21" s="55"/>
      <c r="TVG21" s="55"/>
      <c r="TVH21" s="55"/>
      <c r="TVI21" s="55"/>
      <c r="TVJ21" s="55"/>
      <c r="TVK21" s="55"/>
      <c r="TVL21" s="55"/>
      <c r="TVM21" s="55"/>
      <c r="TVN21" s="55"/>
      <c r="TVO21" s="55"/>
      <c r="TVP21" s="55"/>
      <c r="TVQ21" s="55"/>
      <c r="TVR21" s="55"/>
      <c r="TVS21" s="55"/>
      <c r="TVT21" s="55"/>
      <c r="TVU21" s="55"/>
      <c r="TVV21" s="55"/>
      <c r="TVW21" s="55"/>
      <c r="TVX21" s="55"/>
      <c r="TVY21" s="55"/>
      <c r="TVZ21" s="55"/>
      <c r="TWA21" s="55"/>
      <c r="TWB21" s="55"/>
      <c r="TWC21" s="55"/>
      <c r="TWD21" s="55"/>
      <c r="TWE21" s="55"/>
      <c r="TWF21" s="55"/>
      <c r="TWG21" s="55"/>
      <c r="TWH21" s="55"/>
      <c r="TWI21" s="55"/>
      <c r="TWJ21" s="55"/>
      <c r="TWK21" s="55"/>
      <c r="TWL21" s="55"/>
      <c r="TWM21" s="55"/>
      <c r="TWN21" s="55"/>
      <c r="TWO21" s="55"/>
      <c r="TWP21" s="55"/>
      <c r="TWQ21" s="55"/>
      <c r="TWR21" s="55"/>
      <c r="TWS21" s="55"/>
      <c r="TWT21" s="55"/>
      <c r="TWU21" s="55"/>
      <c r="TWV21" s="55"/>
      <c r="TWW21" s="55"/>
      <c r="TWX21" s="55"/>
      <c r="TWY21" s="55"/>
      <c r="TWZ21" s="55"/>
      <c r="TXA21" s="55"/>
      <c r="TXB21" s="55"/>
      <c r="TXC21" s="55"/>
      <c r="TXD21" s="55"/>
      <c r="TXE21" s="55"/>
      <c r="TXF21" s="55"/>
      <c r="TXG21" s="55"/>
      <c r="TXH21" s="55"/>
      <c r="TXI21" s="55"/>
      <c r="TXJ21" s="55"/>
      <c r="TXK21" s="55"/>
      <c r="TXL21" s="55"/>
      <c r="TXM21" s="55"/>
      <c r="TXN21" s="55"/>
      <c r="TXO21" s="55"/>
      <c r="TXP21" s="55"/>
      <c r="TXQ21" s="55"/>
      <c r="TXR21" s="55"/>
      <c r="TXS21" s="55"/>
      <c r="TXT21" s="55"/>
      <c r="TXU21" s="55"/>
      <c r="TXV21" s="55"/>
      <c r="TXW21" s="55"/>
      <c r="TXX21" s="55"/>
      <c r="TXY21" s="55"/>
      <c r="TXZ21" s="55"/>
      <c r="TYA21" s="55"/>
      <c r="TYB21" s="55"/>
      <c r="TYC21" s="55"/>
      <c r="TYD21" s="55"/>
      <c r="TYE21" s="55"/>
      <c r="TYF21" s="55"/>
      <c r="TYG21" s="55"/>
      <c r="TYH21" s="55"/>
      <c r="TYI21" s="55"/>
      <c r="TYJ21" s="55"/>
      <c r="TYK21" s="55"/>
      <c r="TYL21" s="55"/>
      <c r="TYM21" s="55"/>
      <c r="TYN21" s="55"/>
      <c r="TYO21" s="55"/>
      <c r="TYP21" s="55"/>
      <c r="TYQ21" s="55"/>
      <c r="TYR21" s="55"/>
      <c r="TYS21" s="55"/>
      <c r="TYT21" s="55"/>
      <c r="TYU21" s="55"/>
      <c r="TYV21" s="55"/>
      <c r="TYW21" s="55"/>
      <c r="TYX21" s="55"/>
      <c r="TYY21" s="55"/>
      <c r="TYZ21" s="55"/>
      <c r="TZA21" s="55"/>
      <c r="TZB21" s="55"/>
      <c r="TZC21" s="55"/>
      <c r="TZD21" s="55"/>
      <c r="TZE21" s="55"/>
      <c r="TZF21" s="55"/>
      <c r="TZG21" s="55"/>
      <c r="TZH21" s="55"/>
      <c r="TZI21" s="55"/>
      <c r="TZJ21" s="55"/>
      <c r="TZK21" s="55"/>
      <c r="TZL21" s="55"/>
      <c r="TZM21" s="55"/>
      <c r="TZN21" s="55"/>
      <c r="TZO21" s="55"/>
      <c r="TZP21" s="55"/>
      <c r="TZQ21" s="55"/>
      <c r="TZR21" s="55"/>
      <c r="TZS21" s="55"/>
      <c r="TZT21" s="55"/>
      <c r="TZU21" s="55"/>
      <c r="TZV21" s="55"/>
      <c r="TZW21" s="55"/>
      <c r="TZX21" s="55"/>
      <c r="TZY21" s="55"/>
      <c r="TZZ21" s="55"/>
      <c r="UAA21" s="55"/>
      <c r="UAB21" s="55"/>
      <c r="UAC21" s="55"/>
      <c r="UAD21" s="55"/>
      <c r="UAE21" s="55"/>
      <c r="UAF21" s="55"/>
      <c r="UAG21" s="55"/>
      <c r="UAH21" s="55"/>
      <c r="UAI21" s="55"/>
      <c r="UAJ21" s="55"/>
      <c r="UAK21" s="55"/>
      <c r="UAL21" s="55"/>
      <c r="UAM21" s="55"/>
      <c r="UAN21" s="55"/>
      <c r="UAO21" s="55"/>
      <c r="UAP21" s="55"/>
      <c r="UAQ21" s="55"/>
      <c r="UAR21" s="55"/>
      <c r="UAS21" s="55"/>
      <c r="UAT21" s="55"/>
      <c r="UAU21" s="55"/>
      <c r="UAV21" s="55"/>
      <c r="UAW21" s="55"/>
      <c r="UAX21" s="55"/>
      <c r="UAY21" s="55"/>
      <c r="UAZ21" s="55"/>
      <c r="UBA21" s="55"/>
      <c r="UBB21" s="55"/>
      <c r="UBC21" s="55"/>
      <c r="UBD21" s="55"/>
      <c r="UBE21" s="55"/>
      <c r="UBF21" s="55"/>
      <c r="UBG21" s="55"/>
      <c r="UBH21" s="55"/>
      <c r="UBI21" s="55"/>
      <c r="UBJ21" s="55"/>
      <c r="UBK21" s="55"/>
      <c r="UBL21" s="55"/>
      <c r="UBM21" s="55"/>
      <c r="UBN21" s="55"/>
      <c r="UBO21" s="55"/>
      <c r="UBP21" s="55"/>
      <c r="UBQ21" s="55"/>
      <c r="UBR21" s="55"/>
      <c r="UBS21" s="55"/>
      <c r="UBT21" s="55"/>
      <c r="UBU21" s="55"/>
      <c r="UBV21" s="55"/>
      <c r="UBW21" s="55"/>
      <c r="UBX21" s="55"/>
      <c r="UBY21" s="55"/>
      <c r="UBZ21" s="55"/>
      <c r="UCA21" s="55"/>
      <c r="UCB21" s="55"/>
      <c r="UCC21" s="55"/>
      <c r="UCD21" s="55"/>
      <c r="UCE21" s="55"/>
      <c r="UCF21" s="55"/>
      <c r="UCG21" s="55"/>
      <c r="UCH21" s="55"/>
      <c r="UCI21" s="55"/>
      <c r="UCJ21" s="55"/>
      <c r="UCK21" s="55"/>
      <c r="UCL21" s="55"/>
      <c r="UCM21" s="55"/>
      <c r="UCN21" s="55"/>
      <c r="UCO21" s="55"/>
      <c r="UCP21" s="55"/>
      <c r="UCQ21" s="55"/>
      <c r="UCR21" s="55"/>
      <c r="UCS21" s="55"/>
      <c r="UCT21" s="55"/>
      <c r="UCU21" s="55"/>
      <c r="UCV21" s="55"/>
      <c r="UCW21" s="55"/>
      <c r="UCX21" s="55"/>
      <c r="UCY21" s="55"/>
      <c r="UCZ21" s="55"/>
      <c r="UDA21" s="55"/>
      <c r="UDB21" s="55"/>
      <c r="UDC21" s="55"/>
      <c r="UDD21" s="55"/>
      <c r="UDE21" s="55"/>
      <c r="UDF21" s="55"/>
      <c r="UDG21" s="55"/>
      <c r="UDH21" s="55"/>
      <c r="UDI21" s="55"/>
      <c r="UDJ21" s="55"/>
      <c r="UDK21" s="55"/>
      <c r="UDL21" s="55"/>
      <c r="UDM21" s="55"/>
      <c r="UDN21" s="55"/>
      <c r="UDO21" s="55"/>
      <c r="UDP21" s="55"/>
      <c r="UDQ21" s="55"/>
      <c r="UDR21" s="55"/>
      <c r="UDS21" s="55"/>
      <c r="UDT21" s="55"/>
      <c r="UDU21" s="55"/>
      <c r="UDV21" s="55"/>
      <c r="UDW21" s="55"/>
      <c r="UDX21" s="55"/>
      <c r="UDY21" s="55"/>
      <c r="UDZ21" s="55"/>
      <c r="UEA21" s="55"/>
      <c r="UEB21" s="55"/>
      <c r="UEC21" s="55"/>
      <c r="UED21" s="55"/>
      <c r="UEE21" s="55"/>
      <c r="UEF21" s="55"/>
      <c r="UEG21" s="55"/>
      <c r="UEH21" s="55"/>
      <c r="UEI21" s="55"/>
      <c r="UEJ21" s="55"/>
      <c r="UEK21" s="55"/>
      <c r="UEL21" s="55"/>
      <c r="UEM21" s="55"/>
      <c r="UEN21" s="55"/>
      <c r="UEO21" s="55"/>
      <c r="UEP21" s="55"/>
      <c r="UEQ21" s="55"/>
      <c r="UER21" s="55"/>
      <c r="UES21" s="55"/>
      <c r="UET21" s="55"/>
      <c r="UEU21" s="55"/>
      <c r="UEV21" s="55"/>
      <c r="UEW21" s="55"/>
      <c r="UEX21" s="55"/>
      <c r="UEY21" s="55"/>
      <c r="UEZ21" s="55"/>
      <c r="UFA21" s="55"/>
      <c r="UFB21" s="55"/>
      <c r="UFC21" s="55"/>
      <c r="UFD21" s="55"/>
      <c r="UFE21" s="55"/>
      <c r="UFF21" s="55"/>
      <c r="UFG21" s="55"/>
      <c r="UFH21" s="55"/>
      <c r="UFI21" s="55"/>
      <c r="UFJ21" s="55"/>
      <c r="UFK21" s="55"/>
      <c r="UFL21" s="55"/>
      <c r="UFM21" s="55"/>
      <c r="UFN21" s="55"/>
      <c r="UFO21" s="55"/>
      <c r="UFP21" s="55"/>
      <c r="UFQ21" s="55"/>
      <c r="UFR21" s="55"/>
      <c r="UFS21" s="55"/>
      <c r="UFT21" s="55"/>
      <c r="UFU21" s="55"/>
      <c r="UFV21" s="55"/>
      <c r="UFW21" s="55"/>
      <c r="UFX21" s="55"/>
      <c r="UFY21" s="55"/>
      <c r="UFZ21" s="55"/>
      <c r="UGA21" s="55"/>
      <c r="UGB21" s="55"/>
      <c r="UGC21" s="55"/>
      <c r="UGD21" s="55"/>
      <c r="UGE21" s="55"/>
      <c r="UGF21" s="55"/>
      <c r="UGG21" s="55"/>
      <c r="UGH21" s="55"/>
      <c r="UGI21" s="55"/>
      <c r="UGJ21" s="55"/>
      <c r="UGK21" s="55"/>
      <c r="UGL21" s="55"/>
      <c r="UGM21" s="55"/>
      <c r="UGN21" s="55"/>
      <c r="UGO21" s="55"/>
      <c r="UGP21" s="55"/>
      <c r="UGQ21" s="55"/>
      <c r="UGR21" s="55"/>
      <c r="UGS21" s="55"/>
      <c r="UGT21" s="55"/>
      <c r="UGU21" s="55"/>
      <c r="UGV21" s="55"/>
      <c r="UGW21" s="55"/>
      <c r="UGX21" s="55"/>
      <c r="UGY21" s="55"/>
      <c r="UGZ21" s="55"/>
      <c r="UHA21" s="55"/>
      <c r="UHB21" s="55"/>
      <c r="UHC21" s="55"/>
      <c r="UHD21" s="55"/>
      <c r="UHE21" s="55"/>
      <c r="UHF21" s="55"/>
      <c r="UHG21" s="55"/>
      <c r="UHH21" s="55"/>
      <c r="UHI21" s="55"/>
      <c r="UHJ21" s="55"/>
      <c r="UHK21" s="55"/>
      <c r="UHL21" s="55"/>
      <c r="UHM21" s="55"/>
      <c r="UHN21" s="55"/>
      <c r="UHO21" s="55"/>
      <c r="UHP21" s="55"/>
      <c r="UHQ21" s="55"/>
      <c r="UHR21" s="55"/>
      <c r="UHS21" s="55"/>
      <c r="UHT21" s="55"/>
      <c r="UHU21" s="55"/>
      <c r="UHV21" s="55"/>
      <c r="UHW21" s="55"/>
      <c r="UHX21" s="55"/>
      <c r="UHY21" s="55"/>
      <c r="UHZ21" s="55"/>
      <c r="UIA21" s="55"/>
      <c r="UIB21" s="55"/>
      <c r="UIC21" s="55"/>
      <c r="UID21" s="55"/>
      <c r="UIE21" s="55"/>
      <c r="UIF21" s="55"/>
      <c r="UIG21" s="55"/>
      <c r="UIH21" s="55"/>
      <c r="UII21" s="55"/>
      <c r="UIJ21" s="55"/>
      <c r="UIK21" s="55"/>
      <c r="UIL21" s="55"/>
      <c r="UIM21" s="55"/>
      <c r="UIN21" s="55"/>
      <c r="UIO21" s="55"/>
      <c r="UIP21" s="55"/>
      <c r="UIQ21" s="55"/>
      <c r="UIR21" s="55"/>
      <c r="UIS21" s="55"/>
      <c r="UIT21" s="55"/>
      <c r="UIU21" s="55"/>
      <c r="UIV21" s="55"/>
      <c r="UIW21" s="55"/>
      <c r="UIX21" s="55"/>
      <c r="UIY21" s="55"/>
      <c r="UIZ21" s="55"/>
      <c r="UJA21" s="55"/>
      <c r="UJB21" s="55"/>
      <c r="UJC21" s="55"/>
      <c r="UJD21" s="55"/>
      <c r="UJE21" s="55"/>
      <c r="UJF21" s="55"/>
      <c r="UJG21" s="55"/>
      <c r="UJH21" s="55"/>
      <c r="UJI21" s="55"/>
      <c r="UJJ21" s="55"/>
      <c r="UJK21" s="55"/>
      <c r="UJL21" s="55"/>
      <c r="UJM21" s="55"/>
      <c r="UJN21" s="55"/>
      <c r="UJO21" s="55"/>
      <c r="UJP21" s="55"/>
      <c r="UJQ21" s="55"/>
      <c r="UJR21" s="55"/>
      <c r="UJS21" s="55"/>
      <c r="UJT21" s="55"/>
      <c r="UJU21" s="55"/>
      <c r="UJV21" s="55"/>
      <c r="UJW21" s="55"/>
      <c r="UJX21" s="55"/>
      <c r="UJY21" s="55"/>
      <c r="UJZ21" s="55"/>
      <c r="UKA21" s="55"/>
      <c r="UKB21" s="55"/>
      <c r="UKC21" s="55"/>
      <c r="UKD21" s="55"/>
      <c r="UKE21" s="55"/>
      <c r="UKF21" s="55"/>
      <c r="UKG21" s="55"/>
      <c r="UKH21" s="55"/>
      <c r="UKI21" s="55"/>
      <c r="UKJ21" s="55"/>
      <c r="UKK21" s="55"/>
      <c r="UKL21" s="55"/>
      <c r="UKM21" s="55"/>
      <c r="UKN21" s="55"/>
      <c r="UKO21" s="55"/>
      <c r="UKP21" s="55"/>
      <c r="UKQ21" s="55"/>
      <c r="UKR21" s="55"/>
      <c r="UKS21" s="55"/>
      <c r="UKT21" s="55"/>
      <c r="UKU21" s="55"/>
      <c r="UKV21" s="55"/>
      <c r="UKW21" s="55"/>
      <c r="UKX21" s="55"/>
      <c r="UKY21" s="55"/>
      <c r="UKZ21" s="55"/>
      <c r="ULA21" s="55"/>
      <c r="ULB21" s="55"/>
      <c r="ULC21" s="55"/>
      <c r="ULD21" s="55"/>
      <c r="ULE21" s="55"/>
      <c r="ULF21" s="55"/>
      <c r="ULG21" s="55"/>
      <c r="ULH21" s="55"/>
      <c r="ULI21" s="55"/>
      <c r="ULJ21" s="55"/>
      <c r="ULK21" s="55"/>
      <c r="ULL21" s="55"/>
      <c r="ULM21" s="55"/>
      <c r="ULN21" s="55"/>
      <c r="ULO21" s="55"/>
      <c r="ULP21" s="55"/>
      <c r="ULQ21" s="55"/>
      <c r="ULR21" s="55"/>
      <c r="ULS21" s="55"/>
      <c r="ULT21" s="55"/>
      <c r="ULU21" s="55"/>
      <c r="ULV21" s="55"/>
      <c r="ULW21" s="55"/>
      <c r="ULX21" s="55"/>
      <c r="ULY21" s="55"/>
      <c r="ULZ21" s="55"/>
      <c r="UMA21" s="55"/>
      <c r="UMB21" s="55"/>
      <c r="UMC21" s="55"/>
      <c r="UMD21" s="55"/>
      <c r="UME21" s="55"/>
      <c r="UMF21" s="55"/>
      <c r="UMG21" s="55"/>
      <c r="UMH21" s="55"/>
      <c r="UMI21" s="55"/>
      <c r="UMJ21" s="55"/>
      <c r="UMK21" s="55"/>
      <c r="UML21" s="55"/>
      <c r="UMM21" s="55"/>
      <c r="UMN21" s="55"/>
      <c r="UMO21" s="55"/>
      <c r="UMP21" s="55"/>
      <c r="UMQ21" s="55"/>
      <c r="UMR21" s="55"/>
      <c r="UMS21" s="55"/>
      <c r="UMT21" s="55"/>
      <c r="UMU21" s="55"/>
      <c r="UMV21" s="55"/>
      <c r="UMW21" s="55"/>
      <c r="UMX21" s="55"/>
      <c r="UMY21" s="55"/>
      <c r="UMZ21" s="55"/>
      <c r="UNA21" s="55"/>
      <c r="UNB21" s="55"/>
      <c r="UNC21" s="55"/>
      <c r="UND21" s="55"/>
      <c r="UNE21" s="55"/>
      <c r="UNF21" s="55"/>
      <c r="UNG21" s="55"/>
      <c r="UNH21" s="55"/>
      <c r="UNI21" s="55"/>
      <c r="UNJ21" s="55"/>
      <c r="UNK21" s="55"/>
      <c r="UNL21" s="55"/>
      <c r="UNM21" s="55"/>
      <c r="UNN21" s="55"/>
      <c r="UNO21" s="55"/>
      <c r="UNP21" s="55"/>
      <c r="UNQ21" s="55"/>
      <c r="UNR21" s="55"/>
      <c r="UNS21" s="55"/>
      <c r="UNT21" s="55"/>
      <c r="UNU21" s="55"/>
      <c r="UNV21" s="55"/>
      <c r="UNW21" s="55"/>
      <c r="UNX21" s="55"/>
      <c r="UNY21" s="55"/>
      <c r="UNZ21" s="55"/>
      <c r="UOA21" s="55"/>
      <c r="UOB21" s="55"/>
      <c r="UOC21" s="55"/>
      <c r="UOD21" s="55"/>
      <c r="UOE21" s="55"/>
      <c r="UOF21" s="55"/>
      <c r="UOG21" s="55"/>
      <c r="UOH21" s="55"/>
      <c r="UOI21" s="55"/>
      <c r="UOJ21" s="55"/>
      <c r="UOK21" s="55"/>
      <c r="UOL21" s="55"/>
      <c r="UOM21" s="55"/>
      <c r="UON21" s="55"/>
      <c r="UOO21" s="55"/>
      <c r="UOP21" s="55"/>
      <c r="UOQ21" s="55"/>
      <c r="UOR21" s="55"/>
      <c r="UOS21" s="55"/>
      <c r="UOT21" s="55"/>
      <c r="UOU21" s="55"/>
      <c r="UOV21" s="55"/>
      <c r="UOW21" s="55"/>
      <c r="UOX21" s="55"/>
      <c r="UOY21" s="55"/>
      <c r="UOZ21" s="55"/>
      <c r="UPA21" s="55"/>
      <c r="UPB21" s="55"/>
      <c r="UPC21" s="55"/>
      <c r="UPD21" s="55"/>
      <c r="UPE21" s="55"/>
      <c r="UPF21" s="55"/>
      <c r="UPG21" s="55"/>
      <c r="UPH21" s="55"/>
      <c r="UPI21" s="55"/>
      <c r="UPJ21" s="55"/>
      <c r="UPK21" s="55"/>
      <c r="UPL21" s="55"/>
      <c r="UPM21" s="55"/>
      <c r="UPN21" s="55"/>
      <c r="UPO21" s="55"/>
      <c r="UPP21" s="55"/>
      <c r="UPQ21" s="55"/>
      <c r="UPR21" s="55"/>
      <c r="UPS21" s="55"/>
      <c r="UPT21" s="55"/>
      <c r="UPU21" s="55"/>
      <c r="UPV21" s="55"/>
      <c r="UPW21" s="55"/>
      <c r="UPX21" s="55"/>
      <c r="UPY21" s="55"/>
      <c r="UPZ21" s="55"/>
      <c r="UQA21" s="55"/>
      <c r="UQB21" s="55"/>
      <c r="UQC21" s="55"/>
      <c r="UQD21" s="55"/>
      <c r="UQE21" s="55"/>
      <c r="UQF21" s="55"/>
      <c r="UQG21" s="55"/>
      <c r="UQH21" s="55"/>
      <c r="UQI21" s="55"/>
      <c r="UQJ21" s="55"/>
      <c r="UQK21" s="55"/>
      <c r="UQL21" s="55"/>
      <c r="UQM21" s="55"/>
      <c r="UQN21" s="55"/>
      <c r="UQO21" s="55"/>
      <c r="UQP21" s="55"/>
      <c r="UQQ21" s="55"/>
      <c r="UQR21" s="55"/>
      <c r="UQS21" s="55"/>
      <c r="UQT21" s="55"/>
      <c r="UQU21" s="55"/>
      <c r="UQV21" s="55"/>
      <c r="UQW21" s="55"/>
      <c r="UQX21" s="55"/>
      <c r="UQY21" s="55"/>
      <c r="UQZ21" s="55"/>
      <c r="URA21" s="55"/>
      <c r="URB21" s="55"/>
      <c r="URC21" s="55"/>
      <c r="URD21" s="55"/>
      <c r="URE21" s="55"/>
      <c r="URF21" s="55"/>
      <c r="URG21" s="55"/>
      <c r="URH21" s="55"/>
      <c r="URI21" s="55"/>
      <c r="URJ21" s="55"/>
      <c r="URK21" s="55"/>
      <c r="URL21" s="55"/>
      <c r="URM21" s="55"/>
      <c r="URN21" s="55"/>
      <c r="URO21" s="55"/>
      <c r="URP21" s="55"/>
      <c r="URQ21" s="55"/>
      <c r="URR21" s="55"/>
      <c r="URS21" s="55"/>
      <c r="URT21" s="55"/>
      <c r="URU21" s="55"/>
      <c r="URV21" s="55"/>
      <c r="URW21" s="55"/>
      <c r="URX21" s="55"/>
      <c r="URY21" s="55"/>
      <c r="URZ21" s="55"/>
      <c r="USA21" s="55"/>
      <c r="USB21" s="55"/>
      <c r="USC21" s="55"/>
      <c r="USD21" s="55"/>
      <c r="USE21" s="55"/>
      <c r="USF21" s="55"/>
      <c r="USG21" s="55"/>
      <c r="USH21" s="55"/>
      <c r="USI21" s="55"/>
      <c r="USJ21" s="55"/>
      <c r="USK21" s="55"/>
      <c r="USL21" s="55"/>
      <c r="USM21" s="55"/>
      <c r="USN21" s="55"/>
      <c r="USO21" s="55"/>
      <c r="USP21" s="55"/>
      <c r="USQ21" s="55"/>
      <c r="USR21" s="55"/>
      <c r="USS21" s="55"/>
      <c r="UST21" s="55"/>
      <c r="USU21" s="55"/>
      <c r="USV21" s="55"/>
      <c r="USW21" s="55"/>
      <c r="USX21" s="55"/>
      <c r="USY21" s="55"/>
      <c r="USZ21" s="55"/>
      <c r="UTA21" s="55"/>
      <c r="UTB21" s="55"/>
      <c r="UTC21" s="55"/>
      <c r="UTD21" s="55"/>
      <c r="UTE21" s="55"/>
      <c r="UTF21" s="55"/>
      <c r="UTG21" s="55"/>
      <c r="UTH21" s="55"/>
      <c r="UTI21" s="55"/>
      <c r="UTJ21" s="55"/>
      <c r="UTK21" s="55"/>
      <c r="UTL21" s="55"/>
      <c r="UTM21" s="55"/>
      <c r="UTN21" s="55"/>
      <c r="UTO21" s="55"/>
      <c r="UTP21" s="55"/>
      <c r="UTQ21" s="55"/>
      <c r="UTR21" s="55"/>
      <c r="UTS21" s="55"/>
      <c r="UTT21" s="55"/>
      <c r="UTU21" s="55"/>
      <c r="UTV21" s="55"/>
      <c r="UTW21" s="55"/>
      <c r="UTX21" s="55"/>
      <c r="UTY21" s="55"/>
      <c r="UTZ21" s="55"/>
      <c r="UUA21" s="55"/>
      <c r="UUB21" s="55"/>
      <c r="UUC21" s="55"/>
      <c r="UUD21" s="55"/>
      <c r="UUE21" s="55"/>
      <c r="UUF21" s="55"/>
      <c r="UUG21" s="55"/>
      <c r="UUH21" s="55"/>
      <c r="UUI21" s="55"/>
      <c r="UUJ21" s="55"/>
      <c r="UUK21" s="55"/>
      <c r="UUL21" s="55"/>
      <c r="UUM21" s="55"/>
      <c r="UUN21" s="55"/>
      <c r="UUO21" s="55"/>
      <c r="UUP21" s="55"/>
      <c r="UUQ21" s="55"/>
      <c r="UUR21" s="55"/>
      <c r="UUS21" s="55"/>
      <c r="UUT21" s="55"/>
      <c r="UUU21" s="55"/>
      <c r="UUV21" s="55"/>
      <c r="UUW21" s="55"/>
      <c r="UUX21" s="55"/>
      <c r="UUY21" s="55"/>
      <c r="UUZ21" s="55"/>
      <c r="UVA21" s="55"/>
      <c r="UVB21" s="55"/>
      <c r="UVC21" s="55"/>
      <c r="UVD21" s="55"/>
      <c r="UVE21" s="55"/>
      <c r="UVF21" s="55"/>
      <c r="UVG21" s="55"/>
      <c r="UVH21" s="55"/>
      <c r="UVI21" s="55"/>
      <c r="UVJ21" s="55"/>
      <c r="UVK21" s="55"/>
      <c r="UVL21" s="55"/>
      <c r="UVM21" s="55"/>
      <c r="UVN21" s="55"/>
      <c r="UVO21" s="55"/>
      <c r="UVP21" s="55"/>
      <c r="UVQ21" s="55"/>
      <c r="UVR21" s="55"/>
      <c r="UVS21" s="55"/>
      <c r="UVT21" s="55"/>
      <c r="UVU21" s="55"/>
      <c r="UVV21" s="55"/>
      <c r="UVW21" s="55"/>
      <c r="UVX21" s="55"/>
      <c r="UVY21" s="55"/>
      <c r="UVZ21" s="55"/>
      <c r="UWA21" s="55"/>
      <c r="UWB21" s="55"/>
      <c r="UWC21" s="55"/>
      <c r="UWD21" s="55"/>
      <c r="UWE21" s="55"/>
      <c r="UWF21" s="55"/>
      <c r="UWG21" s="55"/>
      <c r="UWH21" s="55"/>
      <c r="UWI21" s="55"/>
      <c r="UWJ21" s="55"/>
      <c r="UWK21" s="55"/>
      <c r="UWL21" s="55"/>
      <c r="UWM21" s="55"/>
      <c r="UWN21" s="55"/>
      <c r="UWO21" s="55"/>
      <c r="UWP21" s="55"/>
      <c r="UWQ21" s="55"/>
      <c r="UWR21" s="55"/>
      <c r="UWS21" s="55"/>
      <c r="UWT21" s="55"/>
      <c r="UWU21" s="55"/>
      <c r="UWV21" s="55"/>
      <c r="UWW21" s="55"/>
      <c r="UWX21" s="55"/>
      <c r="UWY21" s="55"/>
      <c r="UWZ21" s="55"/>
      <c r="UXA21" s="55"/>
      <c r="UXB21" s="55"/>
      <c r="UXC21" s="55"/>
      <c r="UXD21" s="55"/>
      <c r="UXE21" s="55"/>
      <c r="UXF21" s="55"/>
      <c r="UXG21" s="55"/>
      <c r="UXH21" s="55"/>
      <c r="UXI21" s="55"/>
      <c r="UXJ21" s="55"/>
      <c r="UXK21" s="55"/>
      <c r="UXL21" s="55"/>
      <c r="UXM21" s="55"/>
      <c r="UXN21" s="55"/>
      <c r="UXO21" s="55"/>
      <c r="UXP21" s="55"/>
      <c r="UXQ21" s="55"/>
      <c r="UXR21" s="55"/>
      <c r="UXS21" s="55"/>
      <c r="UXT21" s="55"/>
      <c r="UXU21" s="55"/>
      <c r="UXV21" s="55"/>
      <c r="UXW21" s="55"/>
      <c r="UXX21" s="55"/>
      <c r="UXY21" s="55"/>
      <c r="UXZ21" s="55"/>
      <c r="UYA21" s="55"/>
      <c r="UYB21" s="55"/>
      <c r="UYC21" s="55"/>
      <c r="UYD21" s="55"/>
      <c r="UYE21" s="55"/>
      <c r="UYF21" s="55"/>
      <c r="UYG21" s="55"/>
      <c r="UYH21" s="55"/>
      <c r="UYI21" s="55"/>
      <c r="UYJ21" s="55"/>
      <c r="UYK21" s="55"/>
      <c r="UYL21" s="55"/>
      <c r="UYM21" s="55"/>
      <c r="UYN21" s="55"/>
      <c r="UYO21" s="55"/>
      <c r="UYP21" s="55"/>
      <c r="UYQ21" s="55"/>
      <c r="UYR21" s="55"/>
      <c r="UYS21" s="55"/>
      <c r="UYT21" s="55"/>
      <c r="UYU21" s="55"/>
      <c r="UYV21" s="55"/>
      <c r="UYW21" s="55"/>
      <c r="UYX21" s="55"/>
      <c r="UYY21" s="55"/>
      <c r="UYZ21" s="55"/>
      <c r="UZA21" s="55"/>
      <c r="UZB21" s="55"/>
      <c r="UZC21" s="55"/>
      <c r="UZD21" s="55"/>
      <c r="UZE21" s="55"/>
      <c r="UZF21" s="55"/>
      <c r="UZG21" s="55"/>
      <c r="UZH21" s="55"/>
      <c r="UZI21" s="55"/>
      <c r="UZJ21" s="55"/>
      <c r="UZK21" s="55"/>
      <c r="UZL21" s="55"/>
      <c r="UZM21" s="55"/>
      <c r="UZN21" s="55"/>
      <c r="UZO21" s="55"/>
      <c r="UZP21" s="55"/>
      <c r="UZQ21" s="55"/>
      <c r="UZR21" s="55"/>
      <c r="UZS21" s="55"/>
      <c r="UZT21" s="55"/>
      <c r="UZU21" s="55"/>
      <c r="UZV21" s="55"/>
      <c r="UZW21" s="55"/>
      <c r="UZX21" s="55"/>
      <c r="UZY21" s="55"/>
      <c r="UZZ21" s="55"/>
      <c r="VAA21" s="55"/>
      <c r="VAB21" s="55"/>
      <c r="VAC21" s="55"/>
      <c r="VAD21" s="55"/>
      <c r="VAE21" s="55"/>
      <c r="VAF21" s="55"/>
      <c r="VAG21" s="55"/>
      <c r="VAH21" s="55"/>
      <c r="VAI21" s="55"/>
      <c r="VAJ21" s="55"/>
      <c r="VAK21" s="55"/>
      <c r="VAL21" s="55"/>
      <c r="VAM21" s="55"/>
      <c r="VAN21" s="55"/>
      <c r="VAO21" s="55"/>
      <c r="VAP21" s="55"/>
      <c r="VAQ21" s="55"/>
      <c r="VAR21" s="55"/>
      <c r="VAS21" s="55"/>
      <c r="VAT21" s="55"/>
      <c r="VAU21" s="55"/>
      <c r="VAV21" s="55"/>
      <c r="VAW21" s="55"/>
      <c r="VAX21" s="55"/>
      <c r="VAY21" s="55"/>
      <c r="VAZ21" s="55"/>
      <c r="VBA21" s="55"/>
      <c r="VBB21" s="55"/>
      <c r="VBC21" s="55"/>
      <c r="VBD21" s="55"/>
      <c r="VBE21" s="55"/>
      <c r="VBF21" s="55"/>
      <c r="VBG21" s="55"/>
      <c r="VBH21" s="55"/>
      <c r="VBI21" s="55"/>
      <c r="VBJ21" s="55"/>
      <c r="VBK21" s="55"/>
      <c r="VBL21" s="55"/>
      <c r="VBM21" s="55"/>
      <c r="VBN21" s="55"/>
      <c r="VBO21" s="55"/>
      <c r="VBP21" s="55"/>
      <c r="VBQ21" s="55"/>
      <c r="VBR21" s="55"/>
      <c r="VBS21" s="55"/>
      <c r="VBT21" s="55"/>
      <c r="VBU21" s="55"/>
      <c r="VBV21" s="55"/>
      <c r="VBW21" s="55"/>
      <c r="VBX21" s="55"/>
      <c r="VBY21" s="55"/>
      <c r="VBZ21" s="55"/>
      <c r="VCA21" s="55"/>
      <c r="VCB21" s="55"/>
      <c r="VCC21" s="55"/>
      <c r="VCD21" s="55"/>
      <c r="VCE21" s="55"/>
      <c r="VCF21" s="55"/>
      <c r="VCG21" s="55"/>
      <c r="VCH21" s="55"/>
      <c r="VCI21" s="55"/>
      <c r="VCJ21" s="55"/>
      <c r="VCK21" s="55"/>
      <c r="VCL21" s="55"/>
      <c r="VCM21" s="55"/>
      <c r="VCN21" s="55"/>
      <c r="VCO21" s="55"/>
      <c r="VCP21" s="55"/>
      <c r="VCQ21" s="55"/>
      <c r="VCR21" s="55"/>
      <c r="VCS21" s="55"/>
      <c r="VCT21" s="55"/>
      <c r="VCU21" s="55"/>
      <c r="VCV21" s="55"/>
      <c r="VCW21" s="55"/>
      <c r="VCX21" s="55"/>
      <c r="VCY21" s="55"/>
      <c r="VCZ21" s="55"/>
      <c r="VDA21" s="55"/>
      <c r="VDB21" s="55"/>
      <c r="VDC21" s="55"/>
      <c r="VDD21" s="55"/>
      <c r="VDE21" s="55"/>
      <c r="VDF21" s="55"/>
      <c r="VDG21" s="55"/>
      <c r="VDH21" s="55"/>
      <c r="VDI21" s="55"/>
      <c r="VDJ21" s="55"/>
      <c r="VDK21" s="55"/>
      <c r="VDL21" s="55"/>
      <c r="VDM21" s="55"/>
      <c r="VDN21" s="55"/>
      <c r="VDO21" s="55"/>
      <c r="VDP21" s="55"/>
      <c r="VDQ21" s="55"/>
      <c r="VDR21" s="55"/>
      <c r="VDS21" s="55"/>
      <c r="VDT21" s="55"/>
      <c r="VDU21" s="55"/>
      <c r="VDV21" s="55"/>
      <c r="VDW21" s="55"/>
      <c r="VDX21" s="55"/>
      <c r="VDY21" s="55"/>
      <c r="VDZ21" s="55"/>
      <c r="VEA21" s="55"/>
      <c r="VEB21" s="55"/>
      <c r="VEC21" s="55"/>
      <c r="VED21" s="55"/>
      <c r="VEE21" s="55"/>
      <c r="VEF21" s="55"/>
      <c r="VEG21" s="55"/>
      <c r="VEH21" s="55"/>
      <c r="VEI21" s="55"/>
      <c r="VEJ21" s="55"/>
      <c r="VEK21" s="55"/>
      <c r="VEL21" s="55"/>
      <c r="VEM21" s="55"/>
      <c r="VEN21" s="55"/>
      <c r="VEO21" s="55"/>
      <c r="VEP21" s="55"/>
      <c r="VEQ21" s="55"/>
      <c r="VER21" s="55"/>
      <c r="VES21" s="55"/>
      <c r="VET21" s="55"/>
      <c r="VEU21" s="55"/>
      <c r="VEV21" s="55"/>
      <c r="VEW21" s="55"/>
      <c r="VEX21" s="55"/>
      <c r="VEY21" s="55"/>
      <c r="VEZ21" s="55"/>
      <c r="VFA21" s="55"/>
      <c r="VFB21" s="55"/>
      <c r="VFC21" s="55"/>
      <c r="VFD21" s="55"/>
      <c r="VFE21" s="55"/>
      <c r="VFF21" s="55"/>
      <c r="VFG21" s="55"/>
      <c r="VFH21" s="55"/>
      <c r="VFI21" s="55"/>
      <c r="VFJ21" s="55"/>
      <c r="VFK21" s="55"/>
      <c r="VFL21" s="55"/>
      <c r="VFM21" s="55"/>
      <c r="VFN21" s="55"/>
      <c r="VFO21" s="55"/>
      <c r="VFP21" s="55"/>
      <c r="VFQ21" s="55"/>
      <c r="VFR21" s="55"/>
      <c r="VFS21" s="55"/>
      <c r="VFT21" s="55"/>
      <c r="VFU21" s="55"/>
      <c r="VFV21" s="55"/>
      <c r="VFW21" s="55"/>
      <c r="VFX21" s="55"/>
      <c r="VFY21" s="55"/>
      <c r="VFZ21" s="55"/>
      <c r="VGA21" s="55"/>
      <c r="VGB21" s="55"/>
      <c r="VGC21" s="55"/>
      <c r="VGD21" s="55"/>
      <c r="VGE21" s="55"/>
      <c r="VGF21" s="55"/>
      <c r="VGG21" s="55"/>
      <c r="VGH21" s="55"/>
      <c r="VGI21" s="55"/>
      <c r="VGJ21" s="55"/>
      <c r="VGK21" s="55"/>
      <c r="VGL21" s="55"/>
      <c r="VGM21" s="55"/>
      <c r="VGN21" s="55"/>
      <c r="VGO21" s="55"/>
      <c r="VGP21" s="55"/>
      <c r="VGQ21" s="55"/>
      <c r="VGR21" s="55"/>
      <c r="VGS21" s="55"/>
      <c r="VGT21" s="55"/>
      <c r="VGU21" s="55"/>
      <c r="VGV21" s="55"/>
      <c r="VGW21" s="55"/>
      <c r="VGX21" s="55"/>
      <c r="VGY21" s="55"/>
      <c r="VGZ21" s="55"/>
      <c r="VHA21" s="55"/>
      <c r="VHB21" s="55"/>
      <c r="VHC21" s="55"/>
      <c r="VHD21" s="55"/>
      <c r="VHE21" s="55"/>
      <c r="VHF21" s="55"/>
      <c r="VHG21" s="55"/>
      <c r="VHH21" s="55"/>
      <c r="VHI21" s="55"/>
      <c r="VHJ21" s="55"/>
      <c r="VHK21" s="55"/>
      <c r="VHL21" s="55"/>
      <c r="VHM21" s="55"/>
      <c r="VHN21" s="55"/>
      <c r="VHO21" s="55"/>
      <c r="VHP21" s="55"/>
      <c r="VHQ21" s="55"/>
      <c r="VHR21" s="55"/>
      <c r="VHS21" s="55"/>
      <c r="VHT21" s="55"/>
      <c r="VHU21" s="55"/>
      <c r="VHV21" s="55"/>
      <c r="VHW21" s="55"/>
      <c r="VHX21" s="55"/>
      <c r="VHY21" s="55"/>
      <c r="VHZ21" s="55"/>
      <c r="VIA21" s="55"/>
      <c r="VIB21" s="55"/>
      <c r="VIC21" s="55"/>
      <c r="VID21" s="55"/>
      <c r="VIE21" s="55"/>
      <c r="VIF21" s="55"/>
      <c r="VIG21" s="55"/>
      <c r="VIH21" s="55"/>
      <c r="VII21" s="55"/>
      <c r="VIJ21" s="55"/>
      <c r="VIK21" s="55"/>
      <c r="VIL21" s="55"/>
      <c r="VIM21" s="55"/>
      <c r="VIN21" s="55"/>
      <c r="VIO21" s="55"/>
      <c r="VIP21" s="55"/>
      <c r="VIQ21" s="55"/>
      <c r="VIR21" s="55"/>
      <c r="VIS21" s="55"/>
      <c r="VIT21" s="55"/>
      <c r="VIU21" s="55"/>
      <c r="VIV21" s="55"/>
      <c r="VIW21" s="55"/>
      <c r="VIX21" s="55"/>
      <c r="VIY21" s="55"/>
      <c r="VIZ21" s="55"/>
      <c r="VJA21" s="55"/>
      <c r="VJB21" s="55"/>
      <c r="VJC21" s="55"/>
      <c r="VJD21" s="55"/>
      <c r="VJE21" s="55"/>
      <c r="VJF21" s="55"/>
      <c r="VJG21" s="55"/>
      <c r="VJH21" s="55"/>
      <c r="VJI21" s="55"/>
      <c r="VJJ21" s="55"/>
      <c r="VJK21" s="55"/>
      <c r="VJL21" s="55"/>
      <c r="VJM21" s="55"/>
      <c r="VJN21" s="55"/>
      <c r="VJO21" s="55"/>
      <c r="VJP21" s="55"/>
      <c r="VJQ21" s="55"/>
      <c r="VJR21" s="55"/>
      <c r="VJS21" s="55"/>
      <c r="VJT21" s="55"/>
      <c r="VJU21" s="55"/>
      <c r="VJV21" s="55"/>
      <c r="VJW21" s="55"/>
      <c r="VJX21" s="55"/>
      <c r="VJY21" s="55"/>
      <c r="VJZ21" s="55"/>
      <c r="VKA21" s="55"/>
      <c r="VKB21" s="55"/>
      <c r="VKC21" s="55"/>
      <c r="VKD21" s="55"/>
      <c r="VKE21" s="55"/>
      <c r="VKF21" s="55"/>
      <c r="VKG21" s="55"/>
      <c r="VKH21" s="55"/>
      <c r="VKI21" s="55"/>
      <c r="VKJ21" s="55"/>
      <c r="VKK21" s="55"/>
      <c r="VKL21" s="55"/>
      <c r="VKM21" s="55"/>
      <c r="VKN21" s="55"/>
      <c r="VKO21" s="55"/>
      <c r="VKP21" s="55"/>
      <c r="VKQ21" s="55"/>
      <c r="VKR21" s="55"/>
      <c r="VKS21" s="55"/>
      <c r="VKT21" s="55"/>
      <c r="VKU21" s="55"/>
      <c r="VKV21" s="55"/>
      <c r="VKW21" s="55"/>
      <c r="VKX21" s="55"/>
      <c r="VKY21" s="55"/>
      <c r="VKZ21" s="55"/>
      <c r="VLA21" s="55"/>
      <c r="VLB21" s="55"/>
      <c r="VLC21" s="55"/>
      <c r="VLD21" s="55"/>
      <c r="VLE21" s="55"/>
      <c r="VLF21" s="55"/>
      <c r="VLG21" s="55"/>
      <c r="VLH21" s="55"/>
      <c r="VLI21" s="55"/>
      <c r="VLJ21" s="55"/>
      <c r="VLK21" s="55"/>
      <c r="VLL21" s="55"/>
      <c r="VLM21" s="55"/>
      <c r="VLN21" s="55"/>
      <c r="VLO21" s="55"/>
      <c r="VLP21" s="55"/>
      <c r="VLQ21" s="55"/>
      <c r="VLR21" s="55"/>
      <c r="VLS21" s="55"/>
      <c r="VLT21" s="55"/>
      <c r="VLU21" s="55"/>
      <c r="VLV21" s="55"/>
      <c r="VLW21" s="55"/>
      <c r="VLX21" s="55"/>
      <c r="VLY21" s="55"/>
      <c r="VLZ21" s="55"/>
      <c r="VMA21" s="55"/>
      <c r="VMB21" s="55"/>
      <c r="VMC21" s="55"/>
      <c r="VMD21" s="55"/>
      <c r="VME21" s="55"/>
      <c r="VMF21" s="55"/>
      <c r="VMG21" s="55"/>
      <c r="VMH21" s="55"/>
      <c r="VMI21" s="55"/>
      <c r="VMJ21" s="55"/>
      <c r="VMK21" s="55"/>
      <c r="VML21" s="55"/>
      <c r="VMM21" s="55"/>
      <c r="VMN21" s="55"/>
      <c r="VMO21" s="55"/>
      <c r="VMP21" s="55"/>
      <c r="VMQ21" s="55"/>
      <c r="VMR21" s="55"/>
      <c r="VMS21" s="55"/>
      <c r="VMT21" s="55"/>
      <c r="VMU21" s="55"/>
      <c r="VMV21" s="55"/>
      <c r="VMW21" s="55"/>
      <c r="VMX21" s="55"/>
      <c r="VMY21" s="55"/>
      <c r="VMZ21" s="55"/>
      <c r="VNA21" s="55"/>
      <c r="VNB21" s="55"/>
      <c r="VNC21" s="55"/>
      <c r="VND21" s="55"/>
      <c r="VNE21" s="55"/>
      <c r="VNF21" s="55"/>
      <c r="VNG21" s="55"/>
      <c r="VNH21" s="55"/>
      <c r="VNI21" s="55"/>
      <c r="VNJ21" s="55"/>
      <c r="VNK21" s="55"/>
      <c r="VNL21" s="55"/>
      <c r="VNM21" s="55"/>
      <c r="VNN21" s="55"/>
      <c r="VNO21" s="55"/>
      <c r="VNP21" s="55"/>
      <c r="VNQ21" s="55"/>
      <c r="VNR21" s="55"/>
      <c r="VNS21" s="55"/>
      <c r="VNT21" s="55"/>
      <c r="VNU21" s="55"/>
      <c r="VNV21" s="55"/>
      <c r="VNW21" s="55"/>
      <c r="VNX21" s="55"/>
      <c r="VNY21" s="55"/>
      <c r="VNZ21" s="55"/>
      <c r="VOA21" s="55"/>
      <c r="VOB21" s="55"/>
      <c r="VOC21" s="55"/>
      <c r="VOD21" s="55"/>
      <c r="VOE21" s="55"/>
      <c r="VOF21" s="55"/>
      <c r="VOG21" s="55"/>
      <c r="VOH21" s="55"/>
      <c r="VOI21" s="55"/>
      <c r="VOJ21" s="55"/>
      <c r="VOK21" s="55"/>
      <c r="VOL21" s="55"/>
      <c r="VOM21" s="55"/>
      <c r="VON21" s="55"/>
      <c r="VOO21" s="55"/>
      <c r="VOP21" s="55"/>
      <c r="VOQ21" s="55"/>
      <c r="VOR21" s="55"/>
      <c r="VOS21" s="55"/>
      <c r="VOT21" s="55"/>
      <c r="VOU21" s="55"/>
      <c r="VOV21" s="55"/>
      <c r="VOW21" s="55"/>
      <c r="VOX21" s="55"/>
      <c r="VOY21" s="55"/>
      <c r="VOZ21" s="55"/>
      <c r="VPA21" s="55"/>
      <c r="VPB21" s="55"/>
      <c r="VPC21" s="55"/>
      <c r="VPD21" s="55"/>
      <c r="VPE21" s="55"/>
      <c r="VPF21" s="55"/>
      <c r="VPG21" s="55"/>
      <c r="VPH21" s="55"/>
      <c r="VPI21" s="55"/>
      <c r="VPJ21" s="55"/>
      <c r="VPK21" s="55"/>
      <c r="VPL21" s="55"/>
      <c r="VPM21" s="55"/>
      <c r="VPN21" s="55"/>
      <c r="VPO21" s="55"/>
      <c r="VPP21" s="55"/>
      <c r="VPQ21" s="55"/>
      <c r="VPR21" s="55"/>
      <c r="VPS21" s="55"/>
      <c r="VPT21" s="55"/>
      <c r="VPU21" s="55"/>
      <c r="VPV21" s="55"/>
      <c r="VPW21" s="55"/>
      <c r="VPX21" s="55"/>
      <c r="VPY21" s="55"/>
      <c r="VPZ21" s="55"/>
      <c r="VQA21" s="55"/>
      <c r="VQB21" s="55"/>
      <c r="VQC21" s="55"/>
      <c r="VQD21" s="55"/>
      <c r="VQE21" s="55"/>
      <c r="VQF21" s="55"/>
      <c r="VQG21" s="55"/>
      <c r="VQH21" s="55"/>
      <c r="VQI21" s="55"/>
      <c r="VQJ21" s="55"/>
      <c r="VQK21" s="55"/>
      <c r="VQL21" s="55"/>
      <c r="VQM21" s="55"/>
      <c r="VQN21" s="55"/>
      <c r="VQO21" s="55"/>
      <c r="VQP21" s="55"/>
      <c r="VQQ21" s="55"/>
      <c r="VQR21" s="55"/>
      <c r="VQS21" s="55"/>
      <c r="VQT21" s="55"/>
      <c r="VQU21" s="55"/>
      <c r="VQV21" s="55"/>
      <c r="VQW21" s="55"/>
      <c r="VQX21" s="55"/>
      <c r="VQY21" s="55"/>
      <c r="VQZ21" s="55"/>
      <c r="VRA21" s="55"/>
      <c r="VRB21" s="55"/>
      <c r="VRC21" s="55"/>
      <c r="VRD21" s="55"/>
      <c r="VRE21" s="55"/>
      <c r="VRF21" s="55"/>
      <c r="VRG21" s="55"/>
      <c r="VRH21" s="55"/>
      <c r="VRI21" s="55"/>
      <c r="VRJ21" s="55"/>
      <c r="VRK21" s="55"/>
      <c r="VRL21" s="55"/>
      <c r="VRM21" s="55"/>
      <c r="VRN21" s="55"/>
      <c r="VRO21" s="55"/>
      <c r="VRP21" s="55"/>
      <c r="VRQ21" s="55"/>
      <c r="VRR21" s="55"/>
      <c r="VRS21" s="55"/>
      <c r="VRT21" s="55"/>
      <c r="VRU21" s="55"/>
      <c r="VRV21" s="55"/>
      <c r="VRW21" s="55"/>
      <c r="VRX21" s="55"/>
      <c r="VRY21" s="55"/>
      <c r="VRZ21" s="55"/>
      <c r="VSA21" s="55"/>
      <c r="VSB21" s="55"/>
      <c r="VSC21" s="55"/>
      <c r="VSD21" s="55"/>
      <c r="VSE21" s="55"/>
      <c r="VSF21" s="55"/>
      <c r="VSG21" s="55"/>
      <c r="VSH21" s="55"/>
      <c r="VSI21" s="55"/>
      <c r="VSJ21" s="55"/>
      <c r="VSK21" s="55"/>
      <c r="VSL21" s="55"/>
      <c r="VSM21" s="55"/>
      <c r="VSN21" s="55"/>
      <c r="VSO21" s="55"/>
      <c r="VSP21" s="55"/>
      <c r="VSQ21" s="55"/>
      <c r="VSR21" s="55"/>
      <c r="VSS21" s="55"/>
      <c r="VST21" s="55"/>
      <c r="VSU21" s="55"/>
      <c r="VSV21" s="55"/>
      <c r="VSW21" s="55"/>
      <c r="VSX21" s="55"/>
      <c r="VSY21" s="55"/>
      <c r="VSZ21" s="55"/>
      <c r="VTA21" s="55"/>
      <c r="VTB21" s="55"/>
      <c r="VTC21" s="55"/>
      <c r="VTD21" s="55"/>
      <c r="VTE21" s="55"/>
      <c r="VTF21" s="55"/>
      <c r="VTG21" s="55"/>
      <c r="VTH21" s="55"/>
      <c r="VTI21" s="55"/>
      <c r="VTJ21" s="55"/>
      <c r="VTK21" s="55"/>
      <c r="VTL21" s="55"/>
      <c r="VTM21" s="55"/>
      <c r="VTN21" s="55"/>
      <c r="VTO21" s="55"/>
      <c r="VTP21" s="55"/>
      <c r="VTQ21" s="55"/>
      <c r="VTR21" s="55"/>
      <c r="VTS21" s="55"/>
      <c r="VTT21" s="55"/>
      <c r="VTU21" s="55"/>
      <c r="VTV21" s="55"/>
      <c r="VTW21" s="55"/>
      <c r="VTX21" s="55"/>
      <c r="VTY21" s="55"/>
      <c r="VTZ21" s="55"/>
      <c r="VUA21" s="55"/>
      <c r="VUB21" s="55"/>
      <c r="VUC21" s="55"/>
      <c r="VUD21" s="55"/>
      <c r="VUE21" s="55"/>
      <c r="VUF21" s="55"/>
      <c r="VUG21" s="55"/>
      <c r="VUH21" s="55"/>
      <c r="VUI21" s="55"/>
      <c r="VUJ21" s="55"/>
      <c r="VUK21" s="55"/>
      <c r="VUL21" s="55"/>
      <c r="VUM21" s="55"/>
      <c r="VUN21" s="55"/>
      <c r="VUO21" s="55"/>
      <c r="VUP21" s="55"/>
      <c r="VUQ21" s="55"/>
      <c r="VUR21" s="55"/>
      <c r="VUS21" s="55"/>
      <c r="VUT21" s="55"/>
      <c r="VUU21" s="55"/>
      <c r="VUV21" s="55"/>
      <c r="VUW21" s="55"/>
      <c r="VUX21" s="55"/>
      <c r="VUY21" s="55"/>
      <c r="VUZ21" s="55"/>
      <c r="VVA21" s="55"/>
      <c r="VVB21" s="55"/>
      <c r="VVC21" s="55"/>
      <c r="VVD21" s="55"/>
      <c r="VVE21" s="55"/>
      <c r="VVF21" s="55"/>
      <c r="VVG21" s="55"/>
      <c r="VVH21" s="55"/>
      <c r="VVI21" s="55"/>
      <c r="VVJ21" s="55"/>
      <c r="VVK21" s="55"/>
      <c r="VVL21" s="55"/>
      <c r="VVM21" s="55"/>
      <c r="VVN21" s="55"/>
      <c r="VVO21" s="55"/>
      <c r="VVP21" s="55"/>
      <c r="VVQ21" s="55"/>
      <c r="VVR21" s="55"/>
      <c r="VVS21" s="55"/>
      <c r="VVT21" s="55"/>
      <c r="VVU21" s="55"/>
      <c r="VVV21" s="55"/>
      <c r="VVW21" s="55"/>
      <c r="VVX21" s="55"/>
      <c r="VVY21" s="55"/>
      <c r="VVZ21" s="55"/>
      <c r="VWA21" s="55"/>
      <c r="VWB21" s="55"/>
      <c r="VWC21" s="55"/>
      <c r="VWD21" s="55"/>
      <c r="VWE21" s="55"/>
      <c r="VWF21" s="55"/>
      <c r="VWG21" s="55"/>
      <c r="VWH21" s="55"/>
      <c r="VWI21" s="55"/>
      <c r="VWJ21" s="55"/>
      <c r="VWK21" s="55"/>
      <c r="VWL21" s="55"/>
      <c r="VWM21" s="55"/>
      <c r="VWN21" s="55"/>
      <c r="VWO21" s="55"/>
      <c r="VWP21" s="55"/>
      <c r="VWQ21" s="55"/>
      <c r="VWR21" s="55"/>
      <c r="VWS21" s="55"/>
      <c r="VWT21" s="55"/>
      <c r="VWU21" s="55"/>
      <c r="VWV21" s="55"/>
      <c r="VWW21" s="55"/>
      <c r="VWX21" s="55"/>
      <c r="VWY21" s="55"/>
      <c r="VWZ21" s="55"/>
      <c r="VXA21" s="55"/>
      <c r="VXB21" s="55"/>
      <c r="VXC21" s="55"/>
      <c r="VXD21" s="55"/>
      <c r="VXE21" s="55"/>
      <c r="VXF21" s="55"/>
      <c r="VXG21" s="55"/>
      <c r="VXH21" s="55"/>
      <c r="VXI21" s="55"/>
      <c r="VXJ21" s="55"/>
      <c r="VXK21" s="55"/>
      <c r="VXL21" s="55"/>
      <c r="VXM21" s="55"/>
      <c r="VXN21" s="55"/>
      <c r="VXO21" s="55"/>
      <c r="VXP21" s="55"/>
      <c r="VXQ21" s="55"/>
      <c r="VXR21" s="55"/>
      <c r="VXS21" s="55"/>
      <c r="VXT21" s="55"/>
      <c r="VXU21" s="55"/>
      <c r="VXV21" s="55"/>
      <c r="VXW21" s="55"/>
      <c r="VXX21" s="55"/>
      <c r="VXY21" s="55"/>
      <c r="VXZ21" s="55"/>
      <c r="VYA21" s="55"/>
      <c r="VYB21" s="55"/>
      <c r="VYC21" s="55"/>
      <c r="VYD21" s="55"/>
      <c r="VYE21" s="55"/>
      <c r="VYF21" s="55"/>
      <c r="VYG21" s="55"/>
      <c r="VYH21" s="55"/>
      <c r="VYI21" s="55"/>
      <c r="VYJ21" s="55"/>
      <c r="VYK21" s="55"/>
      <c r="VYL21" s="55"/>
      <c r="VYM21" s="55"/>
      <c r="VYN21" s="55"/>
      <c r="VYO21" s="55"/>
      <c r="VYP21" s="55"/>
      <c r="VYQ21" s="55"/>
      <c r="VYR21" s="55"/>
      <c r="VYS21" s="55"/>
      <c r="VYT21" s="55"/>
      <c r="VYU21" s="55"/>
      <c r="VYV21" s="55"/>
      <c r="VYW21" s="55"/>
      <c r="VYX21" s="55"/>
      <c r="VYY21" s="55"/>
      <c r="VYZ21" s="55"/>
      <c r="VZA21" s="55"/>
      <c r="VZB21" s="55"/>
      <c r="VZC21" s="55"/>
      <c r="VZD21" s="55"/>
      <c r="VZE21" s="55"/>
      <c r="VZF21" s="55"/>
      <c r="VZG21" s="55"/>
      <c r="VZH21" s="55"/>
      <c r="VZI21" s="55"/>
      <c r="VZJ21" s="55"/>
      <c r="VZK21" s="55"/>
      <c r="VZL21" s="55"/>
      <c r="VZM21" s="55"/>
      <c r="VZN21" s="55"/>
      <c r="VZO21" s="55"/>
      <c r="VZP21" s="55"/>
      <c r="VZQ21" s="55"/>
      <c r="VZR21" s="55"/>
      <c r="VZS21" s="55"/>
      <c r="VZT21" s="55"/>
      <c r="VZU21" s="55"/>
      <c r="VZV21" s="55"/>
      <c r="VZW21" s="55"/>
      <c r="VZX21" s="55"/>
      <c r="VZY21" s="55"/>
      <c r="VZZ21" s="55"/>
      <c r="WAA21" s="55"/>
      <c r="WAB21" s="55"/>
      <c r="WAC21" s="55"/>
      <c r="WAD21" s="55"/>
      <c r="WAE21" s="55"/>
      <c r="WAF21" s="55"/>
      <c r="WAG21" s="55"/>
      <c r="WAH21" s="55"/>
      <c r="WAI21" s="55"/>
      <c r="WAJ21" s="55"/>
      <c r="WAK21" s="55"/>
      <c r="WAL21" s="55"/>
      <c r="WAM21" s="55"/>
      <c r="WAN21" s="55"/>
      <c r="WAO21" s="55"/>
      <c r="WAP21" s="55"/>
      <c r="WAQ21" s="55"/>
      <c r="WAR21" s="55"/>
      <c r="WAS21" s="55"/>
      <c r="WAT21" s="55"/>
      <c r="WAU21" s="55"/>
      <c r="WAV21" s="55"/>
      <c r="WAW21" s="55"/>
      <c r="WAX21" s="55"/>
      <c r="WAY21" s="55"/>
      <c r="WAZ21" s="55"/>
      <c r="WBA21" s="55"/>
      <c r="WBB21" s="55"/>
      <c r="WBC21" s="55"/>
      <c r="WBD21" s="55"/>
      <c r="WBE21" s="55"/>
      <c r="WBF21" s="55"/>
      <c r="WBG21" s="55"/>
      <c r="WBH21" s="55"/>
      <c r="WBI21" s="55"/>
      <c r="WBJ21" s="55"/>
      <c r="WBK21" s="55"/>
      <c r="WBL21" s="55"/>
      <c r="WBM21" s="55"/>
      <c r="WBN21" s="55"/>
      <c r="WBO21" s="55"/>
      <c r="WBP21" s="55"/>
      <c r="WBQ21" s="55"/>
      <c r="WBR21" s="55"/>
      <c r="WBS21" s="55"/>
      <c r="WBT21" s="55"/>
      <c r="WBU21" s="55"/>
      <c r="WBV21" s="55"/>
      <c r="WBW21" s="55"/>
      <c r="WBX21" s="55"/>
      <c r="WBY21" s="55"/>
      <c r="WBZ21" s="55"/>
      <c r="WCA21" s="55"/>
      <c r="WCB21" s="55"/>
      <c r="WCC21" s="55"/>
      <c r="WCD21" s="55"/>
      <c r="WCE21" s="55"/>
      <c r="WCF21" s="55"/>
      <c r="WCG21" s="55"/>
      <c r="WCH21" s="55"/>
      <c r="WCI21" s="55"/>
      <c r="WCJ21" s="55"/>
      <c r="WCK21" s="55"/>
      <c r="WCL21" s="55"/>
      <c r="WCM21" s="55"/>
      <c r="WCN21" s="55"/>
      <c r="WCO21" s="55"/>
      <c r="WCP21" s="55"/>
      <c r="WCQ21" s="55"/>
      <c r="WCR21" s="55"/>
      <c r="WCS21" s="55"/>
      <c r="WCT21" s="55"/>
      <c r="WCU21" s="55"/>
      <c r="WCV21" s="55"/>
      <c r="WCW21" s="55"/>
      <c r="WCX21" s="55"/>
      <c r="WCY21" s="55"/>
      <c r="WCZ21" s="55"/>
      <c r="WDA21" s="55"/>
      <c r="WDB21" s="55"/>
      <c r="WDC21" s="55"/>
      <c r="WDD21" s="55"/>
      <c r="WDE21" s="55"/>
      <c r="WDF21" s="55"/>
      <c r="WDG21" s="55"/>
      <c r="WDH21" s="55"/>
      <c r="WDI21" s="55"/>
      <c r="WDJ21" s="55"/>
      <c r="WDK21" s="55"/>
      <c r="WDL21" s="55"/>
      <c r="WDM21" s="55"/>
      <c r="WDN21" s="55"/>
      <c r="WDO21" s="55"/>
      <c r="WDP21" s="55"/>
      <c r="WDQ21" s="55"/>
      <c r="WDR21" s="55"/>
      <c r="WDS21" s="55"/>
      <c r="WDT21" s="55"/>
      <c r="WDU21" s="55"/>
      <c r="WDV21" s="55"/>
      <c r="WDW21" s="55"/>
      <c r="WDX21" s="55"/>
      <c r="WDY21" s="55"/>
      <c r="WDZ21" s="55"/>
      <c r="WEA21" s="55"/>
      <c r="WEB21" s="55"/>
      <c r="WEC21" s="55"/>
      <c r="WED21" s="55"/>
      <c r="WEE21" s="55"/>
      <c r="WEF21" s="55"/>
      <c r="WEG21" s="55"/>
      <c r="WEH21" s="55"/>
      <c r="WEI21" s="55"/>
      <c r="WEJ21" s="55"/>
      <c r="WEK21" s="55"/>
      <c r="WEL21" s="55"/>
      <c r="WEM21" s="55"/>
      <c r="WEN21" s="55"/>
      <c r="WEO21" s="55"/>
      <c r="WEP21" s="55"/>
      <c r="WEQ21" s="55"/>
      <c r="WER21" s="55"/>
      <c r="WES21" s="55"/>
      <c r="WET21" s="55"/>
      <c r="WEU21" s="55"/>
      <c r="WEV21" s="55"/>
      <c r="WEW21" s="55"/>
      <c r="WEX21" s="55"/>
      <c r="WEY21" s="55"/>
      <c r="WEZ21" s="55"/>
      <c r="WFA21" s="55"/>
      <c r="WFB21" s="55"/>
      <c r="WFC21" s="55"/>
      <c r="WFD21" s="55"/>
      <c r="WFE21" s="55"/>
      <c r="WFF21" s="55"/>
      <c r="WFG21" s="55"/>
      <c r="WFH21" s="55"/>
      <c r="WFI21" s="55"/>
      <c r="WFJ21" s="55"/>
      <c r="WFK21" s="55"/>
      <c r="WFL21" s="55"/>
      <c r="WFM21" s="55"/>
      <c r="WFN21" s="55"/>
      <c r="WFO21" s="55"/>
      <c r="WFP21" s="55"/>
      <c r="WFQ21" s="55"/>
      <c r="WFR21" s="55"/>
      <c r="WFS21" s="55"/>
      <c r="WFT21" s="55"/>
      <c r="WFU21" s="55"/>
      <c r="WFV21" s="55"/>
      <c r="WFW21" s="55"/>
      <c r="WFX21" s="55"/>
      <c r="WFY21" s="55"/>
      <c r="WFZ21" s="55"/>
      <c r="WGA21" s="55"/>
      <c r="WGB21" s="55"/>
      <c r="WGC21" s="55"/>
      <c r="WGD21" s="55"/>
      <c r="WGE21" s="55"/>
      <c r="WGF21" s="55"/>
      <c r="WGG21" s="55"/>
      <c r="WGH21" s="55"/>
      <c r="WGI21" s="55"/>
      <c r="WGJ21" s="55"/>
      <c r="WGK21" s="55"/>
      <c r="WGL21" s="55"/>
      <c r="WGM21" s="55"/>
      <c r="WGN21" s="55"/>
      <c r="WGO21" s="55"/>
      <c r="WGP21" s="55"/>
      <c r="WGQ21" s="55"/>
      <c r="WGR21" s="55"/>
      <c r="WGS21" s="55"/>
      <c r="WGT21" s="55"/>
      <c r="WGU21" s="55"/>
      <c r="WGV21" s="55"/>
      <c r="WGW21" s="55"/>
      <c r="WGX21" s="55"/>
      <c r="WGY21" s="55"/>
      <c r="WGZ21" s="55"/>
      <c r="WHA21" s="55"/>
      <c r="WHB21" s="55"/>
      <c r="WHC21" s="55"/>
      <c r="WHD21" s="55"/>
      <c r="WHE21" s="55"/>
      <c r="WHF21" s="55"/>
      <c r="WHG21" s="55"/>
      <c r="WHH21" s="55"/>
      <c r="WHI21" s="55"/>
      <c r="WHJ21" s="55"/>
      <c r="WHK21" s="55"/>
      <c r="WHL21" s="55"/>
      <c r="WHM21" s="55"/>
      <c r="WHN21" s="55"/>
      <c r="WHO21" s="55"/>
      <c r="WHP21" s="55"/>
      <c r="WHQ21" s="55"/>
      <c r="WHR21" s="55"/>
      <c r="WHS21" s="55"/>
      <c r="WHT21" s="55"/>
      <c r="WHU21" s="55"/>
      <c r="WHV21" s="55"/>
      <c r="WHW21" s="55"/>
      <c r="WHX21" s="55"/>
      <c r="WHY21" s="55"/>
      <c r="WHZ21" s="55"/>
      <c r="WIA21" s="55"/>
      <c r="WIB21" s="55"/>
      <c r="WIC21" s="55"/>
      <c r="WID21" s="55"/>
      <c r="WIE21" s="55"/>
      <c r="WIF21" s="55"/>
      <c r="WIG21" s="55"/>
      <c r="WIH21" s="55"/>
      <c r="WII21" s="55"/>
      <c r="WIJ21" s="55"/>
      <c r="WIK21" s="55"/>
      <c r="WIL21" s="55"/>
      <c r="WIM21" s="55"/>
      <c r="WIN21" s="55"/>
      <c r="WIO21" s="55"/>
      <c r="WIP21" s="55"/>
      <c r="WIQ21" s="55"/>
      <c r="WIR21" s="55"/>
      <c r="WIS21" s="55"/>
      <c r="WIT21" s="55"/>
      <c r="WIU21" s="55"/>
      <c r="WIV21" s="55"/>
      <c r="WIW21" s="55"/>
      <c r="WIX21" s="55"/>
      <c r="WIY21" s="55"/>
      <c r="WIZ21" s="55"/>
      <c r="WJA21" s="55"/>
      <c r="WJB21" s="55"/>
      <c r="WJC21" s="55"/>
      <c r="WJD21" s="55"/>
      <c r="WJE21" s="55"/>
      <c r="WJF21" s="55"/>
      <c r="WJG21" s="55"/>
      <c r="WJH21" s="55"/>
      <c r="WJI21" s="55"/>
      <c r="WJJ21" s="55"/>
      <c r="WJK21" s="55"/>
      <c r="WJL21" s="55"/>
      <c r="WJM21" s="55"/>
      <c r="WJN21" s="55"/>
      <c r="WJO21" s="55"/>
      <c r="WJP21" s="55"/>
      <c r="WJQ21" s="55"/>
      <c r="WJR21" s="55"/>
      <c r="WJS21" s="55"/>
      <c r="WJT21" s="55"/>
      <c r="WJU21" s="55"/>
      <c r="WJV21" s="55"/>
      <c r="WJW21" s="55"/>
      <c r="WJX21" s="55"/>
      <c r="WJY21" s="55"/>
      <c r="WJZ21" s="55"/>
      <c r="WKA21" s="55"/>
      <c r="WKB21" s="55"/>
      <c r="WKC21" s="55"/>
      <c r="WKD21" s="55"/>
      <c r="WKE21" s="55"/>
      <c r="WKF21" s="55"/>
      <c r="WKG21" s="55"/>
      <c r="WKH21" s="55"/>
      <c r="WKI21" s="55"/>
      <c r="WKJ21" s="55"/>
      <c r="WKK21" s="55"/>
      <c r="WKL21" s="55"/>
      <c r="WKM21" s="55"/>
      <c r="WKN21" s="55"/>
      <c r="WKO21" s="55"/>
      <c r="WKP21" s="55"/>
      <c r="WKQ21" s="55"/>
      <c r="WKR21" s="55"/>
      <c r="WKS21" s="55"/>
      <c r="WKT21" s="55"/>
      <c r="WKU21" s="55"/>
      <c r="WKV21" s="55"/>
      <c r="WKW21" s="55"/>
      <c r="WKX21" s="55"/>
      <c r="WKY21" s="55"/>
      <c r="WKZ21" s="55"/>
      <c r="WLA21" s="55"/>
      <c r="WLB21" s="55"/>
      <c r="WLC21" s="55"/>
      <c r="WLD21" s="55"/>
      <c r="WLE21" s="55"/>
      <c r="WLF21" s="55"/>
      <c r="WLG21" s="55"/>
      <c r="WLH21" s="55"/>
      <c r="WLI21" s="55"/>
      <c r="WLJ21" s="55"/>
      <c r="WLK21" s="55"/>
      <c r="WLL21" s="55"/>
      <c r="WLM21" s="55"/>
      <c r="WLN21" s="55"/>
      <c r="WLO21" s="55"/>
      <c r="WLP21" s="55"/>
      <c r="WLQ21" s="55"/>
      <c r="WLR21" s="55"/>
      <c r="WLS21" s="55"/>
      <c r="WLT21" s="55"/>
      <c r="WLU21" s="55"/>
      <c r="WLV21" s="55"/>
      <c r="WLW21" s="55"/>
      <c r="WLX21" s="55"/>
      <c r="WLY21" s="55"/>
      <c r="WLZ21" s="55"/>
      <c r="WMA21" s="55"/>
      <c r="WMB21" s="55"/>
      <c r="WMC21" s="55"/>
      <c r="WMD21" s="55"/>
      <c r="WME21" s="55"/>
      <c r="WMF21" s="55"/>
      <c r="WMG21" s="55"/>
      <c r="WMH21" s="55"/>
      <c r="WMI21" s="55"/>
      <c r="WMJ21" s="55"/>
      <c r="WMK21" s="55"/>
      <c r="WML21" s="55"/>
      <c r="WMM21" s="55"/>
      <c r="WMN21" s="55"/>
      <c r="WMO21" s="55"/>
      <c r="WMP21" s="55"/>
      <c r="WMQ21" s="55"/>
      <c r="WMR21" s="55"/>
      <c r="WMS21" s="55"/>
      <c r="WMT21" s="55"/>
      <c r="WMU21" s="55"/>
      <c r="WMV21" s="55"/>
      <c r="WMW21" s="55"/>
      <c r="WMX21" s="55"/>
      <c r="WMY21" s="55"/>
      <c r="WMZ21" s="55"/>
      <c r="WNA21" s="55"/>
      <c r="WNB21" s="55"/>
      <c r="WNC21" s="55"/>
      <c r="WND21" s="55"/>
      <c r="WNE21" s="55"/>
      <c r="WNF21" s="55"/>
      <c r="WNG21" s="55"/>
      <c r="WNH21" s="55"/>
      <c r="WNI21" s="55"/>
      <c r="WNJ21" s="55"/>
      <c r="WNK21" s="55"/>
      <c r="WNL21" s="55"/>
      <c r="WNM21" s="55"/>
      <c r="WNN21" s="55"/>
      <c r="WNO21" s="55"/>
      <c r="WNP21" s="55"/>
      <c r="WNQ21" s="55"/>
      <c r="WNR21" s="55"/>
      <c r="WNS21" s="55"/>
      <c r="WNT21" s="55"/>
      <c r="WNU21" s="55"/>
      <c r="WNV21" s="55"/>
      <c r="WNW21" s="55"/>
      <c r="WNX21" s="55"/>
      <c r="WNY21" s="55"/>
      <c r="WNZ21" s="55"/>
      <c r="WOA21" s="55"/>
      <c r="WOB21" s="55"/>
      <c r="WOC21" s="55"/>
      <c r="WOD21" s="55"/>
      <c r="WOE21" s="55"/>
      <c r="WOF21" s="55"/>
      <c r="WOG21" s="55"/>
      <c r="WOH21" s="55"/>
      <c r="WOI21" s="55"/>
      <c r="WOJ21" s="55"/>
      <c r="WOK21" s="55"/>
      <c r="WOL21" s="55"/>
      <c r="WOM21" s="55"/>
      <c r="WON21" s="55"/>
      <c r="WOO21" s="55"/>
      <c r="WOP21" s="55"/>
      <c r="WOQ21" s="55"/>
      <c r="WOR21" s="55"/>
      <c r="WOS21" s="55"/>
      <c r="WOT21" s="55"/>
      <c r="WOU21" s="55"/>
      <c r="WOV21" s="55"/>
      <c r="WOW21" s="55"/>
      <c r="WOX21" s="55"/>
      <c r="WOY21" s="55"/>
      <c r="WOZ21" s="55"/>
      <c r="WPA21" s="55"/>
      <c r="WPB21" s="55"/>
      <c r="WPC21" s="55"/>
      <c r="WPD21" s="55"/>
      <c r="WPE21" s="55"/>
      <c r="WPF21" s="55"/>
      <c r="WPG21" s="55"/>
      <c r="WPH21" s="55"/>
      <c r="WPI21" s="55"/>
      <c r="WPJ21" s="55"/>
      <c r="WPK21" s="55"/>
      <c r="WPL21" s="55"/>
      <c r="WPM21" s="55"/>
      <c r="WPN21" s="55"/>
      <c r="WPO21" s="55"/>
      <c r="WPP21" s="55"/>
      <c r="WPQ21" s="55"/>
      <c r="WPR21" s="55"/>
      <c r="WPS21" s="55"/>
      <c r="WPT21" s="55"/>
      <c r="WPU21" s="55"/>
      <c r="WPV21" s="55"/>
      <c r="WPW21" s="55"/>
      <c r="WPX21" s="55"/>
      <c r="WPY21" s="55"/>
      <c r="WPZ21" s="55"/>
      <c r="WQA21" s="55"/>
      <c r="WQB21" s="55"/>
      <c r="WQC21" s="55"/>
      <c r="WQD21" s="55"/>
      <c r="WQE21" s="55"/>
      <c r="WQF21" s="55"/>
      <c r="WQG21" s="55"/>
      <c r="WQH21" s="55"/>
      <c r="WQI21" s="55"/>
      <c r="WQJ21" s="55"/>
      <c r="WQK21" s="55"/>
      <c r="WQL21" s="55"/>
      <c r="WQM21" s="55"/>
      <c r="WQN21" s="55"/>
      <c r="WQO21" s="55"/>
      <c r="WQP21" s="55"/>
      <c r="WQQ21" s="55"/>
      <c r="WQR21" s="55"/>
      <c r="WQS21" s="55"/>
      <c r="WQT21" s="55"/>
      <c r="WQU21" s="55"/>
      <c r="WQV21" s="55"/>
      <c r="WQW21" s="55"/>
      <c r="WQX21" s="55"/>
      <c r="WQY21" s="55"/>
      <c r="WQZ21" s="55"/>
      <c r="WRA21" s="55"/>
      <c r="WRB21" s="55"/>
      <c r="WRC21" s="55"/>
      <c r="WRD21" s="55"/>
      <c r="WRE21" s="55"/>
      <c r="WRF21" s="55"/>
      <c r="WRG21" s="55"/>
      <c r="WRH21" s="55"/>
      <c r="WRI21" s="55"/>
      <c r="WRJ21" s="55"/>
      <c r="WRK21" s="55"/>
      <c r="WRL21" s="55"/>
      <c r="WRM21" s="55"/>
      <c r="WRN21" s="55"/>
      <c r="WRO21" s="55"/>
      <c r="WRP21" s="55"/>
      <c r="WRQ21" s="55"/>
      <c r="WRR21" s="55"/>
      <c r="WRS21" s="55"/>
      <c r="WRT21" s="55"/>
      <c r="WRU21" s="55"/>
      <c r="WRV21" s="55"/>
      <c r="WRW21" s="55"/>
      <c r="WRX21" s="55"/>
      <c r="WRY21" s="55"/>
      <c r="WRZ21" s="55"/>
      <c r="WSA21" s="55"/>
      <c r="WSB21" s="55"/>
      <c r="WSC21" s="55"/>
      <c r="WSD21" s="55"/>
      <c r="WSE21" s="55"/>
      <c r="WSF21" s="55"/>
      <c r="WSG21" s="55"/>
      <c r="WSH21" s="55"/>
      <c r="WSI21" s="55"/>
      <c r="WSJ21" s="55"/>
      <c r="WSK21" s="55"/>
      <c r="WSL21" s="55"/>
      <c r="WSM21" s="55"/>
      <c r="WSN21" s="55"/>
      <c r="WSO21" s="55"/>
      <c r="WSP21" s="55"/>
      <c r="WSQ21" s="55"/>
      <c r="WSR21" s="55"/>
      <c r="WSS21" s="55"/>
      <c r="WST21" s="55"/>
      <c r="WSU21" s="55"/>
      <c r="WSV21" s="55"/>
      <c r="WSW21" s="55"/>
      <c r="WSX21" s="55"/>
      <c r="WSY21" s="55"/>
      <c r="WSZ21" s="55"/>
      <c r="WTA21" s="55"/>
      <c r="WTB21" s="55"/>
      <c r="WTC21" s="55"/>
      <c r="WTD21" s="55"/>
      <c r="WTE21" s="55"/>
      <c r="WTF21" s="55"/>
      <c r="WTG21" s="55"/>
      <c r="WTH21" s="55"/>
      <c r="WTI21" s="55"/>
      <c r="WTJ21" s="55"/>
      <c r="WTK21" s="55"/>
      <c r="WTL21" s="55"/>
      <c r="WTM21" s="55"/>
      <c r="WTN21" s="55"/>
      <c r="WTO21" s="55"/>
      <c r="WTP21" s="55"/>
      <c r="WTQ21" s="55"/>
      <c r="WTR21" s="55"/>
      <c r="WTS21" s="55"/>
      <c r="WTT21" s="55"/>
      <c r="WTU21" s="55"/>
      <c r="WTV21" s="55"/>
      <c r="WTW21" s="55"/>
      <c r="WTX21" s="55"/>
      <c r="WTY21" s="55"/>
      <c r="WTZ21" s="55"/>
      <c r="WUA21" s="55"/>
      <c r="WUB21" s="55"/>
      <c r="WUC21" s="55"/>
      <c r="WUD21" s="55"/>
      <c r="WUE21" s="55"/>
      <c r="WUF21" s="55"/>
      <c r="WUG21" s="55"/>
      <c r="WUH21" s="55"/>
      <c r="WUI21" s="55"/>
      <c r="WUJ21" s="55"/>
      <c r="WUK21" s="55"/>
      <c r="WUL21" s="55"/>
      <c r="WUM21" s="55"/>
      <c r="WUN21" s="55"/>
      <c r="WUO21" s="55"/>
      <c r="WUP21" s="55"/>
      <c r="WUQ21" s="55"/>
      <c r="WUR21" s="55"/>
      <c r="WUS21" s="55"/>
      <c r="WUT21" s="55"/>
      <c r="WUU21" s="55"/>
      <c r="WUV21" s="55"/>
      <c r="WUW21" s="55"/>
      <c r="WUX21" s="55"/>
      <c r="WUY21" s="55"/>
      <c r="WUZ21" s="55"/>
      <c r="WVA21" s="55"/>
      <c r="WVB21" s="55"/>
      <c r="WVC21" s="55"/>
      <c r="WVD21" s="55"/>
      <c r="WVE21" s="55"/>
      <c r="WVF21" s="55"/>
      <c r="WVG21" s="55"/>
      <c r="WVH21" s="55"/>
      <c r="WVI21" s="55"/>
      <c r="WVJ21" s="55"/>
      <c r="WVK21" s="55"/>
      <c r="WVL21" s="55"/>
      <c r="WVM21" s="55"/>
      <c r="WVN21" s="55"/>
      <c r="WVO21" s="55"/>
      <c r="WVP21" s="55"/>
      <c r="WVQ21" s="55"/>
      <c r="WVR21" s="55"/>
      <c r="WVS21" s="55"/>
      <c r="WVT21" s="55"/>
      <c r="WVU21" s="55"/>
      <c r="WVV21" s="55"/>
      <c r="WVW21" s="55"/>
      <c r="WVX21" s="55"/>
      <c r="WVY21" s="55"/>
      <c r="WVZ21" s="55"/>
      <c r="WWA21" s="55"/>
      <c r="WWB21" s="55"/>
      <c r="WWC21" s="55"/>
      <c r="WWD21" s="55"/>
      <c r="WWE21" s="55"/>
      <c r="WWF21" s="55"/>
      <c r="WWG21" s="55"/>
      <c r="WWH21" s="55"/>
      <c r="WWI21" s="55"/>
      <c r="WWJ21" s="55"/>
      <c r="WWK21" s="55"/>
      <c r="WWL21" s="55"/>
      <c r="WWM21" s="55"/>
      <c r="WWN21" s="55"/>
      <c r="WWO21" s="55"/>
      <c r="WWP21" s="55"/>
      <c r="WWQ21" s="55"/>
      <c r="WWR21" s="55"/>
      <c r="WWS21" s="55"/>
      <c r="WWT21" s="55"/>
      <c r="WWU21" s="55"/>
      <c r="WWV21" s="55"/>
      <c r="WWW21" s="55"/>
      <c r="WWX21" s="55"/>
      <c r="WWY21" s="55"/>
      <c r="WWZ21" s="55"/>
      <c r="WXA21" s="55"/>
      <c r="WXB21" s="55"/>
      <c r="WXC21" s="55"/>
      <c r="WXD21" s="55"/>
      <c r="WXE21" s="55"/>
      <c r="WXF21" s="55"/>
      <c r="WXG21" s="55"/>
      <c r="WXH21" s="55"/>
      <c r="WXI21" s="55"/>
      <c r="WXJ21" s="55"/>
      <c r="WXK21" s="55"/>
      <c r="WXL21" s="55"/>
      <c r="WXM21" s="55"/>
      <c r="WXN21" s="55"/>
      <c r="WXO21" s="55"/>
      <c r="WXP21" s="55"/>
      <c r="WXQ21" s="55"/>
      <c r="WXR21" s="55"/>
      <c r="WXS21" s="55"/>
      <c r="WXT21" s="55"/>
      <c r="WXU21" s="55"/>
      <c r="WXV21" s="55"/>
      <c r="WXW21" s="55"/>
      <c r="WXX21" s="55"/>
      <c r="WXY21" s="55"/>
      <c r="WXZ21" s="55"/>
      <c r="WYA21" s="55"/>
      <c r="WYB21" s="55"/>
      <c r="WYC21" s="55"/>
      <c r="WYD21" s="55"/>
      <c r="WYE21" s="55"/>
      <c r="WYF21" s="55"/>
      <c r="WYG21" s="55"/>
      <c r="WYH21" s="55"/>
      <c r="WYI21" s="55"/>
      <c r="WYJ21" s="55"/>
      <c r="WYK21" s="55"/>
      <c r="WYL21" s="55"/>
      <c r="WYM21" s="55"/>
      <c r="WYN21" s="55"/>
      <c r="WYO21" s="55"/>
      <c r="WYP21" s="55"/>
      <c r="WYQ21" s="55"/>
      <c r="WYR21" s="55"/>
      <c r="WYS21" s="55"/>
      <c r="WYT21" s="55"/>
      <c r="WYU21" s="55"/>
      <c r="WYV21" s="55"/>
      <c r="WYW21" s="55"/>
      <c r="WYX21" s="55"/>
      <c r="WYY21" s="55"/>
      <c r="WYZ21" s="55"/>
      <c r="WZA21" s="55"/>
      <c r="WZB21" s="55"/>
      <c r="WZC21" s="55"/>
      <c r="WZD21" s="55"/>
      <c r="WZE21" s="55"/>
      <c r="WZF21" s="55"/>
      <c r="WZG21" s="55"/>
      <c r="WZH21" s="55"/>
      <c r="WZI21" s="55"/>
      <c r="WZJ21" s="55"/>
      <c r="WZK21" s="55"/>
      <c r="WZL21" s="55"/>
      <c r="WZM21" s="55"/>
      <c r="WZN21" s="55"/>
      <c r="WZO21" s="55"/>
      <c r="WZP21" s="55"/>
      <c r="WZQ21" s="55"/>
      <c r="WZR21" s="55"/>
      <c r="WZS21" s="55"/>
      <c r="WZT21" s="55"/>
      <c r="WZU21" s="55"/>
      <c r="WZV21" s="55"/>
      <c r="WZW21" s="55"/>
      <c r="WZX21" s="55"/>
      <c r="WZY21" s="55"/>
      <c r="WZZ21" s="55"/>
      <c r="XAA21" s="55"/>
      <c r="XAB21" s="55"/>
      <c r="XAC21" s="55"/>
      <c r="XAD21" s="55"/>
      <c r="XAE21" s="55"/>
      <c r="XAF21" s="55"/>
      <c r="XAG21" s="55"/>
      <c r="XAH21" s="55"/>
      <c r="XAI21" s="55"/>
      <c r="XAJ21" s="55"/>
      <c r="XAK21" s="55"/>
      <c r="XAL21" s="55"/>
      <c r="XAM21" s="55"/>
      <c r="XAN21" s="55"/>
      <c r="XAO21" s="55"/>
      <c r="XAP21" s="55"/>
      <c r="XAQ21" s="55"/>
      <c r="XAR21" s="55"/>
      <c r="XAS21" s="55"/>
      <c r="XAT21" s="55"/>
      <c r="XAU21" s="55"/>
      <c r="XAV21" s="55"/>
      <c r="XAW21" s="55"/>
      <c r="XAX21" s="55"/>
      <c r="XAY21" s="55"/>
      <c r="XAZ21" s="55"/>
      <c r="XBA21" s="55"/>
      <c r="XBB21" s="55"/>
      <c r="XBC21" s="55"/>
      <c r="XBD21" s="55"/>
      <c r="XBE21" s="55"/>
      <c r="XBF21" s="55"/>
      <c r="XBG21" s="55"/>
      <c r="XBH21" s="55"/>
      <c r="XBI21" s="55"/>
      <c r="XBJ21" s="55"/>
      <c r="XBK21" s="55"/>
      <c r="XBL21" s="55"/>
      <c r="XBM21" s="55"/>
      <c r="XBN21" s="55"/>
      <c r="XBO21" s="55"/>
      <c r="XBP21" s="55"/>
      <c r="XBQ21" s="55"/>
      <c r="XBR21" s="55"/>
      <c r="XBS21" s="55"/>
      <c r="XBT21" s="55"/>
      <c r="XBU21" s="55"/>
      <c r="XBV21" s="55"/>
      <c r="XBW21" s="55"/>
      <c r="XBX21" s="55"/>
      <c r="XBY21" s="55"/>
      <c r="XBZ21" s="55"/>
      <c r="XCA21" s="55"/>
      <c r="XCB21" s="55"/>
      <c r="XCC21" s="55"/>
      <c r="XCD21" s="55"/>
      <c r="XCE21" s="55"/>
      <c r="XCF21" s="55"/>
      <c r="XCG21" s="55"/>
      <c r="XCH21" s="55"/>
      <c r="XCI21" s="55"/>
      <c r="XCJ21" s="55"/>
      <c r="XCK21" s="55"/>
      <c r="XCL21" s="55"/>
      <c r="XCM21" s="55"/>
      <c r="XCN21" s="55"/>
      <c r="XCO21" s="55"/>
      <c r="XCP21" s="55"/>
      <c r="XCQ21" s="55"/>
      <c r="XCR21" s="55"/>
      <c r="XCS21" s="55"/>
      <c r="XCT21" s="55"/>
      <c r="XCU21" s="55"/>
      <c r="XCV21" s="55"/>
      <c r="XCW21" s="55"/>
      <c r="XCX21" s="55"/>
      <c r="XCY21" s="55"/>
      <c r="XCZ21" s="55"/>
      <c r="XDA21" s="55"/>
      <c r="XDB21" s="55"/>
      <c r="XDC21" s="55"/>
      <c r="XDD21" s="55"/>
      <c r="XDE21" s="55"/>
      <c r="XDF21" s="55"/>
      <c r="XDG21" s="55"/>
      <c r="XDH21" s="55"/>
      <c r="XDI21" s="55"/>
      <c r="XDJ21" s="55"/>
      <c r="XDK21" s="55"/>
      <c r="XDL21" s="55"/>
      <c r="XDM21" s="55"/>
      <c r="XDN21" s="55"/>
      <c r="XDO21" s="55"/>
      <c r="XDP21" s="55"/>
      <c r="XDQ21" s="55"/>
      <c r="XDR21" s="55"/>
      <c r="XDS21" s="55"/>
      <c r="XDT21" s="55"/>
      <c r="XDU21" s="55"/>
      <c r="XDV21" s="55"/>
      <c r="XDW21" s="55"/>
      <c r="XDX21" s="55"/>
      <c r="XDY21" s="55"/>
      <c r="XDZ21" s="55"/>
      <c r="XEA21" s="55"/>
      <c r="XEB21" s="55"/>
      <c r="XEC21" s="55"/>
      <c r="XED21" s="55"/>
      <c r="XEE21" s="55"/>
      <c r="XEF21" s="55"/>
      <c r="XEG21" s="55"/>
      <c r="XEH21" s="55"/>
      <c r="XEI21" s="55"/>
      <c r="XEJ21" s="55"/>
      <c r="XEK21" s="55"/>
      <c r="XEL21" s="55"/>
      <c r="XEM21" s="55"/>
      <c r="XEN21" s="55"/>
      <c r="XEO21" s="55"/>
      <c r="XEP21" s="55"/>
      <c r="XEQ21" s="55"/>
      <c r="XER21" s="55"/>
      <c r="XES21" s="55"/>
      <c r="XET21" s="55"/>
      <c r="XEU21" s="55"/>
      <c r="XEV21" s="55"/>
      <c r="XEW21" s="55"/>
      <c r="XEX21" s="55"/>
      <c r="XEY21" s="55"/>
      <c r="XEZ21" s="55"/>
      <c r="XFA21" s="55"/>
      <c r="XFB21" s="55"/>
      <c r="XFC21" s="55"/>
    </row>
    <row r="22" spans="1:16383" x14ac:dyDescent="0.35">
      <c r="A22" t="s">
        <v>190</v>
      </c>
      <c r="C22" s="21">
        <f>'NESN.SW_Income Statement'!B52</f>
        <v>91720000000</v>
      </c>
      <c r="D22" s="21">
        <f>'NESN.SW_Income Statement'!C52</f>
        <v>93351000000</v>
      </c>
      <c r="E22" s="21">
        <f>'NESN.SW_Income Statement'!D52</f>
        <v>94780000000</v>
      </c>
      <c r="F22" s="21">
        <f>'NESN.SW_Income Statement'!E52</f>
        <v>87470000000</v>
      </c>
      <c r="G22" s="21">
        <f>F22*(1+G23)</f>
        <v>86186063498.001953</v>
      </c>
      <c r="H22" s="21">
        <f>G22*(1+H23)</f>
        <v>83988412192.661102</v>
      </c>
      <c r="I22" s="21">
        <f>H22*(1+I23)</f>
        <v>80704367683.490814</v>
      </c>
      <c r="J22" s="22"/>
      <c r="K22" s="22"/>
      <c r="L22" s="22"/>
      <c r="M22" s="22"/>
      <c r="N22" s="22"/>
      <c r="O22" s="22"/>
    </row>
    <row r="23" spans="1:16383" x14ac:dyDescent="0.35">
      <c r="A23" t="s">
        <v>191</v>
      </c>
      <c r="D23" s="24">
        <f>D22/C22-1</f>
        <v>1.7782381160052374E-2</v>
      </c>
      <c r="E23" s="24">
        <f>E22/D22-1</f>
        <v>1.5307816734689395E-2</v>
      </c>
      <c r="F23" s="24">
        <f>F22/E22-1</f>
        <v>-7.7125975944292047E-2</v>
      </c>
      <c r="G23" s="23">
        <f>AVERAGE(D23:F23)</f>
        <v>-1.4678592683183425E-2</v>
      </c>
      <c r="H23" s="23">
        <f t="shared" ref="H23:I23" si="0">AVERAGE(E23:G23)</f>
        <v>-2.5498917297595361E-2</v>
      </c>
      <c r="I23" s="23">
        <f t="shared" si="0"/>
        <v>-3.9101161975023613E-2</v>
      </c>
      <c r="J23" s="24"/>
      <c r="K23" s="24"/>
      <c r="L23" s="24"/>
      <c r="M23" s="24"/>
      <c r="N23" s="24"/>
      <c r="O23" s="24"/>
    </row>
    <row r="24" spans="1:16383" x14ac:dyDescent="0.35">
      <c r="A24" s="25" t="s">
        <v>192</v>
      </c>
      <c r="D24" s="23"/>
      <c r="E24" s="23"/>
      <c r="F24" s="23"/>
      <c r="G24" s="54">
        <f>($E$17*G22)/F22-1</f>
        <v>-0.21174287414654669</v>
      </c>
      <c r="H24" s="54">
        <f t="shared" ref="H24:I24" si="1">($E$17*H22)/G22-1</f>
        <v>-0.22039913383807619</v>
      </c>
      <c r="I24" s="54">
        <f t="shared" si="1"/>
        <v>-0.23128092958001878</v>
      </c>
      <c r="J24" s="53"/>
      <c r="K24" s="53"/>
      <c r="L24" s="53"/>
      <c r="M24" s="53"/>
      <c r="N24" s="53"/>
      <c r="O24" s="53"/>
    </row>
    <row r="25" spans="1:16383" x14ac:dyDescent="0.35">
      <c r="A25" s="25" t="s">
        <v>193</v>
      </c>
      <c r="D25" s="23"/>
      <c r="E25" s="23"/>
      <c r="F25" s="23"/>
      <c r="G25" s="54">
        <f>G23</f>
        <v>-1.4678592683183425E-2</v>
      </c>
      <c r="H25" s="54">
        <f>H23</f>
        <v>-2.5498917297595361E-2</v>
      </c>
      <c r="I25" s="54">
        <f>I23</f>
        <v>-3.9101161975023613E-2</v>
      </c>
      <c r="J25" s="53"/>
      <c r="K25" s="53"/>
      <c r="L25" s="53"/>
      <c r="M25" s="53"/>
      <c r="N25" s="53"/>
      <c r="O25" s="53"/>
    </row>
    <row r="26" spans="1:16383" x14ac:dyDescent="0.35">
      <c r="A26" s="25" t="s">
        <v>194</v>
      </c>
      <c r="D26" s="23"/>
      <c r="E26" s="23"/>
      <c r="F26" s="23"/>
      <c r="G26" s="54">
        <f>($K$17*G22)/F22-1</f>
        <v>8.3853548048498316E-2</v>
      </c>
      <c r="H26" s="54">
        <f>($K$17*H22)/G22-1</f>
        <v>7.1951190972645129E-2</v>
      </c>
      <c r="I26" s="54">
        <f>($K$17*I22)/H22-1</f>
        <v>5.6988721827474054E-2</v>
      </c>
      <c r="J26" s="53"/>
      <c r="K26" s="53"/>
      <c r="L26" s="53"/>
      <c r="M26" s="53"/>
      <c r="N26" s="53"/>
      <c r="O26" s="53"/>
    </row>
    <row r="27" spans="1:16383" x14ac:dyDescent="0.35">
      <c r="D27" s="26"/>
      <c r="E27" s="26"/>
      <c r="F27" s="26"/>
      <c r="G27" s="26"/>
      <c r="H27" s="26"/>
      <c r="I27" s="26"/>
    </row>
    <row r="28" spans="1:16383" x14ac:dyDescent="0.35">
      <c r="A28" t="s">
        <v>116</v>
      </c>
      <c r="C28">
        <f>'NESN.SW_Income Statement'!B50</f>
        <v>43050000000</v>
      </c>
      <c r="D28">
        <f>'NESN.SW_Income Statement'!C50</f>
        <v>43023000000</v>
      </c>
      <c r="E28">
        <f>'NESN.SW_Income Statement'!D50</f>
        <v>43035000000</v>
      </c>
      <c r="F28">
        <f>'NESN.SW_Income Statement'!E50</f>
        <v>42002000000</v>
      </c>
      <c r="G28" s="22">
        <f>G22*G29</f>
        <v>40172956077.325752</v>
      </c>
      <c r="H28" s="22">
        <f>H22*H29</f>
        <v>39080467343.226089</v>
      </c>
      <c r="I28" s="22">
        <f>I22*I29</f>
        <v>37641843928.131363</v>
      </c>
    </row>
    <row r="29" spans="1:16383" x14ac:dyDescent="0.35">
      <c r="A29" t="s">
        <v>195</v>
      </c>
      <c r="C29" s="26">
        <f>C28/C22</f>
        <v>0.46936327954644569</v>
      </c>
      <c r="D29" s="26">
        <f>D28/D22</f>
        <v>0.46087347752032654</v>
      </c>
      <c r="E29" s="26">
        <f>E28/E22</f>
        <v>0.45405148765562353</v>
      </c>
      <c r="F29" s="26">
        <f>F28/F22</f>
        <v>0.48018749285469303</v>
      </c>
      <c r="G29" s="18">
        <f>AVERAGE(C29:F29)</f>
        <v>0.46611893439427221</v>
      </c>
      <c r="H29" s="18">
        <f t="shared" ref="H29:I29" si="2">AVERAGE(D29:G29)</f>
        <v>0.46530784810622883</v>
      </c>
      <c r="I29" s="18">
        <f t="shared" si="2"/>
        <v>0.46641644075270439</v>
      </c>
    </row>
    <row r="30" spans="1:16383" x14ac:dyDescent="0.35">
      <c r="C30" s="26"/>
      <c r="D30" s="26"/>
      <c r="E30" s="26"/>
      <c r="F30" s="26"/>
    </row>
    <row r="31" spans="1:16383" x14ac:dyDescent="0.35">
      <c r="A31" t="s">
        <v>218</v>
      </c>
      <c r="C31" s="1">
        <f>'NESN.SW_Income Statement'!B48</f>
        <v>25679000000</v>
      </c>
      <c r="D31" s="1">
        <f>'NESN.SW_Income Statement'!C48</f>
        <v>25314000000</v>
      </c>
      <c r="E31" s="1">
        <f>'NESN.SW_Income Statement'!D48</f>
        <v>25236000000</v>
      </c>
      <c r="F31" s="1">
        <f>'NESN.SW_Income Statement'!E48</f>
        <v>25213000000</v>
      </c>
      <c r="G31" s="22">
        <f>G22*G32</f>
        <v>23822859086.904881</v>
      </c>
      <c r="H31" s="22">
        <f>H22*H32</f>
        <v>23140658820.976028</v>
      </c>
      <c r="I31" s="22">
        <f>I22*I32</f>
        <v>22323637352.570381</v>
      </c>
    </row>
    <row r="32" spans="1:16383" x14ac:dyDescent="0.35">
      <c r="A32" t="s">
        <v>195</v>
      </c>
      <c r="C32" s="26">
        <f>C31/C22</f>
        <v>0.27997165285651987</v>
      </c>
      <c r="D32" s="26">
        <f>D31/D22</f>
        <v>0.2711700999453675</v>
      </c>
      <c r="E32" s="26">
        <f>E31/E22</f>
        <v>0.26625870436801014</v>
      </c>
      <c r="F32" s="26">
        <f>F31/F22</f>
        <v>0.28824739910826569</v>
      </c>
      <c r="G32" s="18">
        <f>AVERAGE(C32:F32)</f>
        <v>0.27641196406954083</v>
      </c>
      <c r="H32" s="18">
        <f>AVERAGE(D32:G32)</f>
        <v>0.27552204187279605</v>
      </c>
      <c r="I32" s="18">
        <f>AVERAGE(E32:H32)</f>
        <v>0.27661002735465318</v>
      </c>
    </row>
    <row r="34" spans="1:16383" x14ac:dyDescent="0.35">
      <c r="A34" t="s">
        <v>80</v>
      </c>
      <c r="C34" s="1">
        <f>'NESN.SW_Income Statement'!B44</f>
        <v>15613000000</v>
      </c>
      <c r="D34" s="1">
        <f>'NESN.SW_Income Statement'!C44</f>
        <v>15671000000</v>
      </c>
      <c r="E34" s="1">
        <f>'NESN.SW_Income Statement'!D44</f>
        <v>15668000000</v>
      </c>
      <c r="F34" s="1">
        <f>'NESN.SW_Income Statement'!E44</f>
        <v>14930000000</v>
      </c>
      <c r="G34" s="22">
        <f>G22*G35</f>
        <v>14524347379.95307</v>
      </c>
      <c r="H34" s="22">
        <f>H22*H35</f>
        <v>14118266913.02986</v>
      </c>
      <c r="I34" s="22">
        <f>I22*I35</f>
        <v>13570786058.690357</v>
      </c>
    </row>
    <row r="35" spans="1:16383" x14ac:dyDescent="0.35">
      <c r="A35" t="s">
        <v>195</v>
      </c>
      <c r="C35" s="33">
        <f>C34/C22</f>
        <v>0.17022459659834277</v>
      </c>
      <c r="D35" s="33">
        <f>D34/D22</f>
        <v>0.16787179569581473</v>
      </c>
      <c r="E35" s="33">
        <f>E34/E22</f>
        <v>0.16530913694872337</v>
      </c>
      <c r="F35" s="33">
        <f>F34/F22</f>
        <v>0.17068709271750315</v>
      </c>
      <c r="G35" s="34">
        <f>AVERAGE(C35:F35)</f>
        <v>0.168523155490096</v>
      </c>
      <c r="H35" s="34">
        <f>AVERAGE(D35:G35)</f>
        <v>0.16809779521303431</v>
      </c>
      <c r="I35" s="34">
        <f>AVERAGE(E35:H35)</f>
        <v>0.1681542950923392</v>
      </c>
    </row>
    <row r="37" spans="1:16383" x14ac:dyDescent="0.35">
      <c r="A37" t="s">
        <v>220</v>
      </c>
      <c r="C37" s="1">
        <f>C34*'NESN.SW_Income Statement'!B5</f>
        <v>3903250000</v>
      </c>
      <c r="D37" s="1">
        <f>D34*'NESN.SW_Income Statement'!C5</f>
        <v>2852122000</v>
      </c>
      <c r="E37" s="1">
        <f>E34*'NESN.SW_Income Statement'!D5</f>
        <v>3321616000</v>
      </c>
      <c r="F37" s="1">
        <f>F34*'NESN.SW_Income Statement'!E5</f>
        <v>3120370000</v>
      </c>
      <c r="G37" s="30">
        <f>G34*G38</f>
        <v>3097317078.774992</v>
      </c>
      <c r="H37" s="30">
        <f>H34*H38</f>
        <v>2881008841.9401555</v>
      </c>
      <c r="I37" s="30">
        <f>I34*I38</f>
        <v>2844139896.9564652</v>
      </c>
    </row>
    <row r="38" spans="1:16383" x14ac:dyDescent="0.35">
      <c r="A38" t="s">
        <v>196</v>
      </c>
      <c r="C38" s="26">
        <f>'NESN.SW_Income Statement'!B5</f>
        <v>0.25</v>
      </c>
      <c r="D38" s="26">
        <f>'NESN.SW_Income Statement'!C5</f>
        <v>0.182</v>
      </c>
      <c r="E38" s="26">
        <f>'NESN.SW_Income Statement'!D5</f>
        <v>0.21199999999999999</v>
      </c>
      <c r="F38" s="26">
        <f>'NESN.SW_Income Statement'!E5</f>
        <v>0.20899999999999999</v>
      </c>
      <c r="G38" s="18">
        <f>AVERAGE(C38:F38)</f>
        <v>0.21325</v>
      </c>
      <c r="H38" s="18">
        <f>AVERAGE(D38:G38)</f>
        <v>0.20406249999999998</v>
      </c>
      <c r="I38" s="18">
        <f>AVERAGE(E38:H38)</f>
        <v>0.209578125</v>
      </c>
    </row>
    <row r="40" spans="1:16383" x14ac:dyDescent="0.35">
      <c r="A40" t="s">
        <v>203</v>
      </c>
      <c r="C40" s="1">
        <f>C34-C37</f>
        <v>11709750000</v>
      </c>
      <c r="D40" s="1">
        <f t="shared" ref="D40:F40" si="3">D34-D37</f>
        <v>12818878000</v>
      </c>
      <c r="E40" s="1">
        <f t="shared" si="3"/>
        <v>12346384000</v>
      </c>
      <c r="F40" s="1">
        <f t="shared" si="3"/>
        <v>11809630000</v>
      </c>
      <c r="G40" s="22">
        <f>G34-G37</f>
        <v>11427030301.178078</v>
      </c>
      <c r="H40" s="22">
        <f>H34-H37</f>
        <v>11237258071.089705</v>
      </c>
      <c r="I40" s="22">
        <f>I34-I37</f>
        <v>10726646161.733892</v>
      </c>
    </row>
    <row r="41" spans="1:16383" x14ac:dyDescent="0.35">
      <c r="A41" t="s">
        <v>197</v>
      </c>
      <c r="C41" s="26">
        <f t="shared" ref="C41:I41" si="4">C40/C22</f>
        <v>0.12766844744875708</v>
      </c>
      <c r="D41" s="26">
        <f t="shared" si="4"/>
        <v>0.13731912887917644</v>
      </c>
      <c r="E41" s="26">
        <f t="shared" si="4"/>
        <v>0.130263599915594</v>
      </c>
      <c r="F41" s="26">
        <f t="shared" si="4"/>
        <v>0.13501349033954499</v>
      </c>
      <c r="G41" s="26">
        <f t="shared" si="4"/>
        <v>0.13258559258183303</v>
      </c>
      <c r="H41" s="26">
        <f t="shared" si="4"/>
        <v>0.13379533887737449</v>
      </c>
      <c r="I41" s="26">
        <f t="shared" si="4"/>
        <v>0.13291283321619005</v>
      </c>
    </row>
    <row r="42" spans="1:16383" x14ac:dyDescent="0.35">
      <c r="C42" s="26"/>
      <c r="D42" s="26"/>
      <c r="E42" s="26"/>
      <c r="F42" s="26"/>
      <c r="G42" s="26"/>
      <c r="H42" s="26"/>
      <c r="I42" s="26"/>
    </row>
    <row r="44" spans="1:16383" x14ac:dyDescent="0.35">
      <c r="A44" s="55" t="s">
        <v>198</v>
      </c>
      <c r="B44" s="55"/>
      <c r="C44" s="55"/>
      <c r="D44" s="55"/>
      <c r="E44" s="55"/>
      <c r="F44" s="55"/>
      <c r="G44" s="55"/>
      <c r="H44" s="55"/>
      <c r="I44" s="55"/>
      <c r="J44" s="55"/>
      <c r="K44" s="55"/>
      <c r="L44" s="55"/>
      <c r="M44" s="55"/>
      <c r="N44" s="55"/>
      <c r="O44" s="55"/>
      <c r="P44" s="55"/>
      <c r="Q44" s="55"/>
      <c r="R44" s="55"/>
      <c r="S44" s="55"/>
      <c r="T44" s="55"/>
      <c r="U44" s="55"/>
      <c r="V44" s="55"/>
      <c r="W44" s="55"/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  <c r="AK44" s="55"/>
      <c r="AL44" s="55"/>
      <c r="AM44" s="55"/>
      <c r="AN44" s="55"/>
      <c r="AO44" s="55"/>
      <c r="AP44" s="55"/>
      <c r="AQ44" s="55"/>
      <c r="AR44" s="55"/>
      <c r="AS44" s="55"/>
      <c r="AT44" s="55"/>
      <c r="AU44" s="55"/>
      <c r="AV44" s="55"/>
      <c r="AW44" s="55"/>
      <c r="AX44" s="55"/>
      <c r="AY44" s="55"/>
      <c r="AZ44" s="55"/>
      <c r="BA44" s="55"/>
      <c r="BB44" s="55"/>
      <c r="BC44" s="55"/>
      <c r="BD44" s="55"/>
      <c r="BE44" s="55"/>
      <c r="BF44" s="55"/>
      <c r="BG44" s="55"/>
      <c r="BH44" s="55"/>
      <c r="BI44" s="55"/>
      <c r="BJ44" s="55"/>
      <c r="BK44" s="55"/>
      <c r="BL44" s="55"/>
      <c r="BM44" s="55"/>
      <c r="BN44" s="55"/>
      <c r="BO44" s="55"/>
      <c r="BP44" s="55"/>
      <c r="BQ44" s="55"/>
      <c r="BR44" s="55"/>
      <c r="BS44" s="55"/>
      <c r="BT44" s="55"/>
      <c r="BU44" s="55"/>
      <c r="BV44" s="55"/>
      <c r="BW44" s="55"/>
      <c r="BX44" s="55"/>
      <c r="BY44" s="55"/>
      <c r="BZ44" s="55"/>
      <c r="CA44" s="55"/>
      <c r="CB44" s="55"/>
      <c r="CC44" s="55"/>
      <c r="CD44" s="55"/>
      <c r="CE44" s="55"/>
      <c r="CF44" s="55"/>
      <c r="CG44" s="55"/>
      <c r="CH44" s="55"/>
      <c r="CI44" s="55"/>
      <c r="CJ44" s="55"/>
      <c r="CK44" s="55"/>
      <c r="CL44" s="55"/>
      <c r="CM44" s="55"/>
      <c r="CN44" s="55"/>
      <c r="CO44" s="55"/>
      <c r="CP44" s="55"/>
      <c r="CQ44" s="55"/>
      <c r="CR44" s="55"/>
      <c r="CS44" s="55"/>
      <c r="CT44" s="55"/>
      <c r="CU44" s="55"/>
      <c r="CV44" s="55"/>
      <c r="CW44" s="55"/>
      <c r="CX44" s="55"/>
      <c r="CY44" s="55"/>
      <c r="CZ44" s="55"/>
      <c r="DA44" s="55"/>
      <c r="DB44" s="55"/>
      <c r="DC44" s="55"/>
      <c r="DD44" s="55"/>
      <c r="DE44" s="55"/>
      <c r="DF44" s="55"/>
      <c r="DG44" s="55"/>
      <c r="DH44" s="55"/>
      <c r="DI44" s="55"/>
      <c r="DJ44" s="55"/>
      <c r="DK44" s="55"/>
      <c r="DL44" s="55"/>
      <c r="DM44" s="55"/>
      <c r="DN44" s="55"/>
      <c r="DO44" s="55"/>
      <c r="DP44" s="55"/>
      <c r="DQ44" s="55"/>
      <c r="DR44" s="55"/>
      <c r="DS44" s="55"/>
      <c r="DT44" s="55"/>
      <c r="DU44" s="55"/>
      <c r="DV44" s="55"/>
      <c r="DW44" s="55"/>
      <c r="DX44" s="55"/>
      <c r="DY44" s="55"/>
      <c r="DZ44" s="55"/>
      <c r="EA44" s="55"/>
      <c r="EB44" s="55"/>
      <c r="EC44" s="55"/>
      <c r="ED44" s="55"/>
      <c r="EE44" s="55"/>
      <c r="EF44" s="55"/>
      <c r="EG44" s="55"/>
      <c r="EH44" s="55"/>
      <c r="EI44" s="55"/>
      <c r="EJ44" s="55"/>
      <c r="EK44" s="55"/>
      <c r="EL44" s="55"/>
      <c r="EM44" s="55"/>
      <c r="EN44" s="55"/>
      <c r="EO44" s="55"/>
      <c r="EP44" s="55"/>
      <c r="EQ44" s="55"/>
      <c r="ER44" s="55"/>
      <c r="ES44" s="55"/>
      <c r="ET44" s="55"/>
      <c r="EU44" s="55"/>
      <c r="EV44" s="55"/>
      <c r="EW44" s="55"/>
      <c r="EX44" s="55"/>
      <c r="EY44" s="55"/>
      <c r="EZ44" s="55"/>
      <c r="FA44" s="55"/>
      <c r="FB44" s="55"/>
      <c r="FC44" s="55"/>
      <c r="FD44" s="55"/>
      <c r="FE44" s="55"/>
      <c r="FF44" s="55"/>
      <c r="FG44" s="55"/>
      <c r="FH44" s="55"/>
      <c r="FI44" s="55"/>
      <c r="FJ44" s="55"/>
      <c r="FK44" s="55"/>
      <c r="FL44" s="55"/>
      <c r="FM44" s="55"/>
      <c r="FN44" s="55"/>
      <c r="FO44" s="55"/>
      <c r="FP44" s="55"/>
      <c r="FQ44" s="55"/>
      <c r="FR44" s="55"/>
      <c r="FS44" s="55"/>
      <c r="FT44" s="55"/>
      <c r="FU44" s="55"/>
      <c r="FV44" s="55"/>
      <c r="FW44" s="55"/>
      <c r="FX44" s="55"/>
      <c r="FY44" s="55"/>
      <c r="FZ44" s="55"/>
      <c r="GA44" s="55"/>
      <c r="GB44" s="55"/>
      <c r="GC44" s="55"/>
      <c r="GD44" s="55"/>
      <c r="GE44" s="55"/>
      <c r="GF44" s="55"/>
      <c r="GG44" s="55"/>
      <c r="GH44" s="55"/>
      <c r="GI44" s="55"/>
      <c r="GJ44" s="55"/>
      <c r="GK44" s="55"/>
      <c r="GL44" s="55"/>
      <c r="GM44" s="55"/>
      <c r="GN44" s="55"/>
      <c r="GO44" s="55"/>
      <c r="GP44" s="55"/>
      <c r="GQ44" s="55"/>
      <c r="GR44" s="55"/>
      <c r="GS44" s="55"/>
      <c r="GT44" s="55"/>
      <c r="GU44" s="55"/>
      <c r="GV44" s="55"/>
      <c r="GW44" s="55"/>
      <c r="GX44" s="55"/>
      <c r="GY44" s="55"/>
      <c r="GZ44" s="55"/>
      <c r="HA44" s="55"/>
      <c r="HB44" s="55"/>
      <c r="HC44" s="55"/>
      <c r="HD44" s="55"/>
      <c r="HE44" s="55"/>
      <c r="HF44" s="55"/>
      <c r="HG44" s="55"/>
      <c r="HH44" s="55"/>
      <c r="HI44" s="55"/>
      <c r="HJ44" s="55"/>
      <c r="HK44" s="55"/>
      <c r="HL44" s="55"/>
      <c r="HM44" s="55"/>
      <c r="HN44" s="55"/>
      <c r="HO44" s="55"/>
      <c r="HP44" s="55"/>
      <c r="HQ44" s="55"/>
      <c r="HR44" s="55"/>
      <c r="HS44" s="55"/>
      <c r="HT44" s="55"/>
      <c r="HU44" s="55"/>
      <c r="HV44" s="55"/>
      <c r="HW44" s="55"/>
      <c r="HX44" s="55"/>
      <c r="HY44" s="55"/>
      <c r="HZ44" s="55"/>
      <c r="IA44" s="55"/>
      <c r="IB44" s="55"/>
      <c r="IC44" s="55"/>
      <c r="ID44" s="55"/>
      <c r="IE44" s="55"/>
      <c r="IF44" s="55"/>
      <c r="IG44" s="55"/>
      <c r="IH44" s="55"/>
      <c r="II44" s="55"/>
      <c r="IJ44" s="55"/>
      <c r="IK44" s="55"/>
      <c r="IL44" s="55"/>
      <c r="IM44" s="55"/>
      <c r="IN44" s="55"/>
      <c r="IO44" s="55"/>
      <c r="IP44" s="55"/>
      <c r="IQ44" s="55"/>
      <c r="IR44" s="55"/>
      <c r="IS44" s="55"/>
      <c r="IT44" s="55"/>
      <c r="IU44" s="55"/>
      <c r="IV44" s="55"/>
      <c r="IW44" s="55"/>
      <c r="IX44" s="55"/>
      <c r="IY44" s="55"/>
      <c r="IZ44" s="55"/>
      <c r="JA44" s="55"/>
      <c r="JB44" s="55"/>
      <c r="JC44" s="55"/>
      <c r="JD44" s="55"/>
      <c r="JE44" s="55"/>
      <c r="JF44" s="55"/>
      <c r="JG44" s="55"/>
      <c r="JH44" s="55"/>
      <c r="JI44" s="55"/>
      <c r="JJ44" s="55"/>
      <c r="JK44" s="55"/>
      <c r="JL44" s="55"/>
      <c r="JM44" s="55"/>
      <c r="JN44" s="55"/>
      <c r="JO44" s="55"/>
      <c r="JP44" s="55"/>
      <c r="JQ44" s="55"/>
      <c r="JR44" s="55"/>
      <c r="JS44" s="55"/>
      <c r="JT44" s="55"/>
      <c r="JU44" s="55"/>
      <c r="JV44" s="55"/>
      <c r="JW44" s="55"/>
      <c r="JX44" s="55"/>
      <c r="JY44" s="55"/>
      <c r="JZ44" s="55"/>
      <c r="KA44" s="55"/>
      <c r="KB44" s="55"/>
      <c r="KC44" s="55"/>
      <c r="KD44" s="55"/>
      <c r="KE44" s="55"/>
      <c r="KF44" s="55"/>
      <c r="KG44" s="55"/>
      <c r="KH44" s="55"/>
      <c r="KI44" s="55"/>
      <c r="KJ44" s="55"/>
      <c r="KK44" s="55"/>
      <c r="KL44" s="55"/>
      <c r="KM44" s="55"/>
      <c r="KN44" s="55"/>
      <c r="KO44" s="55"/>
      <c r="KP44" s="55"/>
      <c r="KQ44" s="55"/>
      <c r="KR44" s="55"/>
      <c r="KS44" s="55"/>
      <c r="KT44" s="55"/>
      <c r="KU44" s="55"/>
      <c r="KV44" s="55"/>
      <c r="KW44" s="55"/>
      <c r="KX44" s="55"/>
      <c r="KY44" s="55"/>
      <c r="KZ44" s="55"/>
      <c r="LA44" s="55"/>
      <c r="LB44" s="55"/>
      <c r="LC44" s="55"/>
      <c r="LD44" s="55"/>
      <c r="LE44" s="55"/>
      <c r="LF44" s="55"/>
      <c r="LG44" s="55"/>
      <c r="LH44" s="55"/>
      <c r="LI44" s="55"/>
      <c r="LJ44" s="55"/>
      <c r="LK44" s="55"/>
      <c r="LL44" s="55"/>
      <c r="LM44" s="55"/>
      <c r="LN44" s="55"/>
      <c r="LO44" s="55"/>
      <c r="LP44" s="55"/>
      <c r="LQ44" s="55"/>
      <c r="LR44" s="55"/>
      <c r="LS44" s="55"/>
      <c r="LT44" s="55"/>
      <c r="LU44" s="55"/>
      <c r="LV44" s="55"/>
      <c r="LW44" s="55"/>
      <c r="LX44" s="55"/>
      <c r="LY44" s="55"/>
      <c r="LZ44" s="55"/>
      <c r="MA44" s="55"/>
      <c r="MB44" s="55"/>
      <c r="MC44" s="55"/>
      <c r="MD44" s="55"/>
      <c r="ME44" s="55"/>
      <c r="MF44" s="55"/>
      <c r="MG44" s="55"/>
      <c r="MH44" s="55"/>
      <c r="MI44" s="55"/>
      <c r="MJ44" s="55"/>
      <c r="MK44" s="55"/>
      <c r="ML44" s="55"/>
      <c r="MM44" s="55"/>
      <c r="MN44" s="55"/>
      <c r="MO44" s="55"/>
      <c r="MP44" s="55"/>
      <c r="MQ44" s="55"/>
      <c r="MR44" s="55"/>
      <c r="MS44" s="55"/>
      <c r="MT44" s="55"/>
      <c r="MU44" s="55"/>
      <c r="MV44" s="55"/>
      <c r="MW44" s="55"/>
      <c r="MX44" s="55"/>
      <c r="MY44" s="55"/>
      <c r="MZ44" s="55"/>
      <c r="NA44" s="55"/>
      <c r="NB44" s="55"/>
      <c r="NC44" s="55"/>
      <c r="ND44" s="55"/>
      <c r="NE44" s="55"/>
      <c r="NF44" s="55"/>
      <c r="NG44" s="55"/>
      <c r="NH44" s="55"/>
      <c r="NI44" s="55"/>
      <c r="NJ44" s="55"/>
      <c r="NK44" s="55"/>
      <c r="NL44" s="55"/>
      <c r="NM44" s="55"/>
      <c r="NN44" s="55"/>
      <c r="NO44" s="55"/>
      <c r="NP44" s="55"/>
      <c r="NQ44" s="55"/>
      <c r="NR44" s="55"/>
      <c r="NS44" s="55"/>
      <c r="NT44" s="55"/>
      <c r="NU44" s="55"/>
      <c r="NV44" s="55"/>
      <c r="NW44" s="55"/>
      <c r="NX44" s="55"/>
      <c r="NY44" s="55"/>
      <c r="NZ44" s="55"/>
      <c r="OA44" s="55"/>
      <c r="OB44" s="55"/>
      <c r="OC44" s="55"/>
      <c r="OD44" s="55"/>
      <c r="OE44" s="55"/>
      <c r="OF44" s="55"/>
      <c r="OG44" s="55"/>
      <c r="OH44" s="55"/>
      <c r="OI44" s="55"/>
      <c r="OJ44" s="55"/>
      <c r="OK44" s="55"/>
      <c r="OL44" s="55"/>
      <c r="OM44" s="55"/>
      <c r="ON44" s="55"/>
      <c r="OO44" s="55"/>
      <c r="OP44" s="55"/>
      <c r="OQ44" s="55"/>
      <c r="OR44" s="55"/>
      <c r="OS44" s="55"/>
      <c r="OT44" s="55"/>
      <c r="OU44" s="55"/>
      <c r="OV44" s="55"/>
      <c r="OW44" s="55"/>
      <c r="OX44" s="55"/>
      <c r="OY44" s="55"/>
      <c r="OZ44" s="55"/>
      <c r="PA44" s="55"/>
      <c r="PB44" s="55"/>
      <c r="PC44" s="55"/>
      <c r="PD44" s="55"/>
      <c r="PE44" s="55"/>
      <c r="PF44" s="55"/>
      <c r="PG44" s="55"/>
      <c r="PH44" s="55"/>
      <c r="PI44" s="55"/>
      <c r="PJ44" s="55"/>
      <c r="PK44" s="55"/>
      <c r="PL44" s="55"/>
      <c r="PM44" s="55"/>
      <c r="PN44" s="55"/>
      <c r="PO44" s="55"/>
      <c r="PP44" s="55"/>
      <c r="PQ44" s="55"/>
      <c r="PR44" s="55"/>
      <c r="PS44" s="55"/>
      <c r="PT44" s="55"/>
      <c r="PU44" s="55"/>
      <c r="PV44" s="55"/>
      <c r="PW44" s="55"/>
      <c r="PX44" s="55"/>
      <c r="PY44" s="55"/>
      <c r="PZ44" s="55"/>
      <c r="QA44" s="55"/>
      <c r="QB44" s="55"/>
      <c r="QC44" s="55"/>
      <c r="QD44" s="55"/>
      <c r="QE44" s="55"/>
      <c r="QF44" s="55"/>
      <c r="QG44" s="55"/>
      <c r="QH44" s="55"/>
      <c r="QI44" s="55"/>
      <c r="QJ44" s="55"/>
      <c r="QK44" s="55"/>
      <c r="QL44" s="55"/>
      <c r="QM44" s="55"/>
      <c r="QN44" s="55"/>
      <c r="QO44" s="55"/>
      <c r="QP44" s="55"/>
      <c r="QQ44" s="55"/>
      <c r="QR44" s="55"/>
      <c r="QS44" s="55"/>
      <c r="QT44" s="55"/>
      <c r="QU44" s="55"/>
      <c r="QV44" s="55"/>
      <c r="QW44" s="55"/>
      <c r="QX44" s="55"/>
      <c r="QY44" s="55"/>
      <c r="QZ44" s="55"/>
      <c r="RA44" s="55"/>
      <c r="RB44" s="55"/>
      <c r="RC44" s="55"/>
      <c r="RD44" s="55"/>
      <c r="RE44" s="55"/>
      <c r="RF44" s="55"/>
      <c r="RG44" s="55"/>
      <c r="RH44" s="55"/>
      <c r="RI44" s="55"/>
      <c r="RJ44" s="55"/>
      <c r="RK44" s="55"/>
      <c r="RL44" s="55"/>
      <c r="RM44" s="55"/>
      <c r="RN44" s="55"/>
      <c r="RO44" s="55"/>
      <c r="RP44" s="55"/>
      <c r="RQ44" s="55"/>
      <c r="RR44" s="55"/>
      <c r="RS44" s="55"/>
      <c r="RT44" s="55"/>
      <c r="RU44" s="55"/>
      <c r="RV44" s="55"/>
      <c r="RW44" s="55"/>
      <c r="RX44" s="55"/>
      <c r="RY44" s="55"/>
      <c r="RZ44" s="55"/>
      <c r="SA44" s="55"/>
      <c r="SB44" s="55"/>
      <c r="SC44" s="55"/>
      <c r="SD44" s="55"/>
      <c r="SE44" s="55"/>
      <c r="SF44" s="55"/>
      <c r="SG44" s="55"/>
      <c r="SH44" s="55"/>
      <c r="SI44" s="55"/>
      <c r="SJ44" s="55"/>
      <c r="SK44" s="55"/>
      <c r="SL44" s="55"/>
      <c r="SM44" s="55"/>
      <c r="SN44" s="55"/>
      <c r="SO44" s="55"/>
      <c r="SP44" s="55"/>
      <c r="SQ44" s="55"/>
      <c r="SR44" s="55"/>
      <c r="SS44" s="55"/>
      <c r="ST44" s="55"/>
      <c r="SU44" s="55"/>
      <c r="SV44" s="55"/>
      <c r="SW44" s="55"/>
      <c r="SX44" s="55"/>
      <c r="SY44" s="55"/>
      <c r="SZ44" s="55"/>
      <c r="TA44" s="55"/>
      <c r="TB44" s="55"/>
      <c r="TC44" s="55"/>
      <c r="TD44" s="55"/>
      <c r="TE44" s="55"/>
      <c r="TF44" s="55"/>
      <c r="TG44" s="55"/>
      <c r="TH44" s="55"/>
      <c r="TI44" s="55"/>
      <c r="TJ44" s="55"/>
      <c r="TK44" s="55"/>
      <c r="TL44" s="55"/>
      <c r="TM44" s="55"/>
      <c r="TN44" s="55"/>
      <c r="TO44" s="55"/>
      <c r="TP44" s="55"/>
      <c r="TQ44" s="55"/>
      <c r="TR44" s="55"/>
      <c r="TS44" s="55"/>
      <c r="TT44" s="55"/>
      <c r="TU44" s="55"/>
      <c r="TV44" s="55"/>
      <c r="TW44" s="55"/>
      <c r="TX44" s="55"/>
      <c r="TY44" s="55"/>
      <c r="TZ44" s="55"/>
      <c r="UA44" s="55"/>
      <c r="UB44" s="55"/>
      <c r="UC44" s="55"/>
      <c r="UD44" s="55"/>
      <c r="UE44" s="55"/>
      <c r="UF44" s="55"/>
      <c r="UG44" s="55"/>
      <c r="UH44" s="55"/>
      <c r="UI44" s="55"/>
      <c r="UJ44" s="55"/>
      <c r="UK44" s="55"/>
      <c r="UL44" s="55"/>
      <c r="UM44" s="55"/>
      <c r="UN44" s="55"/>
      <c r="UO44" s="55"/>
      <c r="UP44" s="55"/>
      <c r="UQ44" s="55"/>
      <c r="UR44" s="55"/>
      <c r="US44" s="55"/>
      <c r="UT44" s="55"/>
      <c r="UU44" s="55"/>
      <c r="UV44" s="55"/>
      <c r="UW44" s="55"/>
      <c r="UX44" s="55"/>
      <c r="UY44" s="55"/>
      <c r="UZ44" s="55"/>
      <c r="VA44" s="55"/>
      <c r="VB44" s="55"/>
      <c r="VC44" s="55"/>
      <c r="VD44" s="55"/>
      <c r="VE44" s="55"/>
      <c r="VF44" s="55"/>
      <c r="VG44" s="55"/>
      <c r="VH44" s="55"/>
      <c r="VI44" s="55"/>
      <c r="VJ44" s="55"/>
      <c r="VK44" s="55"/>
      <c r="VL44" s="55"/>
      <c r="VM44" s="55"/>
      <c r="VN44" s="55"/>
      <c r="VO44" s="55"/>
      <c r="VP44" s="55"/>
      <c r="VQ44" s="55"/>
      <c r="VR44" s="55"/>
      <c r="VS44" s="55"/>
      <c r="VT44" s="55"/>
      <c r="VU44" s="55"/>
      <c r="VV44" s="55"/>
      <c r="VW44" s="55"/>
      <c r="VX44" s="55"/>
      <c r="VY44" s="55"/>
      <c r="VZ44" s="55"/>
      <c r="WA44" s="55"/>
      <c r="WB44" s="55"/>
      <c r="WC44" s="55"/>
      <c r="WD44" s="55"/>
      <c r="WE44" s="55"/>
      <c r="WF44" s="55"/>
      <c r="WG44" s="55"/>
      <c r="WH44" s="55"/>
      <c r="WI44" s="55"/>
      <c r="WJ44" s="55"/>
      <c r="WK44" s="55"/>
      <c r="WL44" s="55"/>
      <c r="WM44" s="55"/>
      <c r="WN44" s="55"/>
      <c r="WO44" s="55"/>
      <c r="WP44" s="55"/>
      <c r="WQ44" s="55"/>
      <c r="WR44" s="55"/>
      <c r="WS44" s="55"/>
      <c r="WT44" s="55"/>
      <c r="WU44" s="55"/>
      <c r="WV44" s="55"/>
      <c r="WW44" s="55"/>
      <c r="WX44" s="55"/>
      <c r="WY44" s="55"/>
      <c r="WZ44" s="55"/>
      <c r="XA44" s="55"/>
      <c r="XB44" s="55"/>
      <c r="XC44" s="55"/>
      <c r="XD44" s="55"/>
      <c r="XE44" s="55"/>
      <c r="XF44" s="55"/>
      <c r="XG44" s="55"/>
      <c r="XH44" s="55"/>
      <c r="XI44" s="55"/>
      <c r="XJ44" s="55"/>
      <c r="XK44" s="55"/>
      <c r="XL44" s="55"/>
      <c r="XM44" s="55"/>
      <c r="XN44" s="55"/>
      <c r="XO44" s="55"/>
      <c r="XP44" s="55"/>
      <c r="XQ44" s="55"/>
      <c r="XR44" s="55"/>
      <c r="XS44" s="55"/>
      <c r="XT44" s="55"/>
      <c r="XU44" s="55"/>
      <c r="XV44" s="55"/>
      <c r="XW44" s="55"/>
      <c r="XX44" s="55"/>
      <c r="XY44" s="55"/>
      <c r="XZ44" s="55"/>
      <c r="YA44" s="55"/>
      <c r="YB44" s="55"/>
      <c r="YC44" s="55"/>
      <c r="YD44" s="55"/>
      <c r="YE44" s="55"/>
      <c r="YF44" s="55"/>
      <c r="YG44" s="55"/>
      <c r="YH44" s="55"/>
      <c r="YI44" s="55"/>
      <c r="YJ44" s="55"/>
      <c r="YK44" s="55"/>
      <c r="YL44" s="55"/>
      <c r="YM44" s="55"/>
      <c r="YN44" s="55"/>
      <c r="YO44" s="55"/>
      <c r="YP44" s="55"/>
      <c r="YQ44" s="55"/>
      <c r="YR44" s="55"/>
      <c r="YS44" s="55"/>
      <c r="YT44" s="55"/>
      <c r="YU44" s="55"/>
      <c r="YV44" s="55"/>
      <c r="YW44" s="55"/>
      <c r="YX44" s="55"/>
      <c r="YY44" s="55"/>
      <c r="YZ44" s="55"/>
      <c r="ZA44" s="55"/>
      <c r="ZB44" s="55"/>
      <c r="ZC44" s="55"/>
      <c r="ZD44" s="55"/>
      <c r="ZE44" s="55"/>
      <c r="ZF44" s="55"/>
      <c r="ZG44" s="55"/>
      <c r="ZH44" s="55"/>
      <c r="ZI44" s="55"/>
      <c r="ZJ44" s="55"/>
      <c r="ZK44" s="55"/>
      <c r="ZL44" s="55"/>
      <c r="ZM44" s="55"/>
      <c r="ZN44" s="55"/>
      <c r="ZO44" s="55"/>
      <c r="ZP44" s="55"/>
      <c r="ZQ44" s="55"/>
      <c r="ZR44" s="55"/>
      <c r="ZS44" s="55"/>
      <c r="ZT44" s="55"/>
      <c r="ZU44" s="55"/>
      <c r="ZV44" s="55"/>
      <c r="ZW44" s="55"/>
      <c r="ZX44" s="55"/>
      <c r="ZY44" s="55"/>
      <c r="ZZ44" s="55"/>
      <c r="AAA44" s="55"/>
      <c r="AAB44" s="55"/>
      <c r="AAC44" s="55"/>
      <c r="AAD44" s="55"/>
      <c r="AAE44" s="55"/>
      <c r="AAF44" s="55"/>
      <c r="AAG44" s="55"/>
      <c r="AAH44" s="55"/>
      <c r="AAI44" s="55"/>
      <c r="AAJ44" s="55"/>
      <c r="AAK44" s="55"/>
      <c r="AAL44" s="55"/>
      <c r="AAM44" s="55"/>
      <c r="AAN44" s="55"/>
      <c r="AAO44" s="55"/>
      <c r="AAP44" s="55"/>
      <c r="AAQ44" s="55"/>
      <c r="AAR44" s="55"/>
      <c r="AAS44" s="55"/>
      <c r="AAT44" s="55"/>
      <c r="AAU44" s="55"/>
      <c r="AAV44" s="55"/>
      <c r="AAW44" s="55"/>
      <c r="AAX44" s="55"/>
      <c r="AAY44" s="55"/>
      <c r="AAZ44" s="55"/>
      <c r="ABA44" s="55"/>
      <c r="ABB44" s="55"/>
      <c r="ABC44" s="55"/>
      <c r="ABD44" s="55"/>
      <c r="ABE44" s="55"/>
      <c r="ABF44" s="55"/>
      <c r="ABG44" s="55"/>
      <c r="ABH44" s="55"/>
      <c r="ABI44" s="55"/>
      <c r="ABJ44" s="55"/>
      <c r="ABK44" s="55"/>
      <c r="ABL44" s="55"/>
      <c r="ABM44" s="55"/>
      <c r="ABN44" s="55"/>
      <c r="ABO44" s="55"/>
      <c r="ABP44" s="55"/>
      <c r="ABQ44" s="55"/>
      <c r="ABR44" s="55"/>
      <c r="ABS44" s="55"/>
      <c r="ABT44" s="55"/>
      <c r="ABU44" s="55"/>
      <c r="ABV44" s="55"/>
      <c r="ABW44" s="55"/>
      <c r="ABX44" s="55"/>
      <c r="ABY44" s="55"/>
      <c r="ABZ44" s="55"/>
      <c r="ACA44" s="55"/>
      <c r="ACB44" s="55"/>
      <c r="ACC44" s="55"/>
      <c r="ACD44" s="55"/>
      <c r="ACE44" s="55"/>
      <c r="ACF44" s="55"/>
      <c r="ACG44" s="55"/>
      <c r="ACH44" s="55"/>
      <c r="ACI44" s="55"/>
      <c r="ACJ44" s="55"/>
      <c r="ACK44" s="55"/>
      <c r="ACL44" s="55"/>
      <c r="ACM44" s="55"/>
      <c r="ACN44" s="55"/>
      <c r="ACO44" s="55"/>
      <c r="ACP44" s="55"/>
      <c r="ACQ44" s="55"/>
      <c r="ACR44" s="55"/>
      <c r="ACS44" s="55"/>
      <c r="ACT44" s="55"/>
      <c r="ACU44" s="55"/>
      <c r="ACV44" s="55"/>
      <c r="ACW44" s="55"/>
      <c r="ACX44" s="55"/>
      <c r="ACY44" s="55"/>
      <c r="ACZ44" s="55"/>
      <c r="ADA44" s="55"/>
      <c r="ADB44" s="55"/>
      <c r="ADC44" s="55"/>
      <c r="ADD44" s="55"/>
      <c r="ADE44" s="55"/>
      <c r="ADF44" s="55"/>
      <c r="ADG44" s="55"/>
      <c r="ADH44" s="55"/>
      <c r="ADI44" s="55"/>
      <c r="ADJ44" s="55"/>
      <c r="ADK44" s="55"/>
      <c r="ADL44" s="55"/>
      <c r="ADM44" s="55"/>
      <c r="ADN44" s="55"/>
      <c r="ADO44" s="55"/>
      <c r="ADP44" s="55"/>
      <c r="ADQ44" s="55"/>
      <c r="ADR44" s="55"/>
      <c r="ADS44" s="55"/>
      <c r="ADT44" s="55"/>
      <c r="ADU44" s="55"/>
      <c r="ADV44" s="55"/>
      <c r="ADW44" s="55"/>
      <c r="ADX44" s="55"/>
      <c r="ADY44" s="55"/>
      <c r="ADZ44" s="55"/>
      <c r="AEA44" s="55"/>
      <c r="AEB44" s="55"/>
      <c r="AEC44" s="55"/>
      <c r="AED44" s="55"/>
      <c r="AEE44" s="55"/>
      <c r="AEF44" s="55"/>
      <c r="AEG44" s="55"/>
      <c r="AEH44" s="55"/>
      <c r="AEI44" s="55"/>
      <c r="AEJ44" s="55"/>
      <c r="AEK44" s="55"/>
      <c r="AEL44" s="55"/>
      <c r="AEM44" s="55"/>
      <c r="AEN44" s="55"/>
      <c r="AEO44" s="55"/>
      <c r="AEP44" s="55"/>
      <c r="AEQ44" s="55"/>
      <c r="AER44" s="55"/>
      <c r="AES44" s="55"/>
      <c r="AET44" s="55"/>
      <c r="AEU44" s="55"/>
      <c r="AEV44" s="55"/>
      <c r="AEW44" s="55"/>
      <c r="AEX44" s="55"/>
      <c r="AEY44" s="55"/>
      <c r="AEZ44" s="55"/>
      <c r="AFA44" s="55"/>
      <c r="AFB44" s="55"/>
      <c r="AFC44" s="55"/>
      <c r="AFD44" s="55"/>
      <c r="AFE44" s="55"/>
      <c r="AFF44" s="55"/>
      <c r="AFG44" s="55"/>
      <c r="AFH44" s="55"/>
      <c r="AFI44" s="55"/>
      <c r="AFJ44" s="55"/>
      <c r="AFK44" s="55"/>
      <c r="AFL44" s="55"/>
      <c r="AFM44" s="55"/>
      <c r="AFN44" s="55"/>
      <c r="AFO44" s="55"/>
      <c r="AFP44" s="55"/>
      <c r="AFQ44" s="55"/>
      <c r="AFR44" s="55"/>
      <c r="AFS44" s="55"/>
      <c r="AFT44" s="55"/>
      <c r="AFU44" s="55"/>
      <c r="AFV44" s="55"/>
      <c r="AFW44" s="55"/>
      <c r="AFX44" s="55"/>
      <c r="AFY44" s="55"/>
      <c r="AFZ44" s="55"/>
      <c r="AGA44" s="55"/>
      <c r="AGB44" s="55"/>
      <c r="AGC44" s="55"/>
      <c r="AGD44" s="55"/>
      <c r="AGE44" s="55"/>
      <c r="AGF44" s="55"/>
      <c r="AGG44" s="55"/>
      <c r="AGH44" s="55"/>
      <c r="AGI44" s="55"/>
      <c r="AGJ44" s="55"/>
      <c r="AGK44" s="55"/>
      <c r="AGL44" s="55"/>
      <c r="AGM44" s="55"/>
      <c r="AGN44" s="55"/>
      <c r="AGO44" s="55"/>
      <c r="AGP44" s="55"/>
      <c r="AGQ44" s="55"/>
      <c r="AGR44" s="55"/>
      <c r="AGS44" s="55"/>
      <c r="AGT44" s="55"/>
      <c r="AGU44" s="55"/>
      <c r="AGV44" s="55"/>
      <c r="AGW44" s="55"/>
      <c r="AGX44" s="55"/>
      <c r="AGY44" s="55"/>
      <c r="AGZ44" s="55"/>
      <c r="AHA44" s="55"/>
      <c r="AHB44" s="55"/>
      <c r="AHC44" s="55"/>
      <c r="AHD44" s="55"/>
      <c r="AHE44" s="55"/>
      <c r="AHF44" s="55"/>
      <c r="AHG44" s="55"/>
      <c r="AHH44" s="55"/>
      <c r="AHI44" s="55"/>
      <c r="AHJ44" s="55"/>
      <c r="AHK44" s="55"/>
      <c r="AHL44" s="55"/>
      <c r="AHM44" s="55"/>
      <c r="AHN44" s="55"/>
      <c r="AHO44" s="55"/>
      <c r="AHP44" s="55"/>
      <c r="AHQ44" s="55"/>
      <c r="AHR44" s="55"/>
      <c r="AHS44" s="55"/>
      <c r="AHT44" s="55"/>
      <c r="AHU44" s="55"/>
      <c r="AHV44" s="55"/>
      <c r="AHW44" s="55"/>
      <c r="AHX44" s="55"/>
      <c r="AHY44" s="55"/>
      <c r="AHZ44" s="55"/>
      <c r="AIA44" s="55"/>
      <c r="AIB44" s="55"/>
      <c r="AIC44" s="55"/>
      <c r="AID44" s="55"/>
      <c r="AIE44" s="55"/>
      <c r="AIF44" s="55"/>
      <c r="AIG44" s="55"/>
      <c r="AIH44" s="55"/>
      <c r="AII44" s="55"/>
      <c r="AIJ44" s="55"/>
      <c r="AIK44" s="55"/>
      <c r="AIL44" s="55"/>
      <c r="AIM44" s="55"/>
      <c r="AIN44" s="55"/>
      <c r="AIO44" s="55"/>
      <c r="AIP44" s="55"/>
      <c r="AIQ44" s="55"/>
      <c r="AIR44" s="55"/>
      <c r="AIS44" s="55"/>
      <c r="AIT44" s="55"/>
      <c r="AIU44" s="55"/>
      <c r="AIV44" s="55"/>
      <c r="AIW44" s="55"/>
      <c r="AIX44" s="55"/>
      <c r="AIY44" s="55"/>
      <c r="AIZ44" s="55"/>
      <c r="AJA44" s="55"/>
      <c r="AJB44" s="55"/>
      <c r="AJC44" s="55"/>
      <c r="AJD44" s="55"/>
      <c r="AJE44" s="55"/>
      <c r="AJF44" s="55"/>
      <c r="AJG44" s="55"/>
      <c r="AJH44" s="55"/>
      <c r="AJI44" s="55"/>
      <c r="AJJ44" s="55"/>
      <c r="AJK44" s="55"/>
      <c r="AJL44" s="55"/>
      <c r="AJM44" s="55"/>
      <c r="AJN44" s="55"/>
      <c r="AJO44" s="55"/>
      <c r="AJP44" s="55"/>
      <c r="AJQ44" s="55"/>
      <c r="AJR44" s="55"/>
      <c r="AJS44" s="55"/>
      <c r="AJT44" s="55"/>
      <c r="AJU44" s="55"/>
      <c r="AJV44" s="55"/>
      <c r="AJW44" s="55"/>
      <c r="AJX44" s="55"/>
      <c r="AJY44" s="55"/>
      <c r="AJZ44" s="55"/>
      <c r="AKA44" s="55"/>
      <c r="AKB44" s="55"/>
      <c r="AKC44" s="55"/>
      <c r="AKD44" s="55"/>
      <c r="AKE44" s="55"/>
      <c r="AKF44" s="55"/>
      <c r="AKG44" s="55"/>
      <c r="AKH44" s="55"/>
      <c r="AKI44" s="55"/>
      <c r="AKJ44" s="55"/>
      <c r="AKK44" s="55"/>
      <c r="AKL44" s="55"/>
      <c r="AKM44" s="55"/>
      <c r="AKN44" s="55"/>
      <c r="AKO44" s="55"/>
      <c r="AKP44" s="55"/>
      <c r="AKQ44" s="55"/>
      <c r="AKR44" s="55"/>
      <c r="AKS44" s="55"/>
      <c r="AKT44" s="55"/>
      <c r="AKU44" s="55"/>
      <c r="AKV44" s="55"/>
      <c r="AKW44" s="55"/>
      <c r="AKX44" s="55"/>
      <c r="AKY44" s="55"/>
      <c r="AKZ44" s="55"/>
      <c r="ALA44" s="55"/>
      <c r="ALB44" s="55"/>
      <c r="ALC44" s="55"/>
      <c r="ALD44" s="55"/>
      <c r="ALE44" s="55"/>
      <c r="ALF44" s="55"/>
      <c r="ALG44" s="55"/>
      <c r="ALH44" s="55"/>
      <c r="ALI44" s="55"/>
      <c r="ALJ44" s="55"/>
      <c r="ALK44" s="55"/>
      <c r="ALL44" s="55"/>
      <c r="ALM44" s="55"/>
      <c r="ALN44" s="55"/>
      <c r="ALO44" s="55"/>
      <c r="ALP44" s="55"/>
      <c r="ALQ44" s="55"/>
      <c r="ALR44" s="55"/>
      <c r="ALS44" s="55"/>
      <c r="ALT44" s="55"/>
      <c r="ALU44" s="55"/>
      <c r="ALV44" s="55"/>
      <c r="ALW44" s="55"/>
      <c r="ALX44" s="55"/>
      <c r="ALY44" s="55"/>
      <c r="ALZ44" s="55"/>
      <c r="AMA44" s="55"/>
      <c r="AMB44" s="55"/>
      <c r="AMC44" s="55"/>
      <c r="AMD44" s="55"/>
      <c r="AME44" s="55"/>
      <c r="AMF44" s="55"/>
      <c r="AMG44" s="55"/>
      <c r="AMH44" s="55"/>
      <c r="AMI44" s="55"/>
      <c r="AMJ44" s="55"/>
      <c r="AMK44" s="55"/>
      <c r="AML44" s="55"/>
      <c r="AMM44" s="55"/>
      <c r="AMN44" s="55"/>
      <c r="AMO44" s="55"/>
      <c r="AMP44" s="55"/>
      <c r="AMQ44" s="55"/>
      <c r="AMR44" s="55"/>
      <c r="AMS44" s="55"/>
      <c r="AMT44" s="55"/>
      <c r="AMU44" s="55"/>
      <c r="AMV44" s="55"/>
      <c r="AMW44" s="55"/>
      <c r="AMX44" s="55"/>
      <c r="AMY44" s="55"/>
      <c r="AMZ44" s="55"/>
      <c r="ANA44" s="55"/>
      <c r="ANB44" s="55"/>
      <c r="ANC44" s="55"/>
      <c r="AND44" s="55"/>
      <c r="ANE44" s="55"/>
      <c r="ANF44" s="55"/>
      <c r="ANG44" s="55"/>
      <c r="ANH44" s="55"/>
      <c r="ANI44" s="55"/>
      <c r="ANJ44" s="55"/>
      <c r="ANK44" s="55"/>
      <c r="ANL44" s="55"/>
      <c r="ANM44" s="55"/>
      <c r="ANN44" s="55"/>
      <c r="ANO44" s="55"/>
      <c r="ANP44" s="55"/>
      <c r="ANQ44" s="55"/>
      <c r="ANR44" s="55"/>
      <c r="ANS44" s="55"/>
      <c r="ANT44" s="55"/>
      <c r="ANU44" s="55"/>
      <c r="ANV44" s="55"/>
      <c r="ANW44" s="55"/>
      <c r="ANX44" s="55"/>
      <c r="ANY44" s="55"/>
      <c r="ANZ44" s="55"/>
      <c r="AOA44" s="55"/>
      <c r="AOB44" s="55"/>
      <c r="AOC44" s="55"/>
      <c r="AOD44" s="55"/>
      <c r="AOE44" s="55"/>
      <c r="AOF44" s="55"/>
      <c r="AOG44" s="55"/>
      <c r="AOH44" s="55"/>
      <c r="AOI44" s="55"/>
      <c r="AOJ44" s="55"/>
      <c r="AOK44" s="55"/>
      <c r="AOL44" s="55"/>
      <c r="AOM44" s="55"/>
      <c r="AON44" s="55"/>
      <c r="AOO44" s="55"/>
      <c r="AOP44" s="55"/>
      <c r="AOQ44" s="55"/>
      <c r="AOR44" s="55"/>
      <c r="AOS44" s="55"/>
      <c r="AOT44" s="55"/>
      <c r="AOU44" s="55"/>
      <c r="AOV44" s="55"/>
      <c r="AOW44" s="55"/>
      <c r="AOX44" s="55"/>
      <c r="AOY44" s="55"/>
      <c r="AOZ44" s="55"/>
      <c r="APA44" s="55"/>
      <c r="APB44" s="55"/>
      <c r="APC44" s="55"/>
      <c r="APD44" s="55"/>
      <c r="APE44" s="55"/>
      <c r="APF44" s="55"/>
      <c r="APG44" s="55"/>
      <c r="APH44" s="55"/>
      <c r="API44" s="55"/>
      <c r="APJ44" s="55"/>
      <c r="APK44" s="55"/>
      <c r="APL44" s="55"/>
      <c r="APM44" s="55"/>
      <c r="APN44" s="55"/>
      <c r="APO44" s="55"/>
      <c r="APP44" s="55"/>
      <c r="APQ44" s="55"/>
      <c r="APR44" s="55"/>
      <c r="APS44" s="55"/>
      <c r="APT44" s="55"/>
      <c r="APU44" s="55"/>
      <c r="APV44" s="55"/>
      <c r="APW44" s="55"/>
      <c r="APX44" s="55"/>
      <c r="APY44" s="55"/>
      <c r="APZ44" s="55"/>
      <c r="AQA44" s="55"/>
      <c r="AQB44" s="55"/>
      <c r="AQC44" s="55"/>
      <c r="AQD44" s="55"/>
      <c r="AQE44" s="55"/>
      <c r="AQF44" s="55"/>
      <c r="AQG44" s="55"/>
      <c r="AQH44" s="55"/>
      <c r="AQI44" s="55"/>
      <c r="AQJ44" s="55"/>
      <c r="AQK44" s="55"/>
      <c r="AQL44" s="55"/>
      <c r="AQM44" s="55"/>
      <c r="AQN44" s="55"/>
      <c r="AQO44" s="55"/>
      <c r="AQP44" s="55"/>
      <c r="AQQ44" s="55"/>
      <c r="AQR44" s="55"/>
      <c r="AQS44" s="55"/>
      <c r="AQT44" s="55"/>
      <c r="AQU44" s="55"/>
      <c r="AQV44" s="55"/>
      <c r="AQW44" s="55"/>
      <c r="AQX44" s="55"/>
      <c r="AQY44" s="55"/>
      <c r="AQZ44" s="55"/>
      <c r="ARA44" s="55"/>
      <c r="ARB44" s="55"/>
      <c r="ARC44" s="55"/>
      <c r="ARD44" s="55"/>
      <c r="ARE44" s="55"/>
      <c r="ARF44" s="55"/>
      <c r="ARG44" s="55"/>
      <c r="ARH44" s="55"/>
      <c r="ARI44" s="55"/>
      <c r="ARJ44" s="55"/>
      <c r="ARK44" s="55"/>
      <c r="ARL44" s="55"/>
      <c r="ARM44" s="55"/>
      <c r="ARN44" s="55"/>
      <c r="ARO44" s="55"/>
      <c r="ARP44" s="55"/>
      <c r="ARQ44" s="55"/>
      <c r="ARR44" s="55"/>
      <c r="ARS44" s="55"/>
      <c r="ART44" s="55"/>
      <c r="ARU44" s="55"/>
      <c r="ARV44" s="55"/>
      <c r="ARW44" s="55"/>
      <c r="ARX44" s="55"/>
      <c r="ARY44" s="55"/>
      <c r="ARZ44" s="55"/>
      <c r="ASA44" s="55"/>
      <c r="ASB44" s="55"/>
      <c r="ASC44" s="55"/>
      <c r="ASD44" s="55"/>
      <c r="ASE44" s="55"/>
      <c r="ASF44" s="55"/>
      <c r="ASG44" s="55"/>
      <c r="ASH44" s="55"/>
      <c r="ASI44" s="55"/>
      <c r="ASJ44" s="55"/>
      <c r="ASK44" s="55"/>
      <c r="ASL44" s="55"/>
      <c r="ASM44" s="55"/>
      <c r="ASN44" s="55"/>
      <c r="ASO44" s="55"/>
      <c r="ASP44" s="55"/>
      <c r="ASQ44" s="55"/>
      <c r="ASR44" s="55"/>
      <c r="ASS44" s="55"/>
      <c r="AST44" s="55"/>
      <c r="ASU44" s="55"/>
      <c r="ASV44" s="55"/>
      <c r="ASW44" s="55"/>
      <c r="ASX44" s="55"/>
      <c r="ASY44" s="55"/>
      <c r="ASZ44" s="55"/>
      <c r="ATA44" s="55"/>
      <c r="ATB44" s="55"/>
      <c r="ATC44" s="55"/>
      <c r="ATD44" s="55"/>
      <c r="ATE44" s="55"/>
      <c r="ATF44" s="55"/>
      <c r="ATG44" s="55"/>
      <c r="ATH44" s="55"/>
      <c r="ATI44" s="55"/>
      <c r="ATJ44" s="55"/>
      <c r="ATK44" s="55"/>
      <c r="ATL44" s="55"/>
      <c r="ATM44" s="55"/>
      <c r="ATN44" s="55"/>
      <c r="ATO44" s="55"/>
      <c r="ATP44" s="55"/>
      <c r="ATQ44" s="55"/>
      <c r="ATR44" s="55"/>
      <c r="ATS44" s="55"/>
      <c r="ATT44" s="55"/>
      <c r="ATU44" s="55"/>
      <c r="ATV44" s="55"/>
      <c r="ATW44" s="55"/>
      <c r="ATX44" s="55"/>
      <c r="ATY44" s="55"/>
      <c r="ATZ44" s="55"/>
      <c r="AUA44" s="55"/>
      <c r="AUB44" s="55"/>
      <c r="AUC44" s="55"/>
      <c r="AUD44" s="55"/>
      <c r="AUE44" s="55"/>
      <c r="AUF44" s="55"/>
      <c r="AUG44" s="55"/>
      <c r="AUH44" s="55"/>
      <c r="AUI44" s="55"/>
      <c r="AUJ44" s="55"/>
      <c r="AUK44" s="55"/>
      <c r="AUL44" s="55"/>
      <c r="AUM44" s="55"/>
      <c r="AUN44" s="55"/>
      <c r="AUO44" s="55"/>
      <c r="AUP44" s="55"/>
      <c r="AUQ44" s="55"/>
      <c r="AUR44" s="55"/>
      <c r="AUS44" s="55"/>
      <c r="AUT44" s="55"/>
      <c r="AUU44" s="55"/>
      <c r="AUV44" s="55"/>
      <c r="AUW44" s="55"/>
      <c r="AUX44" s="55"/>
      <c r="AUY44" s="55"/>
      <c r="AUZ44" s="55"/>
      <c r="AVA44" s="55"/>
      <c r="AVB44" s="55"/>
      <c r="AVC44" s="55"/>
      <c r="AVD44" s="55"/>
      <c r="AVE44" s="55"/>
      <c r="AVF44" s="55"/>
      <c r="AVG44" s="55"/>
      <c r="AVH44" s="55"/>
      <c r="AVI44" s="55"/>
      <c r="AVJ44" s="55"/>
      <c r="AVK44" s="55"/>
      <c r="AVL44" s="55"/>
      <c r="AVM44" s="55"/>
      <c r="AVN44" s="55"/>
      <c r="AVO44" s="55"/>
      <c r="AVP44" s="55"/>
      <c r="AVQ44" s="55"/>
      <c r="AVR44" s="55"/>
      <c r="AVS44" s="55"/>
      <c r="AVT44" s="55"/>
      <c r="AVU44" s="55"/>
      <c r="AVV44" s="55"/>
      <c r="AVW44" s="55"/>
      <c r="AVX44" s="55"/>
      <c r="AVY44" s="55"/>
      <c r="AVZ44" s="55"/>
      <c r="AWA44" s="55"/>
      <c r="AWB44" s="55"/>
      <c r="AWC44" s="55"/>
      <c r="AWD44" s="55"/>
      <c r="AWE44" s="55"/>
      <c r="AWF44" s="55"/>
      <c r="AWG44" s="55"/>
      <c r="AWH44" s="55"/>
      <c r="AWI44" s="55"/>
      <c r="AWJ44" s="55"/>
      <c r="AWK44" s="55"/>
      <c r="AWL44" s="55"/>
      <c r="AWM44" s="55"/>
      <c r="AWN44" s="55"/>
      <c r="AWO44" s="55"/>
      <c r="AWP44" s="55"/>
      <c r="AWQ44" s="55"/>
      <c r="AWR44" s="55"/>
      <c r="AWS44" s="55"/>
      <c r="AWT44" s="55"/>
      <c r="AWU44" s="55"/>
      <c r="AWV44" s="55"/>
      <c r="AWW44" s="55"/>
      <c r="AWX44" s="55"/>
      <c r="AWY44" s="55"/>
      <c r="AWZ44" s="55"/>
      <c r="AXA44" s="55"/>
      <c r="AXB44" s="55"/>
      <c r="AXC44" s="55"/>
      <c r="AXD44" s="55"/>
      <c r="AXE44" s="55"/>
      <c r="AXF44" s="55"/>
      <c r="AXG44" s="55"/>
      <c r="AXH44" s="55"/>
      <c r="AXI44" s="55"/>
      <c r="AXJ44" s="55"/>
      <c r="AXK44" s="55"/>
      <c r="AXL44" s="55"/>
      <c r="AXM44" s="55"/>
      <c r="AXN44" s="55"/>
      <c r="AXO44" s="55"/>
      <c r="AXP44" s="55"/>
      <c r="AXQ44" s="55"/>
      <c r="AXR44" s="55"/>
      <c r="AXS44" s="55"/>
      <c r="AXT44" s="55"/>
      <c r="AXU44" s="55"/>
      <c r="AXV44" s="55"/>
      <c r="AXW44" s="55"/>
      <c r="AXX44" s="55"/>
      <c r="AXY44" s="55"/>
      <c r="AXZ44" s="55"/>
      <c r="AYA44" s="55"/>
      <c r="AYB44" s="55"/>
      <c r="AYC44" s="55"/>
      <c r="AYD44" s="55"/>
      <c r="AYE44" s="55"/>
      <c r="AYF44" s="55"/>
      <c r="AYG44" s="55"/>
      <c r="AYH44" s="55"/>
      <c r="AYI44" s="55"/>
      <c r="AYJ44" s="55"/>
      <c r="AYK44" s="55"/>
      <c r="AYL44" s="55"/>
      <c r="AYM44" s="55"/>
      <c r="AYN44" s="55"/>
      <c r="AYO44" s="55"/>
      <c r="AYP44" s="55"/>
      <c r="AYQ44" s="55"/>
      <c r="AYR44" s="55"/>
      <c r="AYS44" s="55"/>
      <c r="AYT44" s="55"/>
      <c r="AYU44" s="55"/>
      <c r="AYV44" s="55"/>
      <c r="AYW44" s="55"/>
      <c r="AYX44" s="55"/>
      <c r="AYY44" s="55"/>
      <c r="AYZ44" s="55"/>
      <c r="AZA44" s="55"/>
      <c r="AZB44" s="55"/>
      <c r="AZC44" s="55"/>
      <c r="AZD44" s="55"/>
      <c r="AZE44" s="55"/>
      <c r="AZF44" s="55"/>
      <c r="AZG44" s="55"/>
      <c r="AZH44" s="55"/>
      <c r="AZI44" s="55"/>
      <c r="AZJ44" s="55"/>
      <c r="AZK44" s="55"/>
      <c r="AZL44" s="55"/>
      <c r="AZM44" s="55"/>
      <c r="AZN44" s="55"/>
      <c r="AZO44" s="55"/>
      <c r="AZP44" s="55"/>
      <c r="AZQ44" s="55"/>
      <c r="AZR44" s="55"/>
      <c r="AZS44" s="55"/>
      <c r="AZT44" s="55"/>
      <c r="AZU44" s="55"/>
      <c r="AZV44" s="55"/>
      <c r="AZW44" s="55"/>
      <c r="AZX44" s="55"/>
      <c r="AZY44" s="55"/>
      <c r="AZZ44" s="55"/>
      <c r="BAA44" s="55"/>
      <c r="BAB44" s="55"/>
      <c r="BAC44" s="55"/>
      <c r="BAD44" s="55"/>
      <c r="BAE44" s="55"/>
      <c r="BAF44" s="55"/>
      <c r="BAG44" s="55"/>
      <c r="BAH44" s="55"/>
      <c r="BAI44" s="55"/>
      <c r="BAJ44" s="55"/>
      <c r="BAK44" s="55"/>
      <c r="BAL44" s="55"/>
      <c r="BAM44" s="55"/>
      <c r="BAN44" s="55"/>
      <c r="BAO44" s="55"/>
      <c r="BAP44" s="55"/>
      <c r="BAQ44" s="55"/>
      <c r="BAR44" s="55"/>
      <c r="BAS44" s="55"/>
      <c r="BAT44" s="55"/>
      <c r="BAU44" s="55"/>
      <c r="BAV44" s="55"/>
      <c r="BAW44" s="55"/>
      <c r="BAX44" s="55"/>
      <c r="BAY44" s="55"/>
      <c r="BAZ44" s="55"/>
      <c r="BBA44" s="55"/>
      <c r="BBB44" s="55"/>
      <c r="BBC44" s="55"/>
      <c r="BBD44" s="55"/>
      <c r="BBE44" s="55"/>
      <c r="BBF44" s="55"/>
      <c r="BBG44" s="55"/>
      <c r="BBH44" s="55"/>
      <c r="BBI44" s="55"/>
      <c r="BBJ44" s="55"/>
      <c r="BBK44" s="55"/>
      <c r="BBL44" s="55"/>
      <c r="BBM44" s="55"/>
      <c r="BBN44" s="55"/>
      <c r="BBO44" s="55"/>
      <c r="BBP44" s="55"/>
      <c r="BBQ44" s="55"/>
      <c r="BBR44" s="55"/>
      <c r="BBS44" s="55"/>
      <c r="BBT44" s="55"/>
      <c r="BBU44" s="55"/>
      <c r="BBV44" s="55"/>
      <c r="BBW44" s="55"/>
      <c r="BBX44" s="55"/>
      <c r="BBY44" s="55"/>
      <c r="BBZ44" s="55"/>
      <c r="BCA44" s="55"/>
      <c r="BCB44" s="55"/>
      <c r="BCC44" s="55"/>
      <c r="BCD44" s="55"/>
      <c r="BCE44" s="55"/>
      <c r="BCF44" s="55"/>
      <c r="BCG44" s="55"/>
      <c r="BCH44" s="55"/>
      <c r="BCI44" s="55"/>
      <c r="BCJ44" s="55"/>
      <c r="BCK44" s="55"/>
      <c r="BCL44" s="55"/>
      <c r="BCM44" s="55"/>
      <c r="BCN44" s="55"/>
      <c r="BCO44" s="55"/>
      <c r="BCP44" s="55"/>
      <c r="BCQ44" s="55"/>
      <c r="BCR44" s="55"/>
      <c r="BCS44" s="55"/>
      <c r="BCT44" s="55"/>
      <c r="BCU44" s="55"/>
      <c r="BCV44" s="55"/>
      <c r="BCW44" s="55"/>
      <c r="BCX44" s="55"/>
      <c r="BCY44" s="55"/>
      <c r="BCZ44" s="55"/>
      <c r="BDA44" s="55"/>
      <c r="BDB44" s="55"/>
      <c r="BDC44" s="55"/>
      <c r="BDD44" s="55"/>
      <c r="BDE44" s="55"/>
      <c r="BDF44" s="55"/>
      <c r="BDG44" s="55"/>
      <c r="BDH44" s="55"/>
      <c r="BDI44" s="55"/>
      <c r="BDJ44" s="55"/>
      <c r="BDK44" s="55"/>
      <c r="BDL44" s="55"/>
      <c r="BDM44" s="55"/>
      <c r="BDN44" s="55"/>
      <c r="BDO44" s="55"/>
      <c r="BDP44" s="55"/>
      <c r="BDQ44" s="55"/>
      <c r="BDR44" s="55"/>
      <c r="BDS44" s="55"/>
      <c r="BDT44" s="55"/>
      <c r="BDU44" s="55"/>
      <c r="BDV44" s="55"/>
      <c r="BDW44" s="55"/>
      <c r="BDX44" s="55"/>
      <c r="BDY44" s="55"/>
      <c r="BDZ44" s="55"/>
      <c r="BEA44" s="55"/>
      <c r="BEB44" s="55"/>
      <c r="BEC44" s="55"/>
      <c r="BED44" s="55"/>
      <c r="BEE44" s="55"/>
      <c r="BEF44" s="55"/>
      <c r="BEG44" s="55"/>
      <c r="BEH44" s="55"/>
      <c r="BEI44" s="55"/>
      <c r="BEJ44" s="55"/>
      <c r="BEK44" s="55"/>
      <c r="BEL44" s="55"/>
      <c r="BEM44" s="55"/>
      <c r="BEN44" s="55"/>
      <c r="BEO44" s="55"/>
      <c r="BEP44" s="55"/>
      <c r="BEQ44" s="55"/>
      <c r="BER44" s="55"/>
      <c r="BES44" s="55"/>
      <c r="BET44" s="55"/>
      <c r="BEU44" s="55"/>
      <c r="BEV44" s="55"/>
      <c r="BEW44" s="55"/>
      <c r="BEX44" s="55"/>
      <c r="BEY44" s="55"/>
      <c r="BEZ44" s="55"/>
      <c r="BFA44" s="55"/>
      <c r="BFB44" s="55"/>
      <c r="BFC44" s="55"/>
      <c r="BFD44" s="55"/>
      <c r="BFE44" s="55"/>
      <c r="BFF44" s="55"/>
      <c r="BFG44" s="55"/>
      <c r="BFH44" s="55"/>
      <c r="BFI44" s="55"/>
      <c r="BFJ44" s="55"/>
      <c r="BFK44" s="55"/>
      <c r="BFL44" s="55"/>
      <c r="BFM44" s="55"/>
      <c r="BFN44" s="55"/>
      <c r="BFO44" s="55"/>
      <c r="BFP44" s="55"/>
      <c r="BFQ44" s="55"/>
      <c r="BFR44" s="55"/>
      <c r="BFS44" s="55"/>
      <c r="BFT44" s="55"/>
      <c r="BFU44" s="55"/>
      <c r="BFV44" s="55"/>
      <c r="BFW44" s="55"/>
      <c r="BFX44" s="55"/>
      <c r="BFY44" s="55"/>
      <c r="BFZ44" s="55"/>
      <c r="BGA44" s="55"/>
      <c r="BGB44" s="55"/>
      <c r="BGC44" s="55"/>
      <c r="BGD44" s="55"/>
      <c r="BGE44" s="55"/>
      <c r="BGF44" s="55"/>
      <c r="BGG44" s="55"/>
      <c r="BGH44" s="55"/>
      <c r="BGI44" s="55"/>
      <c r="BGJ44" s="55"/>
      <c r="BGK44" s="55"/>
      <c r="BGL44" s="55"/>
      <c r="BGM44" s="55"/>
      <c r="BGN44" s="55"/>
      <c r="BGO44" s="55"/>
      <c r="BGP44" s="55"/>
      <c r="BGQ44" s="55"/>
      <c r="BGR44" s="55"/>
      <c r="BGS44" s="55"/>
      <c r="BGT44" s="55"/>
      <c r="BGU44" s="55"/>
      <c r="BGV44" s="55"/>
      <c r="BGW44" s="55"/>
      <c r="BGX44" s="55"/>
      <c r="BGY44" s="55"/>
      <c r="BGZ44" s="55"/>
      <c r="BHA44" s="55"/>
      <c r="BHB44" s="55"/>
      <c r="BHC44" s="55"/>
      <c r="BHD44" s="55"/>
      <c r="BHE44" s="55"/>
      <c r="BHF44" s="55"/>
      <c r="BHG44" s="55"/>
      <c r="BHH44" s="55"/>
      <c r="BHI44" s="55"/>
      <c r="BHJ44" s="55"/>
      <c r="BHK44" s="55"/>
      <c r="BHL44" s="55"/>
      <c r="BHM44" s="55"/>
      <c r="BHN44" s="55"/>
      <c r="BHO44" s="55"/>
      <c r="BHP44" s="55"/>
      <c r="BHQ44" s="55"/>
      <c r="BHR44" s="55"/>
      <c r="BHS44" s="55"/>
      <c r="BHT44" s="55"/>
      <c r="BHU44" s="55"/>
      <c r="BHV44" s="55"/>
      <c r="BHW44" s="55"/>
      <c r="BHX44" s="55"/>
      <c r="BHY44" s="55"/>
      <c r="BHZ44" s="55"/>
      <c r="BIA44" s="55"/>
      <c r="BIB44" s="55"/>
      <c r="BIC44" s="55"/>
      <c r="BID44" s="55"/>
      <c r="BIE44" s="55"/>
      <c r="BIF44" s="55"/>
      <c r="BIG44" s="55"/>
      <c r="BIH44" s="55"/>
      <c r="BII44" s="55"/>
      <c r="BIJ44" s="55"/>
      <c r="BIK44" s="55"/>
      <c r="BIL44" s="55"/>
      <c r="BIM44" s="55"/>
      <c r="BIN44" s="55"/>
      <c r="BIO44" s="55"/>
      <c r="BIP44" s="55"/>
      <c r="BIQ44" s="55"/>
      <c r="BIR44" s="55"/>
      <c r="BIS44" s="55"/>
      <c r="BIT44" s="55"/>
      <c r="BIU44" s="55"/>
      <c r="BIV44" s="55"/>
      <c r="BIW44" s="55"/>
      <c r="BIX44" s="55"/>
      <c r="BIY44" s="55"/>
      <c r="BIZ44" s="55"/>
      <c r="BJA44" s="55"/>
      <c r="BJB44" s="55"/>
      <c r="BJC44" s="55"/>
      <c r="BJD44" s="55"/>
      <c r="BJE44" s="55"/>
      <c r="BJF44" s="55"/>
      <c r="BJG44" s="55"/>
      <c r="BJH44" s="55"/>
      <c r="BJI44" s="55"/>
      <c r="BJJ44" s="55"/>
      <c r="BJK44" s="55"/>
      <c r="BJL44" s="55"/>
      <c r="BJM44" s="55"/>
      <c r="BJN44" s="55"/>
      <c r="BJO44" s="55"/>
      <c r="BJP44" s="55"/>
      <c r="BJQ44" s="55"/>
      <c r="BJR44" s="55"/>
      <c r="BJS44" s="55"/>
      <c r="BJT44" s="55"/>
      <c r="BJU44" s="55"/>
      <c r="BJV44" s="55"/>
      <c r="BJW44" s="55"/>
      <c r="BJX44" s="55"/>
      <c r="BJY44" s="55"/>
      <c r="BJZ44" s="55"/>
      <c r="BKA44" s="55"/>
      <c r="BKB44" s="55"/>
      <c r="BKC44" s="55"/>
      <c r="BKD44" s="55"/>
      <c r="BKE44" s="55"/>
      <c r="BKF44" s="55"/>
      <c r="BKG44" s="55"/>
      <c r="BKH44" s="55"/>
      <c r="BKI44" s="55"/>
      <c r="BKJ44" s="55"/>
      <c r="BKK44" s="55"/>
      <c r="BKL44" s="55"/>
      <c r="BKM44" s="55"/>
      <c r="BKN44" s="55"/>
      <c r="BKO44" s="55"/>
      <c r="BKP44" s="55"/>
      <c r="BKQ44" s="55"/>
      <c r="BKR44" s="55"/>
      <c r="BKS44" s="55"/>
      <c r="BKT44" s="55"/>
      <c r="BKU44" s="55"/>
      <c r="BKV44" s="55"/>
      <c r="BKW44" s="55"/>
      <c r="BKX44" s="55"/>
      <c r="BKY44" s="55"/>
      <c r="BKZ44" s="55"/>
      <c r="BLA44" s="55"/>
      <c r="BLB44" s="55"/>
      <c r="BLC44" s="55"/>
      <c r="BLD44" s="55"/>
      <c r="BLE44" s="55"/>
      <c r="BLF44" s="55"/>
      <c r="BLG44" s="55"/>
      <c r="BLH44" s="55"/>
      <c r="BLI44" s="55"/>
      <c r="BLJ44" s="55"/>
      <c r="BLK44" s="55"/>
      <c r="BLL44" s="55"/>
      <c r="BLM44" s="55"/>
      <c r="BLN44" s="55"/>
      <c r="BLO44" s="55"/>
      <c r="BLP44" s="55"/>
      <c r="BLQ44" s="55"/>
      <c r="BLR44" s="55"/>
      <c r="BLS44" s="55"/>
      <c r="BLT44" s="55"/>
      <c r="BLU44" s="55"/>
      <c r="BLV44" s="55"/>
      <c r="BLW44" s="55"/>
      <c r="BLX44" s="55"/>
      <c r="BLY44" s="55"/>
      <c r="BLZ44" s="55"/>
      <c r="BMA44" s="55"/>
      <c r="BMB44" s="55"/>
      <c r="BMC44" s="55"/>
      <c r="BMD44" s="55"/>
      <c r="BME44" s="55"/>
      <c r="BMF44" s="55"/>
      <c r="BMG44" s="55"/>
      <c r="BMH44" s="55"/>
      <c r="BMI44" s="55"/>
      <c r="BMJ44" s="55"/>
      <c r="BMK44" s="55"/>
      <c r="BML44" s="55"/>
      <c r="BMM44" s="55"/>
      <c r="BMN44" s="55"/>
      <c r="BMO44" s="55"/>
      <c r="BMP44" s="55"/>
      <c r="BMQ44" s="55"/>
      <c r="BMR44" s="55"/>
      <c r="BMS44" s="55"/>
      <c r="BMT44" s="55"/>
      <c r="BMU44" s="55"/>
      <c r="BMV44" s="55"/>
      <c r="BMW44" s="55"/>
      <c r="BMX44" s="55"/>
      <c r="BMY44" s="55"/>
      <c r="BMZ44" s="55"/>
      <c r="BNA44" s="55"/>
      <c r="BNB44" s="55"/>
      <c r="BNC44" s="55"/>
      <c r="BND44" s="55"/>
      <c r="BNE44" s="55"/>
      <c r="BNF44" s="55"/>
      <c r="BNG44" s="55"/>
      <c r="BNH44" s="55"/>
      <c r="BNI44" s="55"/>
      <c r="BNJ44" s="55"/>
      <c r="BNK44" s="55"/>
      <c r="BNL44" s="55"/>
      <c r="BNM44" s="55"/>
      <c r="BNN44" s="55"/>
      <c r="BNO44" s="55"/>
      <c r="BNP44" s="55"/>
      <c r="BNQ44" s="55"/>
      <c r="BNR44" s="55"/>
      <c r="BNS44" s="55"/>
      <c r="BNT44" s="55"/>
      <c r="BNU44" s="55"/>
      <c r="BNV44" s="55"/>
      <c r="BNW44" s="55"/>
      <c r="BNX44" s="55"/>
      <c r="BNY44" s="55"/>
      <c r="BNZ44" s="55"/>
      <c r="BOA44" s="55"/>
      <c r="BOB44" s="55"/>
      <c r="BOC44" s="55"/>
      <c r="BOD44" s="55"/>
      <c r="BOE44" s="55"/>
      <c r="BOF44" s="55"/>
      <c r="BOG44" s="55"/>
      <c r="BOH44" s="55"/>
      <c r="BOI44" s="55"/>
      <c r="BOJ44" s="55"/>
      <c r="BOK44" s="55"/>
      <c r="BOL44" s="55"/>
      <c r="BOM44" s="55"/>
      <c r="BON44" s="55"/>
      <c r="BOO44" s="55"/>
      <c r="BOP44" s="55"/>
      <c r="BOQ44" s="55"/>
      <c r="BOR44" s="55"/>
      <c r="BOS44" s="55"/>
      <c r="BOT44" s="55"/>
      <c r="BOU44" s="55"/>
      <c r="BOV44" s="55"/>
      <c r="BOW44" s="55"/>
      <c r="BOX44" s="55"/>
      <c r="BOY44" s="55"/>
      <c r="BOZ44" s="55"/>
      <c r="BPA44" s="55"/>
      <c r="BPB44" s="55"/>
      <c r="BPC44" s="55"/>
      <c r="BPD44" s="55"/>
      <c r="BPE44" s="55"/>
      <c r="BPF44" s="55"/>
      <c r="BPG44" s="55"/>
      <c r="BPH44" s="55"/>
      <c r="BPI44" s="55"/>
      <c r="BPJ44" s="55"/>
      <c r="BPK44" s="55"/>
      <c r="BPL44" s="55"/>
      <c r="BPM44" s="55"/>
      <c r="BPN44" s="55"/>
      <c r="BPO44" s="55"/>
      <c r="BPP44" s="55"/>
      <c r="BPQ44" s="55"/>
      <c r="BPR44" s="55"/>
      <c r="BPS44" s="55"/>
      <c r="BPT44" s="55"/>
      <c r="BPU44" s="55"/>
      <c r="BPV44" s="55"/>
      <c r="BPW44" s="55"/>
      <c r="BPX44" s="55"/>
      <c r="BPY44" s="55"/>
      <c r="BPZ44" s="55"/>
      <c r="BQA44" s="55"/>
      <c r="BQB44" s="55"/>
      <c r="BQC44" s="55"/>
      <c r="BQD44" s="55"/>
      <c r="BQE44" s="55"/>
      <c r="BQF44" s="55"/>
      <c r="BQG44" s="55"/>
      <c r="BQH44" s="55"/>
      <c r="BQI44" s="55"/>
      <c r="BQJ44" s="55"/>
      <c r="BQK44" s="55"/>
      <c r="BQL44" s="55"/>
      <c r="BQM44" s="55"/>
      <c r="BQN44" s="55"/>
      <c r="BQO44" s="55"/>
      <c r="BQP44" s="55"/>
      <c r="BQQ44" s="55"/>
      <c r="BQR44" s="55"/>
      <c r="BQS44" s="55"/>
      <c r="BQT44" s="55"/>
      <c r="BQU44" s="55"/>
      <c r="BQV44" s="55"/>
      <c r="BQW44" s="55"/>
      <c r="BQX44" s="55"/>
      <c r="BQY44" s="55"/>
      <c r="BQZ44" s="55"/>
      <c r="BRA44" s="55"/>
      <c r="BRB44" s="55"/>
      <c r="BRC44" s="55"/>
      <c r="BRD44" s="55"/>
      <c r="BRE44" s="55"/>
      <c r="BRF44" s="55"/>
      <c r="BRG44" s="55"/>
      <c r="BRH44" s="55"/>
      <c r="BRI44" s="55"/>
      <c r="BRJ44" s="55"/>
      <c r="BRK44" s="55"/>
      <c r="BRL44" s="55"/>
      <c r="BRM44" s="55"/>
      <c r="BRN44" s="55"/>
      <c r="BRO44" s="55"/>
      <c r="BRP44" s="55"/>
      <c r="BRQ44" s="55"/>
      <c r="BRR44" s="55"/>
      <c r="BRS44" s="55"/>
      <c r="BRT44" s="55"/>
      <c r="BRU44" s="55"/>
      <c r="BRV44" s="55"/>
      <c r="BRW44" s="55"/>
      <c r="BRX44" s="55"/>
      <c r="BRY44" s="55"/>
      <c r="BRZ44" s="55"/>
      <c r="BSA44" s="55"/>
      <c r="BSB44" s="55"/>
      <c r="BSC44" s="55"/>
      <c r="BSD44" s="55"/>
      <c r="BSE44" s="55"/>
      <c r="BSF44" s="55"/>
      <c r="BSG44" s="55"/>
      <c r="BSH44" s="55"/>
      <c r="BSI44" s="55"/>
      <c r="BSJ44" s="55"/>
      <c r="BSK44" s="55"/>
      <c r="BSL44" s="55"/>
      <c r="BSM44" s="55"/>
      <c r="BSN44" s="55"/>
      <c r="BSO44" s="55"/>
      <c r="BSP44" s="55"/>
      <c r="BSQ44" s="55"/>
      <c r="BSR44" s="55"/>
      <c r="BSS44" s="55"/>
      <c r="BST44" s="55"/>
      <c r="BSU44" s="55"/>
      <c r="BSV44" s="55"/>
      <c r="BSW44" s="55"/>
      <c r="BSX44" s="55"/>
      <c r="BSY44" s="55"/>
      <c r="BSZ44" s="55"/>
      <c r="BTA44" s="55"/>
      <c r="BTB44" s="55"/>
      <c r="BTC44" s="55"/>
      <c r="BTD44" s="55"/>
      <c r="BTE44" s="55"/>
      <c r="BTF44" s="55"/>
      <c r="BTG44" s="55"/>
      <c r="BTH44" s="55"/>
      <c r="BTI44" s="55"/>
      <c r="BTJ44" s="55"/>
      <c r="BTK44" s="55"/>
      <c r="BTL44" s="55"/>
      <c r="BTM44" s="55"/>
      <c r="BTN44" s="55"/>
      <c r="BTO44" s="55"/>
      <c r="BTP44" s="55"/>
      <c r="BTQ44" s="55"/>
      <c r="BTR44" s="55"/>
      <c r="BTS44" s="55"/>
      <c r="BTT44" s="55"/>
      <c r="BTU44" s="55"/>
      <c r="BTV44" s="55"/>
      <c r="BTW44" s="55"/>
      <c r="BTX44" s="55"/>
      <c r="BTY44" s="55"/>
      <c r="BTZ44" s="55"/>
      <c r="BUA44" s="55"/>
      <c r="BUB44" s="55"/>
      <c r="BUC44" s="55"/>
      <c r="BUD44" s="55"/>
      <c r="BUE44" s="55"/>
      <c r="BUF44" s="55"/>
      <c r="BUG44" s="55"/>
      <c r="BUH44" s="55"/>
      <c r="BUI44" s="55"/>
      <c r="BUJ44" s="55"/>
      <c r="BUK44" s="55"/>
      <c r="BUL44" s="55"/>
      <c r="BUM44" s="55"/>
      <c r="BUN44" s="55"/>
      <c r="BUO44" s="55"/>
      <c r="BUP44" s="55"/>
      <c r="BUQ44" s="55"/>
      <c r="BUR44" s="55"/>
      <c r="BUS44" s="55"/>
      <c r="BUT44" s="55"/>
      <c r="BUU44" s="55"/>
      <c r="BUV44" s="55"/>
      <c r="BUW44" s="55"/>
      <c r="BUX44" s="55"/>
      <c r="BUY44" s="55"/>
      <c r="BUZ44" s="55"/>
      <c r="BVA44" s="55"/>
      <c r="BVB44" s="55"/>
      <c r="BVC44" s="55"/>
      <c r="BVD44" s="55"/>
      <c r="BVE44" s="55"/>
      <c r="BVF44" s="55"/>
      <c r="BVG44" s="55"/>
      <c r="BVH44" s="55"/>
      <c r="BVI44" s="55"/>
      <c r="BVJ44" s="55"/>
      <c r="BVK44" s="55"/>
      <c r="BVL44" s="55"/>
      <c r="BVM44" s="55"/>
      <c r="BVN44" s="55"/>
      <c r="BVO44" s="55"/>
      <c r="BVP44" s="55"/>
      <c r="BVQ44" s="55"/>
      <c r="BVR44" s="55"/>
      <c r="BVS44" s="55"/>
      <c r="BVT44" s="55"/>
      <c r="BVU44" s="55"/>
      <c r="BVV44" s="55"/>
      <c r="BVW44" s="55"/>
      <c r="BVX44" s="55"/>
      <c r="BVY44" s="55"/>
      <c r="BVZ44" s="55"/>
      <c r="BWA44" s="55"/>
      <c r="BWB44" s="55"/>
      <c r="BWC44" s="55"/>
      <c r="BWD44" s="55"/>
      <c r="BWE44" s="55"/>
      <c r="BWF44" s="55"/>
      <c r="BWG44" s="55"/>
      <c r="BWH44" s="55"/>
      <c r="BWI44" s="55"/>
      <c r="BWJ44" s="55"/>
      <c r="BWK44" s="55"/>
      <c r="BWL44" s="55"/>
      <c r="BWM44" s="55"/>
      <c r="BWN44" s="55"/>
      <c r="BWO44" s="55"/>
      <c r="BWP44" s="55"/>
      <c r="BWQ44" s="55"/>
      <c r="BWR44" s="55"/>
      <c r="BWS44" s="55"/>
      <c r="BWT44" s="55"/>
      <c r="BWU44" s="55"/>
      <c r="BWV44" s="55"/>
      <c r="BWW44" s="55"/>
      <c r="BWX44" s="55"/>
      <c r="BWY44" s="55"/>
      <c r="BWZ44" s="55"/>
      <c r="BXA44" s="55"/>
      <c r="BXB44" s="55"/>
      <c r="BXC44" s="55"/>
      <c r="BXD44" s="55"/>
      <c r="BXE44" s="55"/>
      <c r="BXF44" s="55"/>
      <c r="BXG44" s="55"/>
      <c r="BXH44" s="55"/>
      <c r="BXI44" s="55"/>
      <c r="BXJ44" s="55"/>
      <c r="BXK44" s="55"/>
      <c r="BXL44" s="55"/>
      <c r="BXM44" s="55"/>
      <c r="BXN44" s="55"/>
      <c r="BXO44" s="55"/>
      <c r="BXP44" s="55"/>
      <c r="BXQ44" s="55"/>
      <c r="BXR44" s="55"/>
      <c r="BXS44" s="55"/>
      <c r="BXT44" s="55"/>
      <c r="BXU44" s="55"/>
      <c r="BXV44" s="55"/>
      <c r="BXW44" s="55"/>
      <c r="BXX44" s="55"/>
      <c r="BXY44" s="55"/>
      <c r="BXZ44" s="55"/>
      <c r="BYA44" s="55"/>
      <c r="BYB44" s="55"/>
      <c r="BYC44" s="55"/>
      <c r="BYD44" s="55"/>
      <c r="BYE44" s="55"/>
      <c r="BYF44" s="55"/>
      <c r="BYG44" s="55"/>
      <c r="BYH44" s="55"/>
      <c r="BYI44" s="55"/>
      <c r="BYJ44" s="55"/>
      <c r="BYK44" s="55"/>
      <c r="BYL44" s="55"/>
      <c r="BYM44" s="55"/>
      <c r="BYN44" s="55"/>
      <c r="BYO44" s="55"/>
      <c r="BYP44" s="55"/>
      <c r="BYQ44" s="55"/>
      <c r="BYR44" s="55"/>
      <c r="BYS44" s="55"/>
      <c r="BYT44" s="55"/>
      <c r="BYU44" s="55"/>
      <c r="BYV44" s="55"/>
      <c r="BYW44" s="55"/>
      <c r="BYX44" s="55"/>
      <c r="BYY44" s="55"/>
      <c r="BYZ44" s="55"/>
      <c r="BZA44" s="55"/>
      <c r="BZB44" s="55"/>
      <c r="BZC44" s="55"/>
      <c r="BZD44" s="55"/>
      <c r="BZE44" s="55"/>
      <c r="BZF44" s="55"/>
      <c r="BZG44" s="55"/>
      <c r="BZH44" s="55"/>
      <c r="BZI44" s="55"/>
      <c r="BZJ44" s="55"/>
      <c r="BZK44" s="55"/>
      <c r="BZL44" s="55"/>
      <c r="BZM44" s="55"/>
      <c r="BZN44" s="55"/>
      <c r="BZO44" s="55"/>
      <c r="BZP44" s="55"/>
      <c r="BZQ44" s="55"/>
      <c r="BZR44" s="55"/>
      <c r="BZS44" s="55"/>
      <c r="BZT44" s="55"/>
      <c r="BZU44" s="55"/>
      <c r="BZV44" s="55"/>
      <c r="BZW44" s="55"/>
      <c r="BZX44" s="55"/>
      <c r="BZY44" s="55"/>
      <c r="BZZ44" s="55"/>
      <c r="CAA44" s="55"/>
      <c r="CAB44" s="55"/>
      <c r="CAC44" s="55"/>
      <c r="CAD44" s="55"/>
      <c r="CAE44" s="55"/>
      <c r="CAF44" s="55"/>
      <c r="CAG44" s="55"/>
      <c r="CAH44" s="55"/>
      <c r="CAI44" s="55"/>
      <c r="CAJ44" s="55"/>
      <c r="CAK44" s="55"/>
      <c r="CAL44" s="55"/>
      <c r="CAM44" s="55"/>
      <c r="CAN44" s="55"/>
      <c r="CAO44" s="55"/>
      <c r="CAP44" s="55"/>
      <c r="CAQ44" s="55"/>
      <c r="CAR44" s="55"/>
      <c r="CAS44" s="55"/>
      <c r="CAT44" s="55"/>
      <c r="CAU44" s="55"/>
      <c r="CAV44" s="55"/>
      <c r="CAW44" s="55"/>
      <c r="CAX44" s="55"/>
      <c r="CAY44" s="55"/>
      <c r="CAZ44" s="55"/>
      <c r="CBA44" s="55"/>
      <c r="CBB44" s="55"/>
      <c r="CBC44" s="55"/>
      <c r="CBD44" s="55"/>
      <c r="CBE44" s="55"/>
      <c r="CBF44" s="55"/>
      <c r="CBG44" s="55"/>
      <c r="CBH44" s="55"/>
      <c r="CBI44" s="55"/>
      <c r="CBJ44" s="55"/>
      <c r="CBK44" s="55"/>
      <c r="CBL44" s="55"/>
      <c r="CBM44" s="55"/>
      <c r="CBN44" s="55"/>
      <c r="CBO44" s="55"/>
      <c r="CBP44" s="55"/>
      <c r="CBQ44" s="55"/>
      <c r="CBR44" s="55"/>
      <c r="CBS44" s="55"/>
      <c r="CBT44" s="55"/>
      <c r="CBU44" s="55"/>
      <c r="CBV44" s="55"/>
      <c r="CBW44" s="55"/>
      <c r="CBX44" s="55"/>
      <c r="CBY44" s="55"/>
      <c r="CBZ44" s="55"/>
      <c r="CCA44" s="55"/>
      <c r="CCB44" s="55"/>
      <c r="CCC44" s="55"/>
      <c r="CCD44" s="55"/>
      <c r="CCE44" s="55"/>
      <c r="CCF44" s="55"/>
      <c r="CCG44" s="55"/>
      <c r="CCH44" s="55"/>
      <c r="CCI44" s="55"/>
      <c r="CCJ44" s="55"/>
      <c r="CCK44" s="55"/>
      <c r="CCL44" s="55"/>
      <c r="CCM44" s="55"/>
      <c r="CCN44" s="55"/>
      <c r="CCO44" s="55"/>
      <c r="CCP44" s="55"/>
      <c r="CCQ44" s="55"/>
      <c r="CCR44" s="55"/>
      <c r="CCS44" s="55"/>
      <c r="CCT44" s="55"/>
      <c r="CCU44" s="55"/>
      <c r="CCV44" s="55"/>
      <c r="CCW44" s="55"/>
      <c r="CCX44" s="55"/>
      <c r="CCY44" s="55"/>
      <c r="CCZ44" s="55"/>
      <c r="CDA44" s="55"/>
      <c r="CDB44" s="55"/>
      <c r="CDC44" s="55"/>
      <c r="CDD44" s="55"/>
      <c r="CDE44" s="55"/>
      <c r="CDF44" s="55"/>
      <c r="CDG44" s="55"/>
      <c r="CDH44" s="55"/>
      <c r="CDI44" s="55"/>
      <c r="CDJ44" s="55"/>
      <c r="CDK44" s="55"/>
      <c r="CDL44" s="55"/>
      <c r="CDM44" s="55"/>
      <c r="CDN44" s="55"/>
      <c r="CDO44" s="55"/>
      <c r="CDP44" s="55"/>
      <c r="CDQ44" s="55"/>
      <c r="CDR44" s="55"/>
      <c r="CDS44" s="55"/>
      <c r="CDT44" s="55"/>
      <c r="CDU44" s="55"/>
      <c r="CDV44" s="55"/>
      <c r="CDW44" s="55"/>
      <c r="CDX44" s="55"/>
      <c r="CDY44" s="55"/>
      <c r="CDZ44" s="55"/>
      <c r="CEA44" s="55"/>
      <c r="CEB44" s="55"/>
      <c r="CEC44" s="55"/>
      <c r="CED44" s="55"/>
      <c r="CEE44" s="55"/>
      <c r="CEF44" s="55"/>
      <c r="CEG44" s="55"/>
      <c r="CEH44" s="55"/>
      <c r="CEI44" s="55"/>
      <c r="CEJ44" s="55"/>
      <c r="CEK44" s="55"/>
      <c r="CEL44" s="55"/>
      <c r="CEM44" s="55"/>
      <c r="CEN44" s="55"/>
      <c r="CEO44" s="55"/>
      <c r="CEP44" s="55"/>
      <c r="CEQ44" s="55"/>
      <c r="CER44" s="55"/>
      <c r="CES44" s="55"/>
      <c r="CET44" s="55"/>
      <c r="CEU44" s="55"/>
      <c r="CEV44" s="55"/>
      <c r="CEW44" s="55"/>
      <c r="CEX44" s="55"/>
      <c r="CEY44" s="55"/>
      <c r="CEZ44" s="55"/>
      <c r="CFA44" s="55"/>
      <c r="CFB44" s="55"/>
      <c r="CFC44" s="55"/>
      <c r="CFD44" s="55"/>
      <c r="CFE44" s="55"/>
      <c r="CFF44" s="55"/>
      <c r="CFG44" s="55"/>
      <c r="CFH44" s="55"/>
      <c r="CFI44" s="55"/>
      <c r="CFJ44" s="55"/>
      <c r="CFK44" s="55"/>
      <c r="CFL44" s="55"/>
      <c r="CFM44" s="55"/>
      <c r="CFN44" s="55"/>
      <c r="CFO44" s="55"/>
      <c r="CFP44" s="55"/>
      <c r="CFQ44" s="55"/>
      <c r="CFR44" s="55"/>
      <c r="CFS44" s="55"/>
      <c r="CFT44" s="55"/>
      <c r="CFU44" s="55"/>
      <c r="CFV44" s="55"/>
      <c r="CFW44" s="55"/>
      <c r="CFX44" s="55"/>
      <c r="CFY44" s="55"/>
      <c r="CFZ44" s="55"/>
      <c r="CGA44" s="55"/>
      <c r="CGB44" s="55"/>
      <c r="CGC44" s="55"/>
      <c r="CGD44" s="55"/>
      <c r="CGE44" s="55"/>
      <c r="CGF44" s="55"/>
      <c r="CGG44" s="55"/>
      <c r="CGH44" s="55"/>
      <c r="CGI44" s="55"/>
      <c r="CGJ44" s="55"/>
      <c r="CGK44" s="55"/>
      <c r="CGL44" s="55"/>
      <c r="CGM44" s="55"/>
      <c r="CGN44" s="55"/>
      <c r="CGO44" s="55"/>
      <c r="CGP44" s="55"/>
      <c r="CGQ44" s="55"/>
      <c r="CGR44" s="55"/>
      <c r="CGS44" s="55"/>
      <c r="CGT44" s="55"/>
      <c r="CGU44" s="55"/>
      <c r="CGV44" s="55"/>
      <c r="CGW44" s="55"/>
      <c r="CGX44" s="55"/>
      <c r="CGY44" s="55"/>
      <c r="CGZ44" s="55"/>
      <c r="CHA44" s="55"/>
      <c r="CHB44" s="55"/>
      <c r="CHC44" s="55"/>
      <c r="CHD44" s="55"/>
      <c r="CHE44" s="55"/>
      <c r="CHF44" s="55"/>
      <c r="CHG44" s="55"/>
      <c r="CHH44" s="55"/>
      <c r="CHI44" s="55"/>
      <c r="CHJ44" s="55"/>
      <c r="CHK44" s="55"/>
      <c r="CHL44" s="55"/>
      <c r="CHM44" s="55"/>
      <c r="CHN44" s="55"/>
      <c r="CHO44" s="55"/>
      <c r="CHP44" s="55"/>
      <c r="CHQ44" s="55"/>
      <c r="CHR44" s="55"/>
      <c r="CHS44" s="55"/>
      <c r="CHT44" s="55"/>
      <c r="CHU44" s="55"/>
      <c r="CHV44" s="55"/>
      <c r="CHW44" s="55"/>
      <c r="CHX44" s="55"/>
      <c r="CHY44" s="55"/>
      <c r="CHZ44" s="55"/>
      <c r="CIA44" s="55"/>
      <c r="CIB44" s="55"/>
      <c r="CIC44" s="55"/>
      <c r="CID44" s="55"/>
      <c r="CIE44" s="55"/>
      <c r="CIF44" s="55"/>
      <c r="CIG44" s="55"/>
      <c r="CIH44" s="55"/>
      <c r="CII44" s="55"/>
      <c r="CIJ44" s="55"/>
      <c r="CIK44" s="55"/>
      <c r="CIL44" s="55"/>
      <c r="CIM44" s="55"/>
      <c r="CIN44" s="55"/>
      <c r="CIO44" s="55"/>
      <c r="CIP44" s="55"/>
      <c r="CIQ44" s="55"/>
      <c r="CIR44" s="55"/>
      <c r="CIS44" s="55"/>
      <c r="CIT44" s="55"/>
      <c r="CIU44" s="55"/>
      <c r="CIV44" s="55"/>
      <c r="CIW44" s="55"/>
      <c r="CIX44" s="55"/>
      <c r="CIY44" s="55"/>
      <c r="CIZ44" s="55"/>
      <c r="CJA44" s="55"/>
      <c r="CJB44" s="55"/>
      <c r="CJC44" s="55"/>
      <c r="CJD44" s="55"/>
      <c r="CJE44" s="55"/>
      <c r="CJF44" s="55"/>
      <c r="CJG44" s="55"/>
      <c r="CJH44" s="55"/>
      <c r="CJI44" s="55"/>
      <c r="CJJ44" s="55"/>
      <c r="CJK44" s="55"/>
      <c r="CJL44" s="55"/>
      <c r="CJM44" s="55"/>
      <c r="CJN44" s="55"/>
      <c r="CJO44" s="55"/>
      <c r="CJP44" s="55"/>
      <c r="CJQ44" s="55"/>
      <c r="CJR44" s="55"/>
      <c r="CJS44" s="55"/>
      <c r="CJT44" s="55"/>
      <c r="CJU44" s="55"/>
      <c r="CJV44" s="55"/>
      <c r="CJW44" s="55"/>
      <c r="CJX44" s="55"/>
      <c r="CJY44" s="55"/>
      <c r="CJZ44" s="55"/>
      <c r="CKA44" s="55"/>
      <c r="CKB44" s="55"/>
      <c r="CKC44" s="55"/>
      <c r="CKD44" s="55"/>
      <c r="CKE44" s="55"/>
      <c r="CKF44" s="55"/>
      <c r="CKG44" s="55"/>
      <c r="CKH44" s="55"/>
      <c r="CKI44" s="55"/>
      <c r="CKJ44" s="55"/>
      <c r="CKK44" s="55"/>
      <c r="CKL44" s="55"/>
      <c r="CKM44" s="55"/>
      <c r="CKN44" s="55"/>
      <c r="CKO44" s="55"/>
      <c r="CKP44" s="55"/>
      <c r="CKQ44" s="55"/>
      <c r="CKR44" s="55"/>
      <c r="CKS44" s="55"/>
      <c r="CKT44" s="55"/>
      <c r="CKU44" s="55"/>
      <c r="CKV44" s="55"/>
      <c r="CKW44" s="55"/>
      <c r="CKX44" s="55"/>
      <c r="CKY44" s="55"/>
      <c r="CKZ44" s="55"/>
      <c r="CLA44" s="55"/>
      <c r="CLB44" s="55"/>
      <c r="CLC44" s="55"/>
      <c r="CLD44" s="55"/>
      <c r="CLE44" s="55"/>
      <c r="CLF44" s="55"/>
      <c r="CLG44" s="55"/>
      <c r="CLH44" s="55"/>
      <c r="CLI44" s="55"/>
      <c r="CLJ44" s="55"/>
      <c r="CLK44" s="55"/>
      <c r="CLL44" s="55"/>
      <c r="CLM44" s="55"/>
      <c r="CLN44" s="55"/>
      <c r="CLO44" s="55"/>
      <c r="CLP44" s="55"/>
      <c r="CLQ44" s="55"/>
      <c r="CLR44" s="55"/>
      <c r="CLS44" s="55"/>
      <c r="CLT44" s="55"/>
      <c r="CLU44" s="55"/>
      <c r="CLV44" s="55"/>
      <c r="CLW44" s="55"/>
      <c r="CLX44" s="55"/>
      <c r="CLY44" s="55"/>
      <c r="CLZ44" s="55"/>
      <c r="CMA44" s="55"/>
      <c r="CMB44" s="55"/>
      <c r="CMC44" s="55"/>
      <c r="CMD44" s="55"/>
      <c r="CME44" s="55"/>
      <c r="CMF44" s="55"/>
      <c r="CMG44" s="55"/>
      <c r="CMH44" s="55"/>
      <c r="CMI44" s="55"/>
      <c r="CMJ44" s="55"/>
      <c r="CMK44" s="55"/>
      <c r="CML44" s="55"/>
      <c r="CMM44" s="55"/>
      <c r="CMN44" s="55"/>
      <c r="CMO44" s="55"/>
      <c r="CMP44" s="55"/>
      <c r="CMQ44" s="55"/>
      <c r="CMR44" s="55"/>
      <c r="CMS44" s="55"/>
      <c r="CMT44" s="55"/>
      <c r="CMU44" s="55"/>
      <c r="CMV44" s="55"/>
      <c r="CMW44" s="55"/>
      <c r="CMX44" s="55"/>
      <c r="CMY44" s="55"/>
      <c r="CMZ44" s="55"/>
      <c r="CNA44" s="55"/>
      <c r="CNB44" s="55"/>
      <c r="CNC44" s="55"/>
      <c r="CND44" s="55"/>
      <c r="CNE44" s="55"/>
      <c r="CNF44" s="55"/>
      <c r="CNG44" s="55"/>
      <c r="CNH44" s="55"/>
      <c r="CNI44" s="55"/>
      <c r="CNJ44" s="55"/>
      <c r="CNK44" s="55"/>
      <c r="CNL44" s="55"/>
      <c r="CNM44" s="55"/>
      <c r="CNN44" s="55"/>
      <c r="CNO44" s="55"/>
      <c r="CNP44" s="55"/>
      <c r="CNQ44" s="55"/>
      <c r="CNR44" s="55"/>
      <c r="CNS44" s="55"/>
      <c r="CNT44" s="55"/>
      <c r="CNU44" s="55"/>
      <c r="CNV44" s="55"/>
      <c r="CNW44" s="55"/>
      <c r="CNX44" s="55"/>
      <c r="CNY44" s="55"/>
      <c r="CNZ44" s="55"/>
      <c r="COA44" s="55"/>
      <c r="COB44" s="55"/>
      <c r="COC44" s="55"/>
      <c r="COD44" s="55"/>
      <c r="COE44" s="55"/>
      <c r="COF44" s="55"/>
      <c r="COG44" s="55"/>
      <c r="COH44" s="55"/>
      <c r="COI44" s="55"/>
      <c r="COJ44" s="55"/>
      <c r="COK44" s="55"/>
      <c r="COL44" s="55"/>
      <c r="COM44" s="55"/>
      <c r="CON44" s="55"/>
      <c r="COO44" s="55"/>
      <c r="COP44" s="55"/>
      <c r="COQ44" s="55"/>
      <c r="COR44" s="55"/>
      <c r="COS44" s="55"/>
      <c r="COT44" s="55"/>
      <c r="COU44" s="55"/>
      <c r="COV44" s="55"/>
      <c r="COW44" s="55"/>
      <c r="COX44" s="55"/>
      <c r="COY44" s="55"/>
      <c r="COZ44" s="55"/>
      <c r="CPA44" s="55"/>
      <c r="CPB44" s="55"/>
      <c r="CPC44" s="55"/>
      <c r="CPD44" s="55"/>
      <c r="CPE44" s="55"/>
      <c r="CPF44" s="55"/>
      <c r="CPG44" s="55"/>
      <c r="CPH44" s="55"/>
      <c r="CPI44" s="55"/>
      <c r="CPJ44" s="55"/>
      <c r="CPK44" s="55"/>
      <c r="CPL44" s="55"/>
      <c r="CPM44" s="55"/>
      <c r="CPN44" s="55"/>
      <c r="CPO44" s="55"/>
      <c r="CPP44" s="55"/>
      <c r="CPQ44" s="55"/>
      <c r="CPR44" s="55"/>
      <c r="CPS44" s="55"/>
      <c r="CPT44" s="55"/>
      <c r="CPU44" s="55"/>
      <c r="CPV44" s="55"/>
      <c r="CPW44" s="55"/>
      <c r="CPX44" s="55"/>
      <c r="CPY44" s="55"/>
      <c r="CPZ44" s="55"/>
      <c r="CQA44" s="55"/>
      <c r="CQB44" s="55"/>
      <c r="CQC44" s="55"/>
      <c r="CQD44" s="55"/>
      <c r="CQE44" s="55"/>
      <c r="CQF44" s="55"/>
      <c r="CQG44" s="55"/>
      <c r="CQH44" s="55"/>
      <c r="CQI44" s="55"/>
      <c r="CQJ44" s="55"/>
      <c r="CQK44" s="55"/>
      <c r="CQL44" s="55"/>
      <c r="CQM44" s="55"/>
      <c r="CQN44" s="55"/>
      <c r="CQO44" s="55"/>
      <c r="CQP44" s="55"/>
      <c r="CQQ44" s="55"/>
      <c r="CQR44" s="55"/>
      <c r="CQS44" s="55"/>
      <c r="CQT44" s="55"/>
      <c r="CQU44" s="55"/>
      <c r="CQV44" s="55"/>
      <c r="CQW44" s="55"/>
      <c r="CQX44" s="55"/>
      <c r="CQY44" s="55"/>
      <c r="CQZ44" s="55"/>
      <c r="CRA44" s="55"/>
      <c r="CRB44" s="55"/>
      <c r="CRC44" s="55"/>
      <c r="CRD44" s="55"/>
      <c r="CRE44" s="55"/>
      <c r="CRF44" s="55"/>
      <c r="CRG44" s="55"/>
      <c r="CRH44" s="55"/>
      <c r="CRI44" s="55"/>
      <c r="CRJ44" s="55"/>
      <c r="CRK44" s="55"/>
      <c r="CRL44" s="55"/>
      <c r="CRM44" s="55"/>
      <c r="CRN44" s="55"/>
      <c r="CRO44" s="55"/>
      <c r="CRP44" s="55"/>
      <c r="CRQ44" s="55"/>
      <c r="CRR44" s="55"/>
      <c r="CRS44" s="55"/>
      <c r="CRT44" s="55"/>
      <c r="CRU44" s="55"/>
      <c r="CRV44" s="55"/>
      <c r="CRW44" s="55"/>
      <c r="CRX44" s="55"/>
      <c r="CRY44" s="55"/>
      <c r="CRZ44" s="55"/>
      <c r="CSA44" s="55"/>
      <c r="CSB44" s="55"/>
      <c r="CSC44" s="55"/>
      <c r="CSD44" s="55"/>
      <c r="CSE44" s="55"/>
      <c r="CSF44" s="55"/>
      <c r="CSG44" s="55"/>
      <c r="CSH44" s="55"/>
      <c r="CSI44" s="55"/>
      <c r="CSJ44" s="55"/>
      <c r="CSK44" s="55"/>
      <c r="CSL44" s="55"/>
      <c r="CSM44" s="55"/>
      <c r="CSN44" s="55"/>
      <c r="CSO44" s="55"/>
      <c r="CSP44" s="55"/>
      <c r="CSQ44" s="55"/>
      <c r="CSR44" s="55"/>
      <c r="CSS44" s="55"/>
      <c r="CST44" s="55"/>
      <c r="CSU44" s="55"/>
      <c r="CSV44" s="55"/>
      <c r="CSW44" s="55"/>
      <c r="CSX44" s="55"/>
      <c r="CSY44" s="55"/>
      <c r="CSZ44" s="55"/>
      <c r="CTA44" s="55"/>
      <c r="CTB44" s="55"/>
      <c r="CTC44" s="55"/>
      <c r="CTD44" s="55"/>
      <c r="CTE44" s="55"/>
      <c r="CTF44" s="55"/>
      <c r="CTG44" s="55"/>
      <c r="CTH44" s="55"/>
      <c r="CTI44" s="55"/>
      <c r="CTJ44" s="55"/>
      <c r="CTK44" s="55"/>
      <c r="CTL44" s="55"/>
      <c r="CTM44" s="55"/>
      <c r="CTN44" s="55"/>
      <c r="CTO44" s="55"/>
      <c r="CTP44" s="55"/>
      <c r="CTQ44" s="55"/>
      <c r="CTR44" s="55"/>
      <c r="CTS44" s="55"/>
      <c r="CTT44" s="55"/>
      <c r="CTU44" s="55"/>
      <c r="CTV44" s="55"/>
      <c r="CTW44" s="55"/>
      <c r="CTX44" s="55"/>
      <c r="CTY44" s="55"/>
      <c r="CTZ44" s="55"/>
      <c r="CUA44" s="55"/>
      <c r="CUB44" s="55"/>
      <c r="CUC44" s="55"/>
      <c r="CUD44" s="55"/>
      <c r="CUE44" s="55"/>
      <c r="CUF44" s="55"/>
      <c r="CUG44" s="55"/>
      <c r="CUH44" s="55"/>
      <c r="CUI44" s="55"/>
      <c r="CUJ44" s="55"/>
      <c r="CUK44" s="55"/>
      <c r="CUL44" s="55"/>
      <c r="CUM44" s="55"/>
      <c r="CUN44" s="55"/>
      <c r="CUO44" s="55"/>
      <c r="CUP44" s="55"/>
      <c r="CUQ44" s="55"/>
      <c r="CUR44" s="55"/>
      <c r="CUS44" s="55"/>
      <c r="CUT44" s="55"/>
      <c r="CUU44" s="55"/>
      <c r="CUV44" s="55"/>
      <c r="CUW44" s="55"/>
      <c r="CUX44" s="55"/>
      <c r="CUY44" s="55"/>
      <c r="CUZ44" s="55"/>
      <c r="CVA44" s="55"/>
      <c r="CVB44" s="55"/>
      <c r="CVC44" s="55"/>
      <c r="CVD44" s="55"/>
      <c r="CVE44" s="55"/>
      <c r="CVF44" s="55"/>
      <c r="CVG44" s="55"/>
      <c r="CVH44" s="55"/>
      <c r="CVI44" s="55"/>
      <c r="CVJ44" s="55"/>
      <c r="CVK44" s="55"/>
      <c r="CVL44" s="55"/>
      <c r="CVM44" s="55"/>
      <c r="CVN44" s="55"/>
      <c r="CVO44" s="55"/>
      <c r="CVP44" s="55"/>
      <c r="CVQ44" s="55"/>
      <c r="CVR44" s="55"/>
      <c r="CVS44" s="55"/>
      <c r="CVT44" s="55"/>
      <c r="CVU44" s="55"/>
      <c r="CVV44" s="55"/>
      <c r="CVW44" s="55"/>
      <c r="CVX44" s="55"/>
      <c r="CVY44" s="55"/>
      <c r="CVZ44" s="55"/>
      <c r="CWA44" s="55"/>
      <c r="CWB44" s="55"/>
      <c r="CWC44" s="55"/>
      <c r="CWD44" s="55"/>
      <c r="CWE44" s="55"/>
      <c r="CWF44" s="55"/>
      <c r="CWG44" s="55"/>
      <c r="CWH44" s="55"/>
      <c r="CWI44" s="55"/>
      <c r="CWJ44" s="55"/>
      <c r="CWK44" s="55"/>
      <c r="CWL44" s="55"/>
      <c r="CWM44" s="55"/>
      <c r="CWN44" s="55"/>
      <c r="CWO44" s="55"/>
      <c r="CWP44" s="55"/>
      <c r="CWQ44" s="55"/>
      <c r="CWR44" s="55"/>
      <c r="CWS44" s="55"/>
      <c r="CWT44" s="55"/>
      <c r="CWU44" s="55"/>
      <c r="CWV44" s="55"/>
      <c r="CWW44" s="55"/>
      <c r="CWX44" s="55"/>
      <c r="CWY44" s="55"/>
      <c r="CWZ44" s="55"/>
      <c r="CXA44" s="55"/>
      <c r="CXB44" s="55"/>
      <c r="CXC44" s="55"/>
      <c r="CXD44" s="55"/>
      <c r="CXE44" s="55"/>
      <c r="CXF44" s="55"/>
      <c r="CXG44" s="55"/>
      <c r="CXH44" s="55"/>
      <c r="CXI44" s="55"/>
      <c r="CXJ44" s="55"/>
      <c r="CXK44" s="55"/>
      <c r="CXL44" s="55"/>
      <c r="CXM44" s="55"/>
      <c r="CXN44" s="55"/>
      <c r="CXO44" s="55"/>
      <c r="CXP44" s="55"/>
      <c r="CXQ44" s="55"/>
      <c r="CXR44" s="55"/>
      <c r="CXS44" s="55"/>
      <c r="CXT44" s="55"/>
      <c r="CXU44" s="55"/>
      <c r="CXV44" s="55"/>
      <c r="CXW44" s="55"/>
      <c r="CXX44" s="55"/>
      <c r="CXY44" s="55"/>
      <c r="CXZ44" s="55"/>
      <c r="CYA44" s="55"/>
      <c r="CYB44" s="55"/>
      <c r="CYC44" s="55"/>
      <c r="CYD44" s="55"/>
      <c r="CYE44" s="55"/>
      <c r="CYF44" s="55"/>
      <c r="CYG44" s="55"/>
      <c r="CYH44" s="55"/>
      <c r="CYI44" s="55"/>
      <c r="CYJ44" s="55"/>
      <c r="CYK44" s="55"/>
      <c r="CYL44" s="55"/>
      <c r="CYM44" s="55"/>
      <c r="CYN44" s="55"/>
      <c r="CYO44" s="55"/>
      <c r="CYP44" s="55"/>
      <c r="CYQ44" s="55"/>
      <c r="CYR44" s="55"/>
      <c r="CYS44" s="55"/>
      <c r="CYT44" s="55"/>
      <c r="CYU44" s="55"/>
      <c r="CYV44" s="55"/>
      <c r="CYW44" s="55"/>
      <c r="CYX44" s="55"/>
      <c r="CYY44" s="55"/>
      <c r="CYZ44" s="55"/>
      <c r="CZA44" s="55"/>
      <c r="CZB44" s="55"/>
      <c r="CZC44" s="55"/>
      <c r="CZD44" s="55"/>
      <c r="CZE44" s="55"/>
      <c r="CZF44" s="55"/>
      <c r="CZG44" s="55"/>
      <c r="CZH44" s="55"/>
      <c r="CZI44" s="55"/>
      <c r="CZJ44" s="55"/>
      <c r="CZK44" s="55"/>
      <c r="CZL44" s="55"/>
      <c r="CZM44" s="55"/>
      <c r="CZN44" s="55"/>
      <c r="CZO44" s="55"/>
      <c r="CZP44" s="55"/>
      <c r="CZQ44" s="55"/>
      <c r="CZR44" s="55"/>
      <c r="CZS44" s="55"/>
      <c r="CZT44" s="55"/>
      <c r="CZU44" s="55"/>
      <c r="CZV44" s="55"/>
      <c r="CZW44" s="55"/>
      <c r="CZX44" s="55"/>
      <c r="CZY44" s="55"/>
      <c r="CZZ44" s="55"/>
      <c r="DAA44" s="55"/>
      <c r="DAB44" s="55"/>
      <c r="DAC44" s="55"/>
      <c r="DAD44" s="55"/>
      <c r="DAE44" s="55"/>
      <c r="DAF44" s="55"/>
      <c r="DAG44" s="55"/>
      <c r="DAH44" s="55"/>
      <c r="DAI44" s="55"/>
      <c r="DAJ44" s="55"/>
      <c r="DAK44" s="55"/>
      <c r="DAL44" s="55"/>
      <c r="DAM44" s="55"/>
      <c r="DAN44" s="55"/>
      <c r="DAO44" s="55"/>
      <c r="DAP44" s="55"/>
      <c r="DAQ44" s="55"/>
      <c r="DAR44" s="55"/>
      <c r="DAS44" s="55"/>
      <c r="DAT44" s="55"/>
      <c r="DAU44" s="55"/>
      <c r="DAV44" s="55"/>
      <c r="DAW44" s="55"/>
      <c r="DAX44" s="55"/>
      <c r="DAY44" s="55"/>
      <c r="DAZ44" s="55"/>
      <c r="DBA44" s="55"/>
      <c r="DBB44" s="55"/>
      <c r="DBC44" s="55"/>
      <c r="DBD44" s="55"/>
      <c r="DBE44" s="55"/>
      <c r="DBF44" s="55"/>
      <c r="DBG44" s="55"/>
      <c r="DBH44" s="55"/>
      <c r="DBI44" s="55"/>
      <c r="DBJ44" s="55"/>
      <c r="DBK44" s="55"/>
      <c r="DBL44" s="55"/>
      <c r="DBM44" s="55"/>
      <c r="DBN44" s="55"/>
      <c r="DBO44" s="55"/>
      <c r="DBP44" s="55"/>
      <c r="DBQ44" s="55"/>
      <c r="DBR44" s="55"/>
      <c r="DBS44" s="55"/>
      <c r="DBT44" s="55"/>
      <c r="DBU44" s="55"/>
      <c r="DBV44" s="55"/>
      <c r="DBW44" s="55"/>
      <c r="DBX44" s="55"/>
      <c r="DBY44" s="55"/>
      <c r="DBZ44" s="55"/>
      <c r="DCA44" s="55"/>
      <c r="DCB44" s="55"/>
      <c r="DCC44" s="55"/>
      <c r="DCD44" s="55"/>
      <c r="DCE44" s="55"/>
      <c r="DCF44" s="55"/>
      <c r="DCG44" s="55"/>
      <c r="DCH44" s="55"/>
      <c r="DCI44" s="55"/>
      <c r="DCJ44" s="55"/>
      <c r="DCK44" s="55"/>
      <c r="DCL44" s="55"/>
      <c r="DCM44" s="55"/>
      <c r="DCN44" s="55"/>
      <c r="DCO44" s="55"/>
      <c r="DCP44" s="55"/>
      <c r="DCQ44" s="55"/>
      <c r="DCR44" s="55"/>
      <c r="DCS44" s="55"/>
      <c r="DCT44" s="55"/>
      <c r="DCU44" s="55"/>
      <c r="DCV44" s="55"/>
      <c r="DCW44" s="55"/>
      <c r="DCX44" s="55"/>
      <c r="DCY44" s="55"/>
      <c r="DCZ44" s="55"/>
      <c r="DDA44" s="55"/>
      <c r="DDB44" s="55"/>
      <c r="DDC44" s="55"/>
      <c r="DDD44" s="55"/>
      <c r="DDE44" s="55"/>
      <c r="DDF44" s="55"/>
      <c r="DDG44" s="55"/>
      <c r="DDH44" s="55"/>
      <c r="DDI44" s="55"/>
      <c r="DDJ44" s="55"/>
      <c r="DDK44" s="55"/>
      <c r="DDL44" s="55"/>
      <c r="DDM44" s="55"/>
      <c r="DDN44" s="55"/>
      <c r="DDO44" s="55"/>
      <c r="DDP44" s="55"/>
      <c r="DDQ44" s="55"/>
      <c r="DDR44" s="55"/>
      <c r="DDS44" s="55"/>
      <c r="DDT44" s="55"/>
      <c r="DDU44" s="55"/>
      <c r="DDV44" s="55"/>
      <c r="DDW44" s="55"/>
      <c r="DDX44" s="55"/>
      <c r="DDY44" s="55"/>
      <c r="DDZ44" s="55"/>
      <c r="DEA44" s="55"/>
      <c r="DEB44" s="55"/>
      <c r="DEC44" s="55"/>
      <c r="DED44" s="55"/>
      <c r="DEE44" s="55"/>
      <c r="DEF44" s="55"/>
      <c r="DEG44" s="55"/>
      <c r="DEH44" s="55"/>
      <c r="DEI44" s="55"/>
      <c r="DEJ44" s="55"/>
      <c r="DEK44" s="55"/>
      <c r="DEL44" s="55"/>
      <c r="DEM44" s="55"/>
      <c r="DEN44" s="55"/>
      <c r="DEO44" s="55"/>
      <c r="DEP44" s="55"/>
      <c r="DEQ44" s="55"/>
      <c r="DER44" s="55"/>
      <c r="DES44" s="55"/>
      <c r="DET44" s="55"/>
      <c r="DEU44" s="55"/>
      <c r="DEV44" s="55"/>
      <c r="DEW44" s="55"/>
      <c r="DEX44" s="55"/>
      <c r="DEY44" s="55"/>
      <c r="DEZ44" s="55"/>
      <c r="DFA44" s="55"/>
      <c r="DFB44" s="55"/>
      <c r="DFC44" s="55"/>
      <c r="DFD44" s="55"/>
      <c r="DFE44" s="55"/>
      <c r="DFF44" s="55"/>
      <c r="DFG44" s="55"/>
      <c r="DFH44" s="55"/>
      <c r="DFI44" s="55"/>
      <c r="DFJ44" s="55"/>
      <c r="DFK44" s="55"/>
      <c r="DFL44" s="55"/>
      <c r="DFM44" s="55"/>
      <c r="DFN44" s="55"/>
      <c r="DFO44" s="55"/>
      <c r="DFP44" s="55"/>
      <c r="DFQ44" s="55"/>
      <c r="DFR44" s="55"/>
      <c r="DFS44" s="55"/>
      <c r="DFT44" s="55"/>
      <c r="DFU44" s="55"/>
      <c r="DFV44" s="55"/>
      <c r="DFW44" s="55"/>
      <c r="DFX44" s="55"/>
      <c r="DFY44" s="55"/>
      <c r="DFZ44" s="55"/>
      <c r="DGA44" s="55"/>
      <c r="DGB44" s="55"/>
      <c r="DGC44" s="55"/>
      <c r="DGD44" s="55"/>
      <c r="DGE44" s="55"/>
      <c r="DGF44" s="55"/>
      <c r="DGG44" s="55"/>
      <c r="DGH44" s="55"/>
      <c r="DGI44" s="55"/>
      <c r="DGJ44" s="55"/>
      <c r="DGK44" s="55"/>
      <c r="DGL44" s="55"/>
      <c r="DGM44" s="55"/>
      <c r="DGN44" s="55"/>
      <c r="DGO44" s="55"/>
      <c r="DGP44" s="55"/>
      <c r="DGQ44" s="55"/>
      <c r="DGR44" s="55"/>
      <c r="DGS44" s="55"/>
      <c r="DGT44" s="55"/>
      <c r="DGU44" s="55"/>
      <c r="DGV44" s="55"/>
      <c r="DGW44" s="55"/>
      <c r="DGX44" s="55"/>
      <c r="DGY44" s="55"/>
      <c r="DGZ44" s="55"/>
      <c r="DHA44" s="55"/>
      <c r="DHB44" s="55"/>
      <c r="DHC44" s="55"/>
      <c r="DHD44" s="55"/>
      <c r="DHE44" s="55"/>
      <c r="DHF44" s="55"/>
      <c r="DHG44" s="55"/>
      <c r="DHH44" s="55"/>
      <c r="DHI44" s="55"/>
      <c r="DHJ44" s="55"/>
      <c r="DHK44" s="55"/>
      <c r="DHL44" s="55"/>
      <c r="DHM44" s="55"/>
      <c r="DHN44" s="55"/>
      <c r="DHO44" s="55"/>
      <c r="DHP44" s="55"/>
      <c r="DHQ44" s="55"/>
      <c r="DHR44" s="55"/>
      <c r="DHS44" s="55"/>
      <c r="DHT44" s="55"/>
      <c r="DHU44" s="55"/>
      <c r="DHV44" s="55"/>
      <c r="DHW44" s="55"/>
      <c r="DHX44" s="55"/>
      <c r="DHY44" s="55"/>
      <c r="DHZ44" s="55"/>
      <c r="DIA44" s="55"/>
      <c r="DIB44" s="55"/>
      <c r="DIC44" s="55"/>
      <c r="DID44" s="55"/>
      <c r="DIE44" s="55"/>
      <c r="DIF44" s="55"/>
      <c r="DIG44" s="55"/>
      <c r="DIH44" s="55"/>
      <c r="DII44" s="55"/>
      <c r="DIJ44" s="55"/>
      <c r="DIK44" s="55"/>
      <c r="DIL44" s="55"/>
      <c r="DIM44" s="55"/>
      <c r="DIN44" s="55"/>
      <c r="DIO44" s="55"/>
      <c r="DIP44" s="55"/>
      <c r="DIQ44" s="55"/>
      <c r="DIR44" s="55"/>
      <c r="DIS44" s="55"/>
      <c r="DIT44" s="55"/>
      <c r="DIU44" s="55"/>
      <c r="DIV44" s="55"/>
      <c r="DIW44" s="55"/>
      <c r="DIX44" s="55"/>
      <c r="DIY44" s="55"/>
      <c r="DIZ44" s="55"/>
      <c r="DJA44" s="55"/>
      <c r="DJB44" s="55"/>
      <c r="DJC44" s="55"/>
      <c r="DJD44" s="55"/>
      <c r="DJE44" s="55"/>
      <c r="DJF44" s="55"/>
      <c r="DJG44" s="55"/>
      <c r="DJH44" s="55"/>
      <c r="DJI44" s="55"/>
      <c r="DJJ44" s="55"/>
      <c r="DJK44" s="55"/>
      <c r="DJL44" s="55"/>
      <c r="DJM44" s="55"/>
      <c r="DJN44" s="55"/>
      <c r="DJO44" s="55"/>
      <c r="DJP44" s="55"/>
      <c r="DJQ44" s="55"/>
      <c r="DJR44" s="55"/>
      <c r="DJS44" s="55"/>
      <c r="DJT44" s="55"/>
      <c r="DJU44" s="55"/>
      <c r="DJV44" s="55"/>
      <c r="DJW44" s="55"/>
      <c r="DJX44" s="55"/>
      <c r="DJY44" s="55"/>
      <c r="DJZ44" s="55"/>
      <c r="DKA44" s="55"/>
      <c r="DKB44" s="55"/>
      <c r="DKC44" s="55"/>
      <c r="DKD44" s="55"/>
      <c r="DKE44" s="55"/>
      <c r="DKF44" s="55"/>
      <c r="DKG44" s="55"/>
      <c r="DKH44" s="55"/>
      <c r="DKI44" s="55"/>
      <c r="DKJ44" s="55"/>
      <c r="DKK44" s="55"/>
      <c r="DKL44" s="55"/>
      <c r="DKM44" s="55"/>
      <c r="DKN44" s="55"/>
      <c r="DKO44" s="55"/>
      <c r="DKP44" s="55"/>
      <c r="DKQ44" s="55"/>
      <c r="DKR44" s="55"/>
      <c r="DKS44" s="55"/>
      <c r="DKT44" s="55"/>
      <c r="DKU44" s="55"/>
      <c r="DKV44" s="55"/>
      <c r="DKW44" s="55"/>
      <c r="DKX44" s="55"/>
      <c r="DKY44" s="55"/>
      <c r="DKZ44" s="55"/>
      <c r="DLA44" s="55"/>
      <c r="DLB44" s="55"/>
      <c r="DLC44" s="55"/>
      <c r="DLD44" s="55"/>
      <c r="DLE44" s="55"/>
      <c r="DLF44" s="55"/>
      <c r="DLG44" s="55"/>
      <c r="DLH44" s="55"/>
      <c r="DLI44" s="55"/>
      <c r="DLJ44" s="55"/>
      <c r="DLK44" s="55"/>
      <c r="DLL44" s="55"/>
      <c r="DLM44" s="55"/>
      <c r="DLN44" s="55"/>
      <c r="DLO44" s="55"/>
      <c r="DLP44" s="55"/>
      <c r="DLQ44" s="55"/>
      <c r="DLR44" s="55"/>
      <c r="DLS44" s="55"/>
      <c r="DLT44" s="55"/>
      <c r="DLU44" s="55"/>
      <c r="DLV44" s="55"/>
      <c r="DLW44" s="55"/>
      <c r="DLX44" s="55"/>
      <c r="DLY44" s="55"/>
      <c r="DLZ44" s="55"/>
      <c r="DMA44" s="55"/>
      <c r="DMB44" s="55"/>
      <c r="DMC44" s="55"/>
      <c r="DMD44" s="55"/>
      <c r="DME44" s="55"/>
      <c r="DMF44" s="55"/>
      <c r="DMG44" s="55"/>
      <c r="DMH44" s="55"/>
      <c r="DMI44" s="55"/>
      <c r="DMJ44" s="55"/>
      <c r="DMK44" s="55"/>
      <c r="DML44" s="55"/>
      <c r="DMM44" s="55"/>
      <c r="DMN44" s="55"/>
      <c r="DMO44" s="55"/>
      <c r="DMP44" s="55"/>
      <c r="DMQ44" s="55"/>
      <c r="DMR44" s="55"/>
      <c r="DMS44" s="55"/>
      <c r="DMT44" s="55"/>
      <c r="DMU44" s="55"/>
      <c r="DMV44" s="55"/>
      <c r="DMW44" s="55"/>
      <c r="DMX44" s="55"/>
      <c r="DMY44" s="55"/>
      <c r="DMZ44" s="55"/>
      <c r="DNA44" s="55"/>
      <c r="DNB44" s="55"/>
      <c r="DNC44" s="55"/>
      <c r="DND44" s="55"/>
      <c r="DNE44" s="55"/>
      <c r="DNF44" s="55"/>
      <c r="DNG44" s="55"/>
      <c r="DNH44" s="55"/>
      <c r="DNI44" s="55"/>
      <c r="DNJ44" s="55"/>
      <c r="DNK44" s="55"/>
      <c r="DNL44" s="55"/>
      <c r="DNM44" s="55"/>
      <c r="DNN44" s="55"/>
      <c r="DNO44" s="55"/>
      <c r="DNP44" s="55"/>
      <c r="DNQ44" s="55"/>
      <c r="DNR44" s="55"/>
      <c r="DNS44" s="55"/>
      <c r="DNT44" s="55"/>
      <c r="DNU44" s="55"/>
      <c r="DNV44" s="55"/>
      <c r="DNW44" s="55"/>
      <c r="DNX44" s="55"/>
      <c r="DNY44" s="55"/>
      <c r="DNZ44" s="55"/>
      <c r="DOA44" s="55"/>
      <c r="DOB44" s="55"/>
      <c r="DOC44" s="55"/>
      <c r="DOD44" s="55"/>
      <c r="DOE44" s="55"/>
      <c r="DOF44" s="55"/>
      <c r="DOG44" s="55"/>
      <c r="DOH44" s="55"/>
      <c r="DOI44" s="55"/>
      <c r="DOJ44" s="55"/>
      <c r="DOK44" s="55"/>
      <c r="DOL44" s="55"/>
      <c r="DOM44" s="55"/>
      <c r="DON44" s="55"/>
      <c r="DOO44" s="55"/>
      <c r="DOP44" s="55"/>
      <c r="DOQ44" s="55"/>
      <c r="DOR44" s="55"/>
      <c r="DOS44" s="55"/>
      <c r="DOT44" s="55"/>
      <c r="DOU44" s="55"/>
      <c r="DOV44" s="55"/>
      <c r="DOW44" s="55"/>
      <c r="DOX44" s="55"/>
      <c r="DOY44" s="55"/>
      <c r="DOZ44" s="55"/>
      <c r="DPA44" s="55"/>
      <c r="DPB44" s="55"/>
      <c r="DPC44" s="55"/>
      <c r="DPD44" s="55"/>
      <c r="DPE44" s="55"/>
      <c r="DPF44" s="55"/>
      <c r="DPG44" s="55"/>
      <c r="DPH44" s="55"/>
      <c r="DPI44" s="55"/>
      <c r="DPJ44" s="55"/>
      <c r="DPK44" s="55"/>
      <c r="DPL44" s="55"/>
      <c r="DPM44" s="55"/>
      <c r="DPN44" s="55"/>
      <c r="DPO44" s="55"/>
      <c r="DPP44" s="55"/>
      <c r="DPQ44" s="55"/>
      <c r="DPR44" s="55"/>
      <c r="DPS44" s="55"/>
      <c r="DPT44" s="55"/>
      <c r="DPU44" s="55"/>
      <c r="DPV44" s="55"/>
      <c r="DPW44" s="55"/>
      <c r="DPX44" s="55"/>
      <c r="DPY44" s="55"/>
      <c r="DPZ44" s="55"/>
      <c r="DQA44" s="55"/>
      <c r="DQB44" s="55"/>
      <c r="DQC44" s="55"/>
      <c r="DQD44" s="55"/>
      <c r="DQE44" s="55"/>
      <c r="DQF44" s="55"/>
      <c r="DQG44" s="55"/>
      <c r="DQH44" s="55"/>
      <c r="DQI44" s="55"/>
      <c r="DQJ44" s="55"/>
      <c r="DQK44" s="55"/>
      <c r="DQL44" s="55"/>
      <c r="DQM44" s="55"/>
      <c r="DQN44" s="55"/>
      <c r="DQO44" s="55"/>
      <c r="DQP44" s="55"/>
      <c r="DQQ44" s="55"/>
      <c r="DQR44" s="55"/>
      <c r="DQS44" s="55"/>
      <c r="DQT44" s="55"/>
      <c r="DQU44" s="55"/>
      <c r="DQV44" s="55"/>
      <c r="DQW44" s="55"/>
      <c r="DQX44" s="55"/>
      <c r="DQY44" s="55"/>
      <c r="DQZ44" s="55"/>
      <c r="DRA44" s="55"/>
      <c r="DRB44" s="55"/>
      <c r="DRC44" s="55"/>
      <c r="DRD44" s="55"/>
      <c r="DRE44" s="55"/>
      <c r="DRF44" s="55"/>
      <c r="DRG44" s="55"/>
      <c r="DRH44" s="55"/>
      <c r="DRI44" s="55"/>
      <c r="DRJ44" s="55"/>
      <c r="DRK44" s="55"/>
      <c r="DRL44" s="55"/>
      <c r="DRM44" s="55"/>
      <c r="DRN44" s="55"/>
      <c r="DRO44" s="55"/>
      <c r="DRP44" s="55"/>
      <c r="DRQ44" s="55"/>
      <c r="DRR44" s="55"/>
      <c r="DRS44" s="55"/>
      <c r="DRT44" s="55"/>
      <c r="DRU44" s="55"/>
      <c r="DRV44" s="55"/>
      <c r="DRW44" s="55"/>
      <c r="DRX44" s="55"/>
      <c r="DRY44" s="55"/>
      <c r="DRZ44" s="55"/>
      <c r="DSA44" s="55"/>
      <c r="DSB44" s="55"/>
      <c r="DSC44" s="55"/>
      <c r="DSD44" s="55"/>
      <c r="DSE44" s="55"/>
      <c r="DSF44" s="55"/>
      <c r="DSG44" s="55"/>
      <c r="DSH44" s="55"/>
      <c r="DSI44" s="55"/>
      <c r="DSJ44" s="55"/>
      <c r="DSK44" s="55"/>
      <c r="DSL44" s="55"/>
      <c r="DSM44" s="55"/>
      <c r="DSN44" s="55"/>
      <c r="DSO44" s="55"/>
      <c r="DSP44" s="55"/>
      <c r="DSQ44" s="55"/>
      <c r="DSR44" s="55"/>
      <c r="DSS44" s="55"/>
      <c r="DST44" s="55"/>
      <c r="DSU44" s="55"/>
      <c r="DSV44" s="55"/>
      <c r="DSW44" s="55"/>
      <c r="DSX44" s="55"/>
      <c r="DSY44" s="55"/>
      <c r="DSZ44" s="55"/>
      <c r="DTA44" s="55"/>
      <c r="DTB44" s="55"/>
      <c r="DTC44" s="55"/>
      <c r="DTD44" s="55"/>
      <c r="DTE44" s="55"/>
      <c r="DTF44" s="55"/>
      <c r="DTG44" s="55"/>
      <c r="DTH44" s="55"/>
      <c r="DTI44" s="55"/>
      <c r="DTJ44" s="55"/>
      <c r="DTK44" s="55"/>
      <c r="DTL44" s="55"/>
      <c r="DTM44" s="55"/>
      <c r="DTN44" s="55"/>
      <c r="DTO44" s="55"/>
      <c r="DTP44" s="55"/>
      <c r="DTQ44" s="55"/>
      <c r="DTR44" s="55"/>
      <c r="DTS44" s="55"/>
      <c r="DTT44" s="55"/>
      <c r="DTU44" s="55"/>
      <c r="DTV44" s="55"/>
      <c r="DTW44" s="55"/>
      <c r="DTX44" s="55"/>
      <c r="DTY44" s="55"/>
      <c r="DTZ44" s="55"/>
      <c r="DUA44" s="55"/>
      <c r="DUB44" s="55"/>
      <c r="DUC44" s="55"/>
      <c r="DUD44" s="55"/>
      <c r="DUE44" s="55"/>
      <c r="DUF44" s="55"/>
      <c r="DUG44" s="55"/>
      <c r="DUH44" s="55"/>
      <c r="DUI44" s="55"/>
      <c r="DUJ44" s="55"/>
      <c r="DUK44" s="55"/>
      <c r="DUL44" s="55"/>
      <c r="DUM44" s="55"/>
      <c r="DUN44" s="55"/>
      <c r="DUO44" s="55"/>
      <c r="DUP44" s="55"/>
      <c r="DUQ44" s="55"/>
      <c r="DUR44" s="55"/>
      <c r="DUS44" s="55"/>
      <c r="DUT44" s="55"/>
      <c r="DUU44" s="55"/>
      <c r="DUV44" s="55"/>
      <c r="DUW44" s="55"/>
      <c r="DUX44" s="55"/>
      <c r="DUY44" s="55"/>
      <c r="DUZ44" s="55"/>
      <c r="DVA44" s="55"/>
      <c r="DVB44" s="55"/>
      <c r="DVC44" s="55"/>
      <c r="DVD44" s="55"/>
      <c r="DVE44" s="55"/>
      <c r="DVF44" s="55"/>
      <c r="DVG44" s="55"/>
      <c r="DVH44" s="55"/>
      <c r="DVI44" s="55"/>
      <c r="DVJ44" s="55"/>
      <c r="DVK44" s="55"/>
      <c r="DVL44" s="55"/>
      <c r="DVM44" s="55"/>
      <c r="DVN44" s="55"/>
      <c r="DVO44" s="55"/>
      <c r="DVP44" s="55"/>
      <c r="DVQ44" s="55"/>
      <c r="DVR44" s="55"/>
      <c r="DVS44" s="55"/>
      <c r="DVT44" s="55"/>
      <c r="DVU44" s="55"/>
      <c r="DVV44" s="55"/>
      <c r="DVW44" s="55"/>
      <c r="DVX44" s="55"/>
      <c r="DVY44" s="55"/>
      <c r="DVZ44" s="55"/>
      <c r="DWA44" s="55"/>
      <c r="DWB44" s="55"/>
      <c r="DWC44" s="55"/>
      <c r="DWD44" s="55"/>
      <c r="DWE44" s="55"/>
      <c r="DWF44" s="55"/>
      <c r="DWG44" s="55"/>
      <c r="DWH44" s="55"/>
      <c r="DWI44" s="55"/>
      <c r="DWJ44" s="55"/>
      <c r="DWK44" s="55"/>
      <c r="DWL44" s="55"/>
      <c r="DWM44" s="55"/>
      <c r="DWN44" s="55"/>
      <c r="DWO44" s="55"/>
      <c r="DWP44" s="55"/>
      <c r="DWQ44" s="55"/>
      <c r="DWR44" s="55"/>
      <c r="DWS44" s="55"/>
      <c r="DWT44" s="55"/>
      <c r="DWU44" s="55"/>
      <c r="DWV44" s="55"/>
      <c r="DWW44" s="55"/>
      <c r="DWX44" s="55"/>
      <c r="DWY44" s="55"/>
      <c r="DWZ44" s="55"/>
      <c r="DXA44" s="55"/>
      <c r="DXB44" s="55"/>
      <c r="DXC44" s="55"/>
      <c r="DXD44" s="55"/>
      <c r="DXE44" s="55"/>
      <c r="DXF44" s="55"/>
      <c r="DXG44" s="55"/>
      <c r="DXH44" s="55"/>
      <c r="DXI44" s="55"/>
      <c r="DXJ44" s="55"/>
      <c r="DXK44" s="55"/>
      <c r="DXL44" s="55"/>
      <c r="DXM44" s="55"/>
      <c r="DXN44" s="55"/>
      <c r="DXO44" s="55"/>
      <c r="DXP44" s="55"/>
      <c r="DXQ44" s="55"/>
      <c r="DXR44" s="55"/>
      <c r="DXS44" s="55"/>
      <c r="DXT44" s="55"/>
      <c r="DXU44" s="55"/>
      <c r="DXV44" s="55"/>
      <c r="DXW44" s="55"/>
      <c r="DXX44" s="55"/>
      <c r="DXY44" s="55"/>
      <c r="DXZ44" s="55"/>
      <c r="DYA44" s="55"/>
      <c r="DYB44" s="55"/>
      <c r="DYC44" s="55"/>
      <c r="DYD44" s="55"/>
      <c r="DYE44" s="55"/>
      <c r="DYF44" s="55"/>
      <c r="DYG44" s="55"/>
      <c r="DYH44" s="55"/>
      <c r="DYI44" s="55"/>
      <c r="DYJ44" s="55"/>
      <c r="DYK44" s="55"/>
      <c r="DYL44" s="55"/>
      <c r="DYM44" s="55"/>
      <c r="DYN44" s="55"/>
      <c r="DYO44" s="55"/>
      <c r="DYP44" s="55"/>
      <c r="DYQ44" s="55"/>
      <c r="DYR44" s="55"/>
      <c r="DYS44" s="55"/>
      <c r="DYT44" s="55"/>
      <c r="DYU44" s="55"/>
      <c r="DYV44" s="55"/>
      <c r="DYW44" s="55"/>
      <c r="DYX44" s="55"/>
      <c r="DYY44" s="55"/>
      <c r="DYZ44" s="55"/>
      <c r="DZA44" s="55"/>
      <c r="DZB44" s="55"/>
      <c r="DZC44" s="55"/>
      <c r="DZD44" s="55"/>
      <c r="DZE44" s="55"/>
      <c r="DZF44" s="55"/>
      <c r="DZG44" s="55"/>
      <c r="DZH44" s="55"/>
      <c r="DZI44" s="55"/>
      <c r="DZJ44" s="55"/>
      <c r="DZK44" s="55"/>
      <c r="DZL44" s="55"/>
      <c r="DZM44" s="55"/>
      <c r="DZN44" s="55"/>
      <c r="DZO44" s="55"/>
      <c r="DZP44" s="55"/>
      <c r="DZQ44" s="55"/>
      <c r="DZR44" s="55"/>
      <c r="DZS44" s="55"/>
      <c r="DZT44" s="55"/>
      <c r="DZU44" s="55"/>
      <c r="DZV44" s="55"/>
      <c r="DZW44" s="55"/>
      <c r="DZX44" s="55"/>
      <c r="DZY44" s="55"/>
      <c r="DZZ44" s="55"/>
      <c r="EAA44" s="55"/>
      <c r="EAB44" s="55"/>
      <c r="EAC44" s="55"/>
      <c r="EAD44" s="55"/>
      <c r="EAE44" s="55"/>
      <c r="EAF44" s="55"/>
      <c r="EAG44" s="55"/>
      <c r="EAH44" s="55"/>
      <c r="EAI44" s="55"/>
      <c r="EAJ44" s="55"/>
      <c r="EAK44" s="55"/>
      <c r="EAL44" s="55"/>
      <c r="EAM44" s="55"/>
      <c r="EAN44" s="55"/>
      <c r="EAO44" s="55"/>
      <c r="EAP44" s="55"/>
      <c r="EAQ44" s="55"/>
      <c r="EAR44" s="55"/>
      <c r="EAS44" s="55"/>
      <c r="EAT44" s="55"/>
      <c r="EAU44" s="55"/>
      <c r="EAV44" s="55"/>
      <c r="EAW44" s="55"/>
      <c r="EAX44" s="55"/>
      <c r="EAY44" s="55"/>
      <c r="EAZ44" s="55"/>
      <c r="EBA44" s="55"/>
      <c r="EBB44" s="55"/>
      <c r="EBC44" s="55"/>
      <c r="EBD44" s="55"/>
      <c r="EBE44" s="55"/>
      <c r="EBF44" s="55"/>
      <c r="EBG44" s="55"/>
      <c r="EBH44" s="55"/>
      <c r="EBI44" s="55"/>
      <c r="EBJ44" s="55"/>
      <c r="EBK44" s="55"/>
      <c r="EBL44" s="55"/>
      <c r="EBM44" s="55"/>
      <c r="EBN44" s="55"/>
      <c r="EBO44" s="55"/>
      <c r="EBP44" s="55"/>
      <c r="EBQ44" s="55"/>
      <c r="EBR44" s="55"/>
      <c r="EBS44" s="55"/>
      <c r="EBT44" s="55"/>
      <c r="EBU44" s="55"/>
      <c r="EBV44" s="55"/>
      <c r="EBW44" s="55"/>
      <c r="EBX44" s="55"/>
      <c r="EBY44" s="55"/>
      <c r="EBZ44" s="55"/>
      <c r="ECA44" s="55"/>
      <c r="ECB44" s="55"/>
      <c r="ECC44" s="55"/>
      <c r="ECD44" s="55"/>
      <c r="ECE44" s="55"/>
      <c r="ECF44" s="55"/>
      <c r="ECG44" s="55"/>
      <c r="ECH44" s="55"/>
      <c r="ECI44" s="55"/>
      <c r="ECJ44" s="55"/>
      <c r="ECK44" s="55"/>
      <c r="ECL44" s="55"/>
      <c r="ECM44" s="55"/>
      <c r="ECN44" s="55"/>
      <c r="ECO44" s="55"/>
      <c r="ECP44" s="55"/>
      <c r="ECQ44" s="55"/>
      <c r="ECR44" s="55"/>
      <c r="ECS44" s="55"/>
      <c r="ECT44" s="55"/>
      <c r="ECU44" s="55"/>
      <c r="ECV44" s="55"/>
      <c r="ECW44" s="55"/>
      <c r="ECX44" s="55"/>
      <c r="ECY44" s="55"/>
      <c r="ECZ44" s="55"/>
      <c r="EDA44" s="55"/>
      <c r="EDB44" s="55"/>
      <c r="EDC44" s="55"/>
      <c r="EDD44" s="55"/>
      <c r="EDE44" s="55"/>
      <c r="EDF44" s="55"/>
      <c r="EDG44" s="55"/>
      <c r="EDH44" s="55"/>
      <c r="EDI44" s="55"/>
      <c r="EDJ44" s="55"/>
      <c r="EDK44" s="55"/>
      <c r="EDL44" s="55"/>
      <c r="EDM44" s="55"/>
      <c r="EDN44" s="55"/>
      <c r="EDO44" s="55"/>
      <c r="EDP44" s="55"/>
      <c r="EDQ44" s="55"/>
      <c r="EDR44" s="55"/>
      <c r="EDS44" s="55"/>
      <c r="EDT44" s="55"/>
      <c r="EDU44" s="55"/>
      <c r="EDV44" s="55"/>
      <c r="EDW44" s="55"/>
      <c r="EDX44" s="55"/>
      <c r="EDY44" s="55"/>
      <c r="EDZ44" s="55"/>
      <c r="EEA44" s="55"/>
      <c r="EEB44" s="55"/>
      <c r="EEC44" s="55"/>
      <c r="EED44" s="55"/>
      <c r="EEE44" s="55"/>
      <c r="EEF44" s="55"/>
      <c r="EEG44" s="55"/>
      <c r="EEH44" s="55"/>
      <c r="EEI44" s="55"/>
      <c r="EEJ44" s="55"/>
      <c r="EEK44" s="55"/>
      <c r="EEL44" s="55"/>
      <c r="EEM44" s="55"/>
      <c r="EEN44" s="55"/>
      <c r="EEO44" s="55"/>
      <c r="EEP44" s="55"/>
      <c r="EEQ44" s="55"/>
      <c r="EER44" s="55"/>
      <c r="EES44" s="55"/>
      <c r="EET44" s="55"/>
      <c r="EEU44" s="55"/>
      <c r="EEV44" s="55"/>
      <c r="EEW44" s="55"/>
      <c r="EEX44" s="55"/>
      <c r="EEY44" s="55"/>
      <c r="EEZ44" s="55"/>
      <c r="EFA44" s="55"/>
      <c r="EFB44" s="55"/>
      <c r="EFC44" s="55"/>
      <c r="EFD44" s="55"/>
      <c r="EFE44" s="55"/>
      <c r="EFF44" s="55"/>
      <c r="EFG44" s="55"/>
      <c r="EFH44" s="55"/>
      <c r="EFI44" s="55"/>
      <c r="EFJ44" s="55"/>
      <c r="EFK44" s="55"/>
      <c r="EFL44" s="55"/>
      <c r="EFM44" s="55"/>
      <c r="EFN44" s="55"/>
      <c r="EFO44" s="55"/>
      <c r="EFP44" s="55"/>
      <c r="EFQ44" s="55"/>
      <c r="EFR44" s="55"/>
      <c r="EFS44" s="55"/>
      <c r="EFT44" s="55"/>
      <c r="EFU44" s="55"/>
      <c r="EFV44" s="55"/>
      <c r="EFW44" s="55"/>
      <c r="EFX44" s="55"/>
      <c r="EFY44" s="55"/>
      <c r="EFZ44" s="55"/>
      <c r="EGA44" s="55"/>
      <c r="EGB44" s="55"/>
      <c r="EGC44" s="55"/>
      <c r="EGD44" s="55"/>
      <c r="EGE44" s="55"/>
      <c r="EGF44" s="55"/>
      <c r="EGG44" s="55"/>
      <c r="EGH44" s="55"/>
      <c r="EGI44" s="55"/>
      <c r="EGJ44" s="55"/>
      <c r="EGK44" s="55"/>
      <c r="EGL44" s="55"/>
      <c r="EGM44" s="55"/>
      <c r="EGN44" s="55"/>
      <c r="EGO44" s="55"/>
      <c r="EGP44" s="55"/>
      <c r="EGQ44" s="55"/>
      <c r="EGR44" s="55"/>
      <c r="EGS44" s="55"/>
      <c r="EGT44" s="55"/>
      <c r="EGU44" s="55"/>
      <c r="EGV44" s="55"/>
      <c r="EGW44" s="55"/>
      <c r="EGX44" s="55"/>
      <c r="EGY44" s="55"/>
      <c r="EGZ44" s="55"/>
      <c r="EHA44" s="55"/>
      <c r="EHB44" s="55"/>
      <c r="EHC44" s="55"/>
      <c r="EHD44" s="55"/>
      <c r="EHE44" s="55"/>
      <c r="EHF44" s="55"/>
      <c r="EHG44" s="55"/>
      <c r="EHH44" s="55"/>
      <c r="EHI44" s="55"/>
      <c r="EHJ44" s="55"/>
      <c r="EHK44" s="55"/>
      <c r="EHL44" s="55"/>
      <c r="EHM44" s="55"/>
      <c r="EHN44" s="55"/>
      <c r="EHO44" s="55"/>
      <c r="EHP44" s="55"/>
      <c r="EHQ44" s="55"/>
      <c r="EHR44" s="55"/>
      <c r="EHS44" s="55"/>
      <c r="EHT44" s="55"/>
      <c r="EHU44" s="55"/>
      <c r="EHV44" s="55"/>
      <c r="EHW44" s="55"/>
      <c r="EHX44" s="55"/>
      <c r="EHY44" s="55"/>
      <c r="EHZ44" s="55"/>
      <c r="EIA44" s="55"/>
      <c r="EIB44" s="55"/>
      <c r="EIC44" s="55"/>
      <c r="EID44" s="55"/>
      <c r="EIE44" s="55"/>
      <c r="EIF44" s="55"/>
      <c r="EIG44" s="55"/>
      <c r="EIH44" s="55"/>
      <c r="EII44" s="55"/>
      <c r="EIJ44" s="55"/>
      <c r="EIK44" s="55"/>
      <c r="EIL44" s="55"/>
      <c r="EIM44" s="55"/>
      <c r="EIN44" s="55"/>
      <c r="EIO44" s="55"/>
      <c r="EIP44" s="55"/>
      <c r="EIQ44" s="55"/>
      <c r="EIR44" s="55"/>
      <c r="EIS44" s="55"/>
      <c r="EIT44" s="55"/>
      <c r="EIU44" s="55"/>
      <c r="EIV44" s="55"/>
      <c r="EIW44" s="55"/>
      <c r="EIX44" s="55"/>
      <c r="EIY44" s="55"/>
      <c r="EIZ44" s="55"/>
      <c r="EJA44" s="55"/>
      <c r="EJB44" s="55"/>
      <c r="EJC44" s="55"/>
      <c r="EJD44" s="55"/>
      <c r="EJE44" s="55"/>
      <c r="EJF44" s="55"/>
      <c r="EJG44" s="55"/>
      <c r="EJH44" s="55"/>
      <c r="EJI44" s="55"/>
      <c r="EJJ44" s="55"/>
      <c r="EJK44" s="55"/>
      <c r="EJL44" s="55"/>
      <c r="EJM44" s="55"/>
      <c r="EJN44" s="55"/>
      <c r="EJO44" s="55"/>
      <c r="EJP44" s="55"/>
      <c r="EJQ44" s="55"/>
      <c r="EJR44" s="55"/>
      <c r="EJS44" s="55"/>
      <c r="EJT44" s="55"/>
      <c r="EJU44" s="55"/>
      <c r="EJV44" s="55"/>
      <c r="EJW44" s="55"/>
      <c r="EJX44" s="55"/>
      <c r="EJY44" s="55"/>
      <c r="EJZ44" s="55"/>
      <c r="EKA44" s="55"/>
      <c r="EKB44" s="55"/>
      <c r="EKC44" s="55"/>
      <c r="EKD44" s="55"/>
      <c r="EKE44" s="55"/>
      <c r="EKF44" s="55"/>
      <c r="EKG44" s="55"/>
      <c r="EKH44" s="55"/>
      <c r="EKI44" s="55"/>
      <c r="EKJ44" s="55"/>
      <c r="EKK44" s="55"/>
      <c r="EKL44" s="55"/>
      <c r="EKM44" s="55"/>
      <c r="EKN44" s="55"/>
      <c r="EKO44" s="55"/>
      <c r="EKP44" s="55"/>
      <c r="EKQ44" s="55"/>
      <c r="EKR44" s="55"/>
      <c r="EKS44" s="55"/>
      <c r="EKT44" s="55"/>
      <c r="EKU44" s="55"/>
      <c r="EKV44" s="55"/>
      <c r="EKW44" s="55"/>
      <c r="EKX44" s="55"/>
      <c r="EKY44" s="55"/>
      <c r="EKZ44" s="55"/>
      <c r="ELA44" s="55"/>
      <c r="ELB44" s="55"/>
      <c r="ELC44" s="55"/>
      <c r="ELD44" s="55"/>
      <c r="ELE44" s="55"/>
      <c r="ELF44" s="55"/>
      <c r="ELG44" s="55"/>
      <c r="ELH44" s="55"/>
      <c r="ELI44" s="55"/>
      <c r="ELJ44" s="55"/>
      <c r="ELK44" s="55"/>
      <c r="ELL44" s="55"/>
      <c r="ELM44" s="55"/>
      <c r="ELN44" s="55"/>
      <c r="ELO44" s="55"/>
      <c r="ELP44" s="55"/>
      <c r="ELQ44" s="55"/>
      <c r="ELR44" s="55"/>
      <c r="ELS44" s="55"/>
      <c r="ELT44" s="55"/>
      <c r="ELU44" s="55"/>
      <c r="ELV44" s="55"/>
      <c r="ELW44" s="55"/>
      <c r="ELX44" s="55"/>
      <c r="ELY44" s="55"/>
      <c r="ELZ44" s="55"/>
      <c r="EMA44" s="55"/>
      <c r="EMB44" s="55"/>
      <c r="EMC44" s="55"/>
      <c r="EMD44" s="55"/>
      <c r="EME44" s="55"/>
      <c r="EMF44" s="55"/>
      <c r="EMG44" s="55"/>
      <c r="EMH44" s="55"/>
      <c r="EMI44" s="55"/>
      <c r="EMJ44" s="55"/>
      <c r="EMK44" s="55"/>
      <c r="EML44" s="55"/>
      <c r="EMM44" s="55"/>
      <c r="EMN44" s="55"/>
      <c r="EMO44" s="55"/>
      <c r="EMP44" s="55"/>
      <c r="EMQ44" s="55"/>
      <c r="EMR44" s="55"/>
      <c r="EMS44" s="55"/>
      <c r="EMT44" s="55"/>
      <c r="EMU44" s="55"/>
      <c r="EMV44" s="55"/>
      <c r="EMW44" s="55"/>
      <c r="EMX44" s="55"/>
      <c r="EMY44" s="55"/>
      <c r="EMZ44" s="55"/>
      <c r="ENA44" s="55"/>
      <c r="ENB44" s="55"/>
      <c r="ENC44" s="55"/>
      <c r="END44" s="55"/>
      <c r="ENE44" s="55"/>
      <c r="ENF44" s="55"/>
      <c r="ENG44" s="55"/>
      <c r="ENH44" s="55"/>
      <c r="ENI44" s="55"/>
      <c r="ENJ44" s="55"/>
      <c r="ENK44" s="55"/>
      <c r="ENL44" s="55"/>
      <c r="ENM44" s="55"/>
      <c r="ENN44" s="55"/>
      <c r="ENO44" s="55"/>
      <c r="ENP44" s="55"/>
      <c r="ENQ44" s="55"/>
      <c r="ENR44" s="55"/>
      <c r="ENS44" s="55"/>
      <c r="ENT44" s="55"/>
      <c r="ENU44" s="55"/>
      <c r="ENV44" s="55"/>
      <c r="ENW44" s="55"/>
      <c r="ENX44" s="55"/>
      <c r="ENY44" s="55"/>
      <c r="ENZ44" s="55"/>
      <c r="EOA44" s="55"/>
      <c r="EOB44" s="55"/>
      <c r="EOC44" s="55"/>
      <c r="EOD44" s="55"/>
      <c r="EOE44" s="55"/>
      <c r="EOF44" s="55"/>
      <c r="EOG44" s="55"/>
      <c r="EOH44" s="55"/>
      <c r="EOI44" s="55"/>
      <c r="EOJ44" s="55"/>
      <c r="EOK44" s="55"/>
      <c r="EOL44" s="55"/>
      <c r="EOM44" s="55"/>
      <c r="EON44" s="55"/>
      <c r="EOO44" s="55"/>
      <c r="EOP44" s="55"/>
      <c r="EOQ44" s="55"/>
      <c r="EOR44" s="55"/>
      <c r="EOS44" s="55"/>
      <c r="EOT44" s="55"/>
      <c r="EOU44" s="55"/>
      <c r="EOV44" s="55"/>
      <c r="EOW44" s="55"/>
      <c r="EOX44" s="55"/>
      <c r="EOY44" s="55"/>
      <c r="EOZ44" s="55"/>
      <c r="EPA44" s="55"/>
      <c r="EPB44" s="55"/>
      <c r="EPC44" s="55"/>
      <c r="EPD44" s="55"/>
      <c r="EPE44" s="55"/>
      <c r="EPF44" s="55"/>
      <c r="EPG44" s="55"/>
      <c r="EPH44" s="55"/>
      <c r="EPI44" s="55"/>
      <c r="EPJ44" s="55"/>
      <c r="EPK44" s="55"/>
      <c r="EPL44" s="55"/>
      <c r="EPM44" s="55"/>
      <c r="EPN44" s="55"/>
      <c r="EPO44" s="55"/>
      <c r="EPP44" s="55"/>
      <c r="EPQ44" s="55"/>
      <c r="EPR44" s="55"/>
      <c r="EPS44" s="55"/>
      <c r="EPT44" s="55"/>
      <c r="EPU44" s="55"/>
      <c r="EPV44" s="55"/>
      <c r="EPW44" s="55"/>
      <c r="EPX44" s="55"/>
      <c r="EPY44" s="55"/>
      <c r="EPZ44" s="55"/>
      <c r="EQA44" s="55"/>
      <c r="EQB44" s="55"/>
      <c r="EQC44" s="55"/>
      <c r="EQD44" s="55"/>
      <c r="EQE44" s="55"/>
      <c r="EQF44" s="55"/>
      <c r="EQG44" s="55"/>
      <c r="EQH44" s="55"/>
      <c r="EQI44" s="55"/>
      <c r="EQJ44" s="55"/>
      <c r="EQK44" s="55"/>
      <c r="EQL44" s="55"/>
      <c r="EQM44" s="55"/>
      <c r="EQN44" s="55"/>
      <c r="EQO44" s="55"/>
      <c r="EQP44" s="55"/>
      <c r="EQQ44" s="55"/>
      <c r="EQR44" s="55"/>
      <c r="EQS44" s="55"/>
      <c r="EQT44" s="55"/>
      <c r="EQU44" s="55"/>
      <c r="EQV44" s="55"/>
      <c r="EQW44" s="55"/>
      <c r="EQX44" s="55"/>
      <c r="EQY44" s="55"/>
      <c r="EQZ44" s="55"/>
      <c r="ERA44" s="55"/>
      <c r="ERB44" s="55"/>
      <c r="ERC44" s="55"/>
      <c r="ERD44" s="55"/>
      <c r="ERE44" s="55"/>
      <c r="ERF44" s="55"/>
      <c r="ERG44" s="55"/>
      <c r="ERH44" s="55"/>
      <c r="ERI44" s="55"/>
      <c r="ERJ44" s="55"/>
      <c r="ERK44" s="55"/>
      <c r="ERL44" s="55"/>
      <c r="ERM44" s="55"/>
      <c r="ERN44" s="55"/>
      <c r="ERO44" s="55"/>
      <c r="ERP44" s="55"/>
      <c r="ERQ44" s="55"/>
      <c r="ERR44" s="55"/>
      <c r="ERS44" s="55"/>
      <c r="ERT44" s="55"/>
      <c r="ERU44" s="55"/>
      <c r="ERV44" s="55"/>
      <c r="ERW44" s="55"/>
      <c r="ERX44" s="55"/>
      <c r="ERY44" s="55"/>
      <c r="ERZ44" s="55"/>
      <c r="ESA44" s="55"/>
      <c r="ESB44" s="55"/>
      <c r="ESC44" s="55"/>
      <c r="ESD44" s="55"/>
      <c r="ESE44" s="55"/>
      <c r="ESF44" s="55"/>
      <c r="ESG44" s="55"/>
      <c r="ESH44" s="55"/>
      <c r="ESI44" s="55"/>
      <c r="ESJ44" s="55"/>
      <c r="ESK44" s="55"/>
      <c r="ESL44" s="55"/>
      <c r="ESM44" s="55"/>
      <c r="ESN44" s="55"/>
      <c r="ESO44" s="55"/>
      <c r="ESP44" s="55"/>
      <c r="ESQ44" s="55"/>
      <c r="ESR44" s="55"/>
      <c r="ESS44" s="55"/>
      <c r="EST44" s="55"/>
      <c r="ESU44" s="55"/>
      <c r="ESV44" s="55"/>
      <c r="ESW44" s="55"/>
      <c r="ESX44" s="55"/>
      <c r="ESY44" s="55"/>
      <c r="ESZ44" s="55"/>
      <c r="ETA44" s="55"/>
      <c r="ETB44" s="55"/>
      <c r="ETC44" s="55"/>
      <c r="ETD44" s="55"/>
      <c r="ETE44" s="55"/>
      <c r="ETF44" s="55"/>
      <c r="ETG44" s="55"/>
      <c r="ETH44" s="55"/>
      <c r="ETI44" s="55"/>
      <c r="ETJ44" s="55"/>
      <c r="ETK44" s="55"/>
      <c r="ETL44" s="55"/>
      <c r="ETM44" s="55"/>
      <c r="ETN44" s="55"/>
      <c r="ETO44" s="55"/>
      <c r="ETP44" s="55"/>
      <c r="ETQ44" s="55"/>
      <c r="ETR44" s="55"/>
      <c r="ETS44" s="55"/>
      <c r="ETT44" s="55"/>
      <c r="ETU44" s="55"/>
      <c r="ETV44" s="55"/>
      <c r="ETW44" s="55"/>
      <c r="ETX44" s="55"/>
      <c r="ETY44" s="55"/>
      <c r="ETZ44" s="55"/>
      <c r="EUA44" s="55"/>
      <c r="EUB44" s="55"/>
      <c r="EUC44" s="55"/>
      <c r="EUD44" s="55"/>
      <c r="EUE44" s="55"/>
      <c r="EUF44" s="55"/>
      <c r="EUG44" s="55"/>
      <c r="EUH44" s="55"/>
      <c r="EUI44" s="55"/>
      <c r="EUJ44" s="55"/>
      <c r="EUK44" s="55"/>
      <c r="EUL44" s="55"/>
      <c r="EUM44" s="55"/>
      <c r="EUN44" s="55"/>
      <c r="EUO44" s="55"/>
      <c r="EUP44" s="55"/>
      <c r="EUQ44" s="55"/>
      <c r="EUR44" s="55"/>
      <c r="EUS44" s="55"/>
      <c r="EUT44" s="55"/>
      <c r="EUU44" s="55"/>
      <c r="EUV44" s="55"/>
      <c r="EUW44" s="55"/>
      <c r="EUX44" s="55"/>
      <c r="EUY44" s="55"/>
      <c r="EUZ44" s="55"/>
      <c r="EVA44" s="55"/>
      <c r="EVB44" s="55"/>
      <c r="EVC44" s="55"/>
      <c r="EVD44" s="55"/>
      <c r="EVE44" s="55"/>
      <c r="EVF44" s="55"/>
      <c r="EVG44" s="55"/>
      <c r="EVH44" s="55"/>
      <c r="EVI44" s="55"/>
      <c r="EVJ44" s="55"/>
      <c r="EVK44" s="55"/>
      <c r="EVL44" s="55"/>
      <c r="EVM44" s="55"/>
      <c r="EVN44" s="55"/>
      <c r="EVO44" s="55"/>
      <c r="EVP44" s="55"/>
      <c r="EVQ44" s="55"/>
      <c r="EVR44" s="55"/>
      <c r="EVS44" s="55"/>
      <c r="EVT44" s="55"/>
      <c r="EVU44" s="55"/>
      <c r="EVV44" s="55"/>
      <c r="EVW44" s="55"/>
      <c r="EVX44" s="55"/>
      <c r="EVY44" s="55"/>
      <c r="EVZ44" s="55"/>
      <c r="EWA44" s="55"/>
      <c r="EWB44" s="55"/>
      <c r="EWC44" s="55"/>
      <c r="EWD44" s="55"/>
      <c r="EWE44" s="55"/>
      <c r="EWF44" s="55"/>
      <c r="EWG44" s="55"/>
      <c r="EWH44" s="55"/>
      <c r="EWI44" s="55"/>
      <c r="EWJ44" s="55"/>
      <c r="EWK44" s="55"/>
      <c r="EWL44" s="55"/>
      <c r="EWM44" s="55"/>
      <c r="EWN44" s="55"/>
      <c r="EWO44" s="55"/>
      <c r="EWP44" s="55"/>
      <c r="EWQ44" s="55"/>
      <c r="EWR44" s="55"/>
      <c r="EWS44" s="55"/>
      <c r="EWT44" s="55"/>
      <c r="EWU44" s="55"/>
      <c r="EWV44" s="55"/>
      <c r="EWW44" s="55"/>
      <c r="EWX44" s="55"/>
      <c r="EWY44" s="55"/>
      <c r="EWZ44" s="55"/>
      <c r="EXA44" s="55"/>
      <c r="EXB44" s="55"/>
      <c r="EXC44" s="55"/>
      <c r="EXD44" s="55"/>
      <c r="EXE44" s="55"/>
      <c r="EXF44" s="55"/>
      <c r="EXG44" s="55"/>
      <c r="EXH44" s="55"/>
      <c r="EXI44" s="55"/>
      <c r="EXJ44" s="55"/>
      <c r="EXK44" s="55"/>
      <c r="EXL44" s="55"/>
      <c r="EXM44" s="55"/>
      <c r="EXN44" s="55"/>
      <c r="EXO44" s="55"/>
      <c r="EXP44" s="55"/>
      <c r="EXQ44" s="55"/>
      <c r="EXR44" s="55"/>
      <c r="EXS44" s="55"/>
      <c r="EXT44" s="55"/>
      <c r="EXU44" s="55"/>
      <c r="EXV44" s="55"/>
      <c r="EXW44" s="55"/>
      <c r="EXX44" s="55"/>
      <c r="EXY44" s="55"/>
      <c r="EXZ44" s="55"/>
      <c r="EYA44" s="55"/>
      <c r="EYB44" s="55"/>
      <c r="EYC44" s="55"/>
      <c r="EYD44" s="55"/>
      <c r="EYE44" s="55"/>
      <c r="EYF44" s="55"/>
      <c r="EYG44" s="55"/>
      <c r="EYH44" s="55"/>
      <c r="EYI44" s="55"/>
      <c r="EYJ44" s="55"/>
      <c r="EYK44" s="55"/>
      <c r="EYL44" s="55"/>
      <c r="EYM44" s="55"/>
      <c r="EYN44" s="55"/>
      <c r="EYO44" s="55"/>
      <c r="EYP44" s="55"/>
      <c r="EYQ44" s="55"/>
      <c r="EYR44" s="55"/>
      <c r="EYS44" s="55"/>
      <c r="EYT44" s="55"/>
      <c r="EYU44" s="55"/>
      <c r="EYV44" s="55"/>
      <c r="EYW44" s="55"/>
      <c r="EYX44" s="55"/>
      <c r="EYY44" s="55"/>
      <c r="EYZ44" s="55"/>
      <c r="EZA44" s="55"/>
      <c r="EZB44" s="55"/>
      <c r="EZC44" s="55"/>
      <c r="EZD44" s="55"/>
      <c r="EZE44" s="55"/>
      <c r="EZF44" s="55"/>
      <c r="EZG44" s="55"/>
      <c r="EZH44" s="55"/>
      <c r="EZI44" s="55"/>
      <c r="EZJ44" s="55"/>
      <c r="EZK44" s="55"/>
      <c r="EZL44" s="55"/>
      <c r="EZM44" s="55"/>
      <c r="EZN44" s="55"/>
      <c r="EZO44" s="55"/>
      <c r="EZP44" s="55"/>
      <c r="EZQ44" s="55"/>
      <c r="EZR44" s="55"/>
      <c r="EZS44" s="55"/>
      <c r="EZT44" s="55"/>
      <c r="EZU44" s="55"/>
      <c r="EZV44" s="55"/>
      <c r="EZW44" s="55"/>
      <c r="EZX44" s="55"/>
      <c r="EZY44" s="55"/>
      <c r="EZZ44" s="55"/>
      <c r="FAA44" s="55"/>
      <c r="FAB44" s="55"/>
      <c r="FAC44" s="55"/>
      <c r="FAD44" s="55"/>
      <c r="FAE44" s="55"/>
      <c r="FAF44" s="55"/>
      <c r="FAG44" s="55"/>
      <c r="FAH44" s="55"/>
      <c r="FAI44" s="55"/>
      <c r="FAJ44" s="55"/>
      <c r="FAK44" s="55"/>
      <c r="FAL44" s="55"/>
      <c r="FAM44" s="55"/>
      <c r="FAN44" s="55"/>
      <c r="FAO44" s="55"/>
      <c r="FAP44" s="55"/>
      <c r="FAQ44" s="55"/>
      <c r="FAR44" s="55"/>
      <c r="FAS44" s="55"/>
      <c r="FAT44" s="55"/>
      <c r="FAU44" s="55"/>
      <c r="FAV44" s="55"/>
      <c r="FAW44" s="55"/>
      <c r="FAX44" s="55"/>
      <c r="FAY44" s="55"/>
      <c r="FAZ44" s="55"/>
      <c r="FBA44" s="55"/>
      <c r="FBB44" s="55"/>
      <c r="FBC44" s="55"/>
      <c r="FBD44" s="55"/>
      <c r="FBE44" s="55"/>
      <c r="FBF44" s="55"/>
      <c r="FBG44" s="55"/>
      <c r="FBH44" s="55"/>
      <c r="FBI44" s="55"/>
      <c r="FBJ44" s="55"/>
      <c r="FBK44" s="55"/>
      <c r="FBL44" s="55"/>
      <c r="FBM44" s="55"/>
      <c r="FBN44" s="55"/>
      <c r="FBO44" s="55"/>
      <c r="FBP44" s="55"/>
      <c r="FBQ44" s="55"/>
      <c r="FBR44" s="55"/>
      <c r="FBS44" s="55"/>
      <c r="FBT44" s="55"/>
      <c r="FBU44" s="55"/>
      <c r="FBV44" s="55"/>
      <c r="FBW44" s="55"/>
      <c r="FBX44" s="55"/>
      <c r="FBY44" s="55"/>
      <c r="FBZ44" s="55"/>
      <c r="FCA44" s="55"/>
      <c r="FCB44" s="55"/>
      <c r="FCC44" s="55"/>
      <c r="FCD44" s="55"/>
      <c r="FCE44" s="55"/>
      <c r="FCF44" s="55"/>
      <c r="FCG44" s="55"/>
      <c r="FCH44" s="55"/>
      <c r="FCI44" s="55"/>
      <c r="FCJ44" s="55"/>
      <c r="FCK44" s="55"/>
      <c r="FCL44" s="55"/>
      <c r="FCM44" s="55"/>
      <c r="FCN44" s="55"/>
      <c r="FCO44" s="55"/>
      <c r="FCP44" s="55"/>
      <c r="FCQ44" s="55"/>
      <c r="FCR44" s="55"/>
      <c r="FCS44" s="55"/>
      <c r="FCT44" s="55"/>
      <c r="FCU44" s="55"/>
      <c r="FCV44" s="55"/>
      <c r="FCW44" s="55"/>
      <c r="FCX44" s="55"/>
      <c r="FCY44" s="55"/>
      <c r="FCZ44" s="55"/>
      <c r="FDA44" s="55"/>
      <c r="FDB44" s="55"/>
      <c r="FDC44" s="55"/>
      <c r="FDD44" s="55"/>
      <c r="FDE44" s="55"/>
      <c r="FDF44" s="55"/>
      <c r="FDG44" s="55"/>
      <c r="FDH44" s="55"/>
      <c r="FDI44" s="55"/>
      <c r="FDJ44" s="55"/>
      <c r="FDK44" s="55"/>
      <c r="FDL44" s="55"/>
      <c r="FDM44" s="55"/>
      <c r="FDN44" s="55"/>
      <c r="FDO44" s="55"/>
      <c r="FDP44" s="55"/>
      <c r="FDQ44" s="55"/>
      <c r="FDR44" s="55"/>
      <c r="FDS44" s="55"/>
      <c r="FDT44" s="55"/>
      <c r="FDU44" s="55"/>
      <c r="FDV44" s="55"/>
      <c r="FDW44" s="55"/>
      <c r="FDX44" s="55"/>
      <c r="FDY44" s="55"/>
      <c r="FDZ44" s="55"/>
      <c r="FEA44" s="55"/>
      <c r="FEB44" s="55"/>
      <c r="FEC44" s="55"/>
      <c r="FED44" s="55"/>
      <c r="FEE44" s="55"/>
      <c r="FEF44" s="55"/>
      <c r="FEG44" s="55"/>
      <c r="FEH44" s="55"/>
      <c r="FEI44" s="55"/>
      <c r="FEJ44" s="55"/>
      <c r="FEK44" s="55"/>
      <c r="FEL44" s="55"/>
      <c r="FEM44" s="55"/>
      <c r="FEN44" s="55"/>
      <c r="FEO44" s="55"/>
      <c r="FEP44" s="55"/>
      <c r="FEQ44" s="55"/>
      <c r="FER44" s="55"/>
      <c r="FES44" s="55"/>
      <c r="FET44" s="55"/>
      <c r="FEU44" s="55"/>
      <c r="FEV44" s="55"/>
      <c r="FEW44" s="55"/>
      <c r="FEX44" s="55"/>
      <c r="FEY44" s="55"/>
      <c r="FEZ44" s="55"/>
      <c r="FFA44" s="55"/>
      <c r="FFB44" s="55"/>
      <c r="FFC44" s="55"/>
      <c r="FFD44" s="55"/>
      <c r="FFE44" s="55"/>
      <c r="FFF44" s="55"/>
      <c r="FFG44" s="55"/>
      <c r="FFH44" s="55"/>
      <c r="FFI44" s="55"/>
      <c r="FFJ44" s="55"/>
      <c r="FFK44" s="55"/>
      <c r="FFL44" s="55"/>
      <c r="FFM44" s="55"/>
      <c r="FFN44" s="55"/>
      <c r="FFO44" s="55"/>
      <c r="FFP44" s="55"/>
      <c r="FFQ44" s="55"/>
      <c r="FFR44" s="55"/>
      <c r="FFS44" s="55"/>
      <c r="FFT44" s="55"/>
      <c r="FFU44" s="55"/>
      <c r="FFV44" s="55"/>
      <c r="FFW44" s="55"/>
      <c r="FFX44" s="55"/>
      <c r="FFY44" s="55"/>
      <c r="FFZ44" s="55"/>
      <c r="FGA44" s="55"/>
      <c r="FGB44" s="55"/>
      <c r="FGC44" s="55"/>
      <c r="FGD44" s="55"/>
      <c r="FGE44" s="55"/>
      <c r="FGF44" s="55"/>
      <c r="FGG44" s="55"/>
      <c r="FGH44" s="55"/>
      <c r="FGI44" s="55"/>
      <c r="FGJ44" s="55"/>
      <c r="FGK44" s="55"/>
      <c r="FGL44" s="55"/>
      <c r="FGM44" s="55"/>
      <c r="FGN44" s="55"/>
      <c r="FGO44" s="55"/>
      <c r="FGP44" s="55"/>
      <c r="FGQ44" s="55"/>
      <c r="FGR44" s="55"/>
      <c r="FGS44" s="55"/>
      <c r="FGT44" s="55"/>
      <c r="FGU44" s="55"/>
      <c r="FGV44" s="55"/>
      <c r="FGW44" s="55"/>
      <c r="FGX44" s="55"/>
      <c r="FGY44" s="55"/>
      <c r="FGZ44" s="55"/>
      <c r="FHA44" s="55"/>
      <c r="FHB44" s="55"/>
      <c r="FHC44" s="55"/>
      <c r="FHD44" s="55"/>
      <c r="FHE44" s="55"/>
      <c r="FHF44" s="55"/>
      <c r="FHG44" s="55"/>
      <c r="FHH44" s="55"/>
      <c r="FHI44" s="55"/>
      <c r="FHJ44" s="55"/>
      <c r="FHK44" s="55"/>
      <c r="FHL44" s="55"/>
      <c r="FHM44" s="55"/>
      <c r="FHN44" s="55"/>
      <c r="FHO44" s="55"/>
      <c r="FHP44" s="55"/>
      <c r="FHQ44" s="55"/>
      <c r="FHR44" s="55"/>
      <c r="FHS44" s="55"/>
      <c r="FHT44" s="55"/>
      <c r="FHU44" s="55"/>
      <c r="FHV44" s="55"/>
      <c r="FHW44" s="55"/>
      <c r="FHX44" s="55"/>
      <c r="FHY44" s="55"/>
      <c r="FHZ44" s="55"/>
      <c r="FIA44" s="55"/>
      <c r="FIB44" s="55"/>
      <c r="FIC44" s="55"/>
      <c r="FID44" s="55"/>
      <c r="FIE44" s="55"/>
      <c r="FIF44" s="55"/>
      <c r="FIG44" s="55"/>
      <c r="FIH44" s="55"/>
      <c r="FII44" s="55"/>
      <c r="FIJ44" s="55"/>
      <c r="FIK44" s="55"/>
      <c r="FIL44" s="55"/>
      <c r="FIM44" s="55"/>
      <c r="FIN44" s="55"/>
      <c r="FIO44" s="55"/>
      <c r="FIP44" s="55"/>
      <c r="FIQ44" s="55"/>
      <c r="FIR44" s="55"/>
      <c r="FIS44" s="55"/>
      <c r="FIT44" s="55"/>
      <c r="FIU44" s="55"/>
      <c r="FIV44" s="55"/>
      <c r="FIW44" s="55"/>
      <c r="FIX44" s="55"/>
      <c r="FIY44" s="55"/>
      <c r="FIZ44" s="55"/>
      <c r="FJA44" s="55"/>
      <c r="FJB44" s="55"/>
      <c r="FJC44" s="55"/>
      <c r="FJD44" s="55"/>
      <c r="FJE44" s="55"/>
      <c r="FJF44" s="55"/>
      <c r="FJG44" s="55"/>
      <c r="FJH44" s="55"/>
      <c r="FJI44" s="55"/>
      <c r="FJJ44" s="55"/>
      <c r="FJK44" s="55"/>
      <c r="FJL44" s="55"/>
      <c r="FJM44" s="55"/>
      <c r="FJN44" s="55"/>
      <c r="FJO44" s="55"/>
      <c r="FJP44" s="55"/>
      <c r="FJQ44" s="55"/>
      <c r="FJR44" s="55"/>
      <c r="FJS44" s="55"/>
      <c r="FJT44" s="55"/>
      <c r="FJU44" s="55"/>
      <c r="FJV44" s="55"/>
      <c r="FJW44" s="55"/>
      <c r="FJX44" s="55"/>
      <c r="FJY44" s="55"/>
      <c r="FJZ44" s="55"/>
      <c r="FKA44" s="55"/>
      <c r="FKB44" s="55"/>
      <c r="FKC44" s="55"/>
      <c r="FKD44" s="55"/>
      <c r="FKE44" s="55"/>
      <c r="FKF44" s="55"/>
      <c r="FKG44" s="55"/>
      <c r="FKH44" s="55"/>
      <c r="FKI44" s="55"/>
      <c r="FKJ44" s="55"/>
      <c r="FKK44" s="55"/>
      <c r="FKL44" s="55"/>
      <c r="FKM44" s="55"/>
      <c r="FKN44" s="55"/>
      <c r="FKO44" s="55"/>
      <c r="FKP44" s="55"/>
      <c r="FKQ44" s="55"/>
      <c r="FKR44" s="55"/>
      <c r="FKS44" s="55"/>
      <c r="FKT44" s="55"/>
      <c r="FKU44" s="55"/>
      <c r="FKV44" s="55"/>
      <c r="FKW44" s="55"/>
      <c r="FKX44" s="55"/>
      <c r="FKY44" s="55"/>
      <c r="FKZ44" s="55"/>
      <c r="FLA44" s="55"/>
      <c r="FLB44" s="55"/>
      <c r="FLC44" s="55"/>
      <c r="FLD44" s="55"/>
      <c r="FLE44" s="55"/>
      <c r="FLF44" s="55"/>
      <c r="FLG44" s="55"/>
      <c r="FLH44" s="55"/>
      <c r="FLI44" s="55"/>
      <c r="FLJ44" s="55"/>
      <c r="FLK44" s="55"/>
      <c r="FLL44" s="55"/>
      <c r="FLM44" s="55"/>
      <c r="FLN44" s="55"/>
      <c r="FLO44" s="55"/>
      <c r="FLP44" s="55"/>
      <c r="FLQ44" s="55"/>
      <c r="FLR44" s="55"/>
      <c r="FLS44" s="55"/>
      <c r="FLT44" s="55"/>
      <c r="FLU44" s="55"/>
      <c r="FLV44" s="55"/>
      <c r="FLW44" s="55"/>
      <c r="FLX44" s="55"/>
      <c r="FLY44" s="55"/>
      <c r="FLZ44" s="55"/>
      <c r="FMA44" s="55"/>
      <c r="FMB44" s="55"/>
      <c r="FMC44" s="55"/>
      <c r="FMD44" s="55"/>
      <c r="FME44" s="55"/>
      <c r="FMF44" s="55"/>
      <c r="FMG44" s="55"/>
      <c r="FMH44" s="55"/>
      <c r="FMI44" s="55"/>
      <c r="FMJ44" s="55"/>
      <c r="FMK44" s="55"/>
      <c r="FML44" s="55"/>
      <c r="FMM44" s="55"/>
      <c r="FMN44" s="55"/>
      <c r="FMO44" s="55"/>
      <c r="FMP44" s="55"/>
      <c r="FMQ44" s="55"/>
      <c r="FMR44" s="55"/>
      <c r="FMS44" s="55"/>
      <c r="FMT44" s="55"/>
      <c r="FMU44" s="55"/>
      <c r="FMV44" s="55"/>
      <c r="FMW44" s="55"/>
      <c r="FMX44" s="55"/>
      <c r="FMY44" s="55"/>
      <c r="FMZ44" s="55"/>
      <c r="FNA44" s="55"/>
      <c r="FNB44" s="55"/>
      <c r="FNC44" s="55"/>
      <c r="FND44" s="55"/>
      <c r="FNE44" s="55"/>
      <c r="FNF44" s="55"/>
      <c r="FNG44" s="55"/>
      <c r="FNH44" s="55"/>
      <c r="FNI44" s="55"/>
      <c r="FNJ44" s="55"/>
      <c r="FNK44" s="55"/>
      <c r="FNL44" s="55"/>
      <c r="FNM44" s="55"/>
      <c r="FNN44" s="55"/>
      <c r="FNO44" s="55"/>
      <c r="FNP44" s="55"/>
      <c r="FNQ44" s="55"/>
      <c r="FNR44" s="55"/>
      <c r="FNS44" s="55"/>
      <c r="FNT44" s="55"/>
      <c r="FNU44" s="55"/>
      <c r="FNV44" s="55"/>
      <c r="FNW44" s="55"/>
      <c r="FNX44" s="55"/>
      <c r="FNY44" s="55"/>
      <c r="FNZ44" s="55"/>
      <c r="FOA44" s="55"/>
      <c r="FOB44" s="55"/>
      <c r="FOC44" s="55"/>
      <c r="FOD44" s="55"/>
      <c r="FOE44" s="55"/>
      <c r="FOF44" s="55"/>
      <c r="FOG44" s="55"/>
      <c r="FOH44" s="55"/>
      <c r="FOI44" s="55"/>
      <c r="FOJ44" s="55"/>
      <c r="FOK44" s="55"/>
      <c r="FOL44" s="55"/>
      <c r="FOM44" s="55"/>
      <c r="FON44" s="55"/>
      <c r="FOO44" s="55"/>
      <c r="FOP44" s="55"/>
      <c r="FOQ44" s="55"/>
      <c r="FOR44" s="55"/>
      <c r="FOS44" s="55"/>
      <c r="FOT44" s="55"/>
      <c r="FOU44" s="55"/>
      <c r="FOV44" s="55"/>
      <c r="FOW44" s="55"/>
      <c r="FOX44" s="55"/>
      <c r="FOY44" s="55"/>
      <c r="FOZ44" s="55"/>
      <c r="FPA44" s="55"/>
      <c r="FPB44" s="55"/>
      <c r="FPC44" s="55"/>
      <c r="FPD44" s="55"/>
      <c r="FPE44" s="55"/>
      <c r="FPF44" s="55"/>
      <c r="FPG44" s="55"/>
      <c r="FPH44" s="55"/>
      <c r="FPI44" s="55"/>
      <c r="FPJ44" s="55"/>
      <c r="FPK44" s="55"/>
      <c r="FPL44" s="55"/>
      <c r="FPM44" s="55"/>
      <c r="FPN44" s="55"/>
      <c r="FPO44" s="55"/>
      <c r="FPP44" s="55"/>
      <c r="FPQ44" s="55"/>
      <c r="FPR44" s="55"/>
      <c r="FPS44" s="55"/>
      <c r="FPT44" s="55"/>
      <c r="FPU44" s="55"/>
      <c r="FPV44" s="55"/>
      <c r="FPW44" s="55"/>
      <c r="FPX44" s="55"/>
      <c r="FPY44" s="55"/>
      <c r="FPZ44" s="55"/>
      <c r="FQA44" s="55"/>
      <c r="FQB44" s="55"/>
      <c r="FQC44" s="55"/>
      <c r="FQD44" s="55"/>
      <c r="FQE44" s="55"/>
      <c r="FQF44" s="55"/>
      <c r="FQG44" s="55"/>
      <c r="FQH44" s="55"/>
      <c r="FQI44" s="55"/>
      <c r="FQJ44" s="55"/>
      <c r="FQK44" s="55"/>
      <c r="FQL44" s="55"/>
      <c r="FQM44" s="55"/>
      <c r="FQN44" s="55"/>
      <c r="FQO44" s="55"/>
      <c r="FQP44" s="55"/>
      <c r="FQQ44" s="55"/>
      <c r="FQR44" s="55"/>
      <c r="FQS44" s="55"/>
      <c r="FQT44" s="55"/>
      <c r="FQU44" s="55"/>
      <c r="FQV44" s="55"/>
      <c r="FQW44" s="55"/>
      <c r="FQX44" s="55"/>
      <c r="FQY44" s="55"/>
      <c r="FQZ44" s="55"/>
      <c r="FRA44" s="55"/>
      <c r="FRB44" s="55"/>
      <c r="FRC44" s="55"/>
      <c r="FRD44" s="55"/>
      <c r="FRE44" s="55"/>
      <c r="FRF44" s="55"/>
      <c r="FRG44" s="55"/>
      <c r="FRH44" s="55"/>
      <c r="FRI44" s="55"/>
      <c r="FRJ44" s="55"/>
      <c r="FRK44" s="55"/>
      <c r="FRL44" s="55"/>
      <c r="FRM44" s="55"/>
      <c r="FRN44" s="55"/>
      <c r="FRO44" s="55"/>
      <c r="FRP44" s="55"/>
      <c r="FRQ44" s="55"/>
      <c r="FRR44" s="55"/>
      <c r="FRS44" s="55"/>
      <c r="FRT44" s="55"/>
      <c r="FRU44" s="55"/>
      <c r="FRV44" s="55"/>
      <c r="FRW44" s="55"/>
      <c r="FRX44" s="55"/>
      <c r="FRY44" s="55"/>
      <c r="FRZ44" s="55"/>
      <c r="FSA44" s="55"/>
      <c r="FSB44" s="55"/>
      <c r="FSC44" s="55"/>
      <c r="FSD44" s="55"/>
      <c r="FSE44" s="55"/>
      <c r="FSF44" s="55"/>
      <c r="FSG44" s="55"/>
      <c r="FSH44" s="55"/>
      <c r="FSI44" s="55"/>
      <c r="FSJ44" s="55"/>
      <c r="FSK44" s="55"/>
      <c r="FSL44" s="55"/>
      <c r="FSM44" s="55"/>
      <c r="FSN44" s="55"/>
      <c r="FSO44" s="55"/>
      <c r="FSP44" s="55"/>
      <c r="FSQ44" s="55"/>
      <c r="FSR44" s="55"/>
      <c r="FSS44" s="55"/>
      <c r="FST44" s="55"/>
      <c r="FSU44" s="55"/>
      <c r="FSV44" s="55"/>
      <c r="FSW44" s="55"/>
      <c r="FSX44" s="55"/>
      <c r="FSY44" s="55"/>
      <c r="FSZ44" s="55"/>
      <c r="FTA44" s="55"/>
      <c r="FTB44" s="55"/>
      <c r="FTC44" s="55"/>
      <c r="FTD44" s="55"/>
      <c r="FTE44" s="55"/>
      <c r="FTF44" s="55"/>
      <c r="FTG44" s="55"/>
      <c r="FTH44" s="55"/>
      <c r="FTI44" s="55"/>
      <c r="FTJ44" s="55"/>
      <c r="FTK44" s="55"/>
      <c r="FTL44" s="55"/>
      <c r="FTM44" s="55"/>
      <c r="FTN44" s="55"/>
      <c r="FTO44" s="55"/>
      <c r="FTP44" s="55"/>
      <c r="FTQ44" s="55"/>
      <c r="FTR44" s="55"/>
      <c r="FTS44" s="55"/>
      <c r="FTT44" s="55"/>
      <c r="FTU44" s="55"/>
      <c r="FTV44" s="55"/>
      <c r="FTW44" s="55"/>
      <c r="FTX44" s="55"/>
      <c r="FTY44" s="55"/>
      <c r="FTZ44" s="55"/>
      <c r="FUA44" s="55"/>
      <c r="FUB44" s="55"/>
      <c r="FUC44" s="55"/>
      <c r="FUD44" s="55"/>
      <c r="FUE44" s="55"/>
      <c r="FUF44" s="55"/>
      <c r="FUG44" s="55"/>
      <c r="FUH44" s="55"/>
      <c r="FUI44" s="55"/>
      <c r="FUJ44" s="55"/>
      <c r="FUK44" s="55"/>
      <c r="FUL44" s="55"/>
      <c r="FUM44" s="55"/>
      <c r="FUN44" s="55"/>
      <c r="FUO44" s="55"/>
      <c r="FUP44" s="55"/>
      <c r="FUQ44" s="55"/>
      <c r="FUR44" s="55"/>
      <c r="FUS44" s="55"/>
      <c r="FUT44" s="55"/>
      <c r="FUU44" s="55"/>
      <c r="FUV44" s="55"/>
      <c r="FUW44" s="55"/>
      <c r="FUX44" s="55"/>
      <c r="FUY44" s="55"/>
      <c r="FUZ44" s="55"/>
      <c r="FVA44" s="55"/>
      <c r="FVB44" s="55"/>
      <c r="FVC44" s="55"/>
      <c r="FVD44" s="55"/>
      <c r="FVE44" s="55"/>
      <c r="FVF44" s="55"/>
      <c r="FVG44" s="55"/>
      <c r="FVH44" s="55"/>
      <c r="FVI44" s="55"/>
      <c r="FVJ44" s="55"/>
      <c r="FVK44" s="55"/>
      <c r="FVL44" s="55"/>
      <c r="FVM44" s="55"/>
      <c r="FVN44" s="55"/>
      <c r="FVO44" s="55"/>
      <c r="FVP44" s="55"/>
      <c r="FVQ44" s="55"/>
      <c r="FVR44" s="55"/>
      <c r="FVS44" s="55"/>
      <c r="FVT44" s="55"/>
      <c r="FVU44" s="55"/>
      <c r="FVV44" s="55"/>
      <c r="FVW44" s="55"/>
      <c r="FVX44" s="55"/>
      <c r="FVY44" s="55"/>
      <c r="FVZ44" s="55"/>
      <c r="FWA44" s="55"/>
      <c r="FWB44" s="55"/>
      <c r="FWC44" s="55"/>
      <c r="FWD44" s="55"/>
      <c r="FWE44" s="55"/>
      <c r="FWF44" s="55"/>
      <c r="FWG44" s="55"/>
      <c r="FWH44" s="55"/>
      <c r="FWI44" s="55"/>
      <c r="FWJ44" s="55"/>
      <c r="FWK44" s="55"/>
      <c r="FWL44" s="55"/>
      <c r="FWM44" s="55"/>
      <c r="FWN44" s="55"/>
      <c r="FWO44" s="55"/>
      <c r="FWP44" s="55"/>
      <c r="FWQ44" s="55"/>
      <c r="FWR44" s="55"/>
      <c r="FWS44" s="55"/>
      <c r="FWT44" s="55"/>
      <c r="FWU44" s="55"/>
      <c r="FWV44" s="55"/>
      <c r="FWW44" s="55"/>
      <c r="FWX44" s="55"/>
      <c r="FWY44" s="55"/>
      <c r="FWZ44" s="55"/>
      <c r="FXA44" s="55"/>
      <c r="FXB44" s="55"/>
      <c r="FXC44" s="55"/>
      <c r="FXD44" s="55"/>
      <c r="FXE44" s="55"/>
      <c r="FXF44" s="55"/>
      <c r="FXG44" s="55"/>
      <c r="FXH44" s="55"/>
      <c r="FXI44" s="55"/>
      <c r="FXJ44" s="55"/>
      <c r="FXK44" s="55"/>
      <c r="FXL44" s="55"/>
      <c r="FXM44" s="55"/>
      <c r="FXN44" s="55"/>
      <c r="FXO44" s="55"/>
      <c r="FXP44" s="55"/>
      <c r="FXQ44" s="55"/>
      <c r="FXR44" s="55"/>
      <c r="FXS44" s="55"/>
      <c r="FXT44" s="55"/>
      <c r="FXU44" s="55"/>
      <c r="FXV44" s="55"/>
      <c r="FXW44" s="55"/>
      <c r="FXX44" s="55"/>
      <c r="FXY44" s="55"/>
      <c r="FXZ44" s="55"/>
      <c r="FYA44" s="55"/>
      <c r="FYB44" s="55"/>
      <c r="FYC44" s="55"/>
      <c r="FYD44" s="55"/>
      <c r="FYE44" s="55"/>
      <c r="FYF44" s="55"/>
      <c r="FYG44" s="55"/>
      <c r="FYH44" s="55"/>
      <c r="FYI44" s="55"/>
      <c r="FYJ44" s="55"/>
      <c r="FYK44" s="55"/>
      <c r="FYL44" s="55"/>
      <c r="FYM44" s="55"/>
      <c r="FYN44" s="55"/>
      <c r="FYO44" s="55"/>
      <c r="FYP44" s="55"/>
      <c r="FYQ44" s="55"/>
      <c r="FYR44" s="55"/>
      <c r="FYS44" s="55"/>
      <c r="FYT44" s="55"/>
      <c r="FYU44" s="55"/>
      <c r="FYV44" s="55"/>
      <c r="FYW44" s="55"/>
      <c r="FYX44" s="55"/>
      <c r="FYY44" s="55"/>
      <c r="FYZ44" s="55"/>
      <c r="FZA44" s="55"/>
      <c r="FZB44" s="55"/>
      <c r="FZC44" s="55"/>
      <c r="FZD44" s="55"/>
      <c r="FZE44" s="55"/>
      <c r="FZF44" s="55"/>
      <c r="FZG44" s="55"/>
      <c r="FZH44" s="55"/>
      <c r="FZI44" s="55"/>
      <c r="FZJ44" s="55"/>
      <c r="FZK44" s="55"/>
      <c r="FZL44" s="55"/>
      <c r="FZM44" s="55"/>
      <c r="FZN44" s="55"/>
      <c r="FZO44" s="55"/>
      <c r="FZP44" s="55"/>
      <c r="FZQ44" s="55"/>
      <c r="FZR44" s="55"/>
      <c r="FZS44" s="55"/>
      <c r="FZT44" s="55"/>
      <c r="FZU44" s="55"/>
      <c r="FZV44" s="55"/>
      <c r="FZW44" s="55"/>
      <c r="FZX44" s="55"/>
      <c r="FZY44" s="55"/>
      <c r="FZZ44" s="55"/>
      <c r="GAA44" s="55"/>
      <c r="GAB44" s="55"/>
      <c r="GAC44" s="55"/>
      <c r="GAD44" s="55"/>
      <c r="GAE44" s="55"/>
      <c r="GAF44" s="55"/>
      <c r="GAG44" s="55"/>
      <c r="GAH44" s="55"/>
      <c r="GAI44" s="55"/>
      <c r="GAJ44" s="55"/>
      <c r="GAK44" s="55"/>
      <c r="GAL44" s="55"/>
      <c r="GAM44" s="55"/>
      <c r="GAN44" s="55"/>
      <c r="GAO44" s="55"/>
      <c r="GAP44" s="55"/>
      <c r="GAQ44" s="55"/>
      <c r="GAR44" s="55"/>
      <c r="GAS44" s="55"/>
      <c r="GAT44" s="55"/>
      <c r="GAU44" s="55"/>
      <c r="GAV44" s="55"/>
      <c r="GAW44" s="55"/>
      <c r="GAX44" s="55"/>
      <c r="GAY44" s="55"/>
      <c r="GAZ44" s="55"/>
      <c r="GBA44" s="55"/>
      <c r="GBB44" s="55"/>
      <c r="GBC44" s="55"/>
      <c r="GBD44" s="55"/>
      <c r="GBE44" s="55"/>
      <c r="GBF44" s="55"/>
      <c r="GBG44" s="55"/>
      <c r="GBH44" s="55"/>
      <c r="GBI44" s="55"/>
      <c r="GBJ44" s="55"/>
      <c r="GBK44" s="55"/>
      <c r="GBL44" s="55"/>
      <c r="GBM44" s="55"/>
      <c r="GBN44" s="55"/>
      <c r="GBO44" s="55"/>
      <c r="GBP44" s="55"/>
      <c r="GBQ44" s="55"/>
      <c r="GBR44" s="55"/>
      <c r="GBS44" s="55"/>
      <c r="GBT44" s="55"/>
      <c r="GBU44" s="55"/>
      <c r="GBV44" s="55"/>
      <c r="GBW44" s="55"/>
      <c r="GBX44" s="55"/>
      <c r="GBY44" s="55"/>
      <c r="GBZ44" s="55"/>
      <c r="GCA44" s="55"/>
      <c r="GCB44" s="55"/>
      <c r="GCC44" s="55"/>
      <c r="GCD44" s="55"/>
      <c r="GCE44" s="55"/>
      <c r="GCF44" s="55"/>
      <c r="GCG44" s="55"/>
      <c r="GCH44" s="55"/>
      <c r="GCI44" s="55"/>
      <c r="GCJ44" s="55"/>
      <c r="GCK44" s="55"/>
      <c r="GCL44" s="55"/>
      <c r="GCM44" s="55"/>
      <c r="GCN44" s="55"/>
      <c r="GCO44" s="55"/>
      <c r="GCP44" s="55"/>
      <c r="GCQ44" s="55"/>
      <c r="GCR44" s="55"/>
      <c r="GCS44" s="55"/>
      <c r="GCT44" s="55"/>
      <c r="GCU44" s="55"/>
      <c r="GCV44" s="55"/>
      <c r="GCW44" s="55"/>
      <c r="GCX44" s="55"/>
      <c r="GCY44" s="55"/>
      <c r="GCZ44" s="55"/>
      <c r="GDA44" s="55"/>
      <c r="GDB44" s="55"/>
      <c r="GDC44" s="55"/>
      <c r="GDD44" s="55"/>
      <c r="GDE44" s="55"/>
      <c r="GDF44" s="55"/>
      <c r="GDG44" s="55"/>
      <c r="GDH44" s="55"/>
      <c r="GDI44" s="55"/>
      <c r="GDJ44" s="55"/>
      <c r="GDK44" s="55"/>
      <c r="GDL44" s="55"/>
      <c r="GDM44" s="55"/>
      <c r="GDN44" s="55"/>
      <c r="GDO44" s="55"/>
      <c r="GDP44" s="55"/>
      <c r="GDQ44" s="55"/>
      <c r="GDR44" s="55"/>
      <c r="GDS44" s="55"/>
      <c r="GDT44" s="55"/>
      <c r="GDU44" s="55"/>
      <c r="GDV44" s="55"/>
      <c r="GDW44" s="55"/>
      <c r="GDX44" s="55"/>
      <c r="GDY44" s="55"/>
      <c r="GDZ44" s="55"/>
      <c r="GEA44" s="55"/>
      <c r="GEB44" s="55"/>
      <c r="GEC44" s="55"/>
      <c r="GED44" s="55"/>
      <c r="GEE44" s="55"/>
      <c r="GEF44" s="55"/>
      <c r="GEG44" s="55"/>
      <c r="GEH44" s="55"/>
      <c r="GEI44" s="55"/>
      <c r="GEJ44" s="55"/>
      <c r="GEK44" s="55"/>
      <c r="GEL44" s="55"/>
      <c r="GEM44" s="55"/>
      <c r="GEN44" s="55"/>
      <c r="GEO44" s="55"/>
      <c r="GEP44" s="55"/>
      <c r="GEQ44" s="55"/>
      <c r="GER44" s="55"/>
      <c r="GES44" s="55"/>
      <c r="GET44" s="55"/>
      <c r="GEU44" s="55"/>
      <c r="GEV44" s="55"/>
      <c r="GEW44" s="55"/>
      <c r="GEX44" s="55"/>
      <c r="GEY44" s="55"/>
      <c r="GEZ44" s="55"/>
      <c r="GFA44" s="55"/>
      <c r="GFB44" s="55"/>
      <c r="GFC44" s="55"/>
      <c r="GFD44" s="55"/>
      <c r="GFE44" s="55"/>
      <c r="GFF44" s="55"/>
      <c r="GFG44" s="55"/>
      <c r="GFH44" s="55"/>
      <c r="GFI44" s="55"/>
      <c r="GFJ44" s="55"/>
      <c r="GFK44" s="55"/>
      <c r="GFL44" s="55"/>
      <c r="GFM44" s="55"/>
      <c r="GFN44" s="55"/>
      <c r="GFO44" s="55"/>
      <c r="GFP44" s="55"/>
      <c r="GFQ44" s="55"/>
      <c r="GFR44" s="55"/>
      <c r="GFS44" s="55"/>
      <c r="GFT44" s="55"/>
      <c r="GFU44" s="55"/>
      <c r="GFV44" s="55"/>
      <c r="GFW44" s="55"/>
      <c r="GFX44" s="55"/>
      <c r="GFY44" s="55"/>
      <c r="GFZ44" s="55"/>
      <c r="GGA44" s="55"/>
      <c r="GGB44" s="55"/>
      <c r="GGC44" s="55"/>
      <c r="GGD44" s="55"/>
      <c r="GGE44" s="55"/>
      <c r="GGF44" s="55"/>
      <c r="GGG44" s="55"/>
      <c r="GGH44" s="55"/>
      <c r="GGI44" s="55"/>
      <c r="GGJ44" s="55"/>
      <c r="GGK44" s="55"/>
      <c r="GGL44" s="55"/>
      <c r="GGM44" s="55"/>
      <c r="GGN44" s="55"/>
      <c r="GGO44" s="55"/>
      <c r="GGP44" s="55"/>
      <c r="GGQ44" s="55"/>
      <c r="GGR44" s="55"/>
      <c r="GGS44" s="55"/>
      <c r="GGT44" s="55"/>
      <c r="GGU44" s="55"/>
      <c r="GGV44" s="55"/>
      <c r="GGW44" s="55"/>
      <c r="GGX44" s="55"/>
      <c r="GGY44" s="55"/>
      <c r="GGZ44" s="55"/>
      <c r="GHA44" s="55"/>
      <c r="GHB44" s="55"/>
      <c r="GHC44" s="55"/>
      <c r="GHD44" s="55"/>
      <c r="GHE44" s="55"/>
      <c r="GHF44" s="55"/>
      <c r="GHG44" s="55"/>
      <c r="GHH44" s="55"/>
      <c r="GHI44" s="55"/>
      <c r="GHJ44" s="55"/>
      <c r="GHK44" s="55"/>
      <c r="GHL44" s="55"/>
      <c r="GHM44" s="55"/>
      <c r="GHN44" s="55"/>
      <c r="GHO44" s="55"/>
      <c r="GHP44" s="55"/>
      <c r="GHQ44" s="55"/>
      <c r="GHR44" s="55"/>
      <c r="GHS44" s="55"/>
      <c r="GHT44" s="55"/>
      <c r="GHU44" s="55"/>
      <c r="GHV44" s="55"/>
      <c r="GHW44" s="55"/>
      <c r="GHX44" s="55"/>
      <c r="GHY44" s="55"/>
      <c r="GHZ44" s="55"/>
      <c r="GIA44" s="55"/>
      <c r="GIB44" s="55"/>
      <c r="GIC44" s="55"/>
      <c r="GID44" s="55"/>
      <c r="GIE44" s="55"/>
      <c r="GIF44" s="55"/>
      <c r="GIG44" s="55"/>
      <c r="GIH44" s="55"/>
      <c r="GII44" s="55"/>
      <c r="GIJ44" s="55"/>
      <c r="GIK44" s="55"/>
      <c r="GIL44" s="55"/>
      <c r="GIM44" s="55"/>
      <c r="GIN44" s="55"/>
      <c r="GIO44" s="55"/>
      <c r="GIP44" s="55"/>
      <c r="GIQ44" s="55"/>
      <c r="GIR44" s="55"/>
      <c r="GIS44" s="55"/>
      <c r="GIT44" s="55"/>
      <c r="GIU44" s="55"/>
      <c r="GIV44" s="55"/>
      <c r="GIW44" s="55"/>
      <c r="GIX44" s="55"/>
      <c r="GIY44" s="55"/>
      <c r="GIZ44" s="55"/>
      <c r="GJA44" s="55"/>
      <c r="GJB44" s="55"/>
      <c r="GJC44" s="55"/>
      <c r="GJD44" s="55"/>
      <c r="GJE44" s="55"/>
      <c r="GJF44" s="55"/>
      <c r="GJG44" s="55"/>
      <c r="GJH44" s="55"/>
      <c r="GJI44" s="55"/>
      <c r="GJJ44" s="55"/>
      <c r="GJK44" s="55"/>
      <c r="GJL44" s="55"/>
      <c r="GJM44" s="55"/>
      <c r="GJN44" s="55"/>
      <c r="GJO44" s="55"/>
      <c r="GJP44" s="55"/>
      <c r="GJQ44" s="55"/>
      <c r="GJR44" s="55"/>
      <c r="GJS44" s="55"/>
      <c r="GJT44" s="55"/>
      <c r="GJU44" s="55"/>
      <c r="GJV44" s="55"/>
      <c r="GJW44" s="55"/>
      <c r="GJX44" s="55"/>
      <c r="GJY44" s="55"/>
      <c r="GJZ44" s="55"/>
      <c r="GKA44" s="55"/>
      <c r="GKB44" s="55"/>
      <c r="GKC44" s="55"/>
      <c r="GKD44" s="55"/>
      <c r="GKE44" s="55"/>
      <c r="GKF44" s="55"/>
      <c r="GKG44" s="55"/>
      <c r="GKH44" s="55"/>
      <c r="GKI44" s="55"/>
      <c r="GKJ44" s="55"/>
      <c r="GKK44" s="55"/>
      <c r="GKL44" s="55"/>
      <c r="GKM44" s="55"/>
      <c r="GKN44" s="55"/>
      <c r="GKO44" s="55"/>
      <c r="GKP44" s="55"/>
      <c r="GKQ44" s="55"/>
      <c r="GKR44" s="55"/>
      <c r="GKS44" s="55"/>
      <c r="GKT44" s="55"/>
      <c r="GKU44" s="55"/>
      <c r="GKV44" s="55"/>
      <c r="GKW44" s="55"/>
      <c r="GKX44" s="55"/>
      <c r="GKY44" s="55"/>
      <c r="GKZ44" s="55"/>
      <c r="GLA44" s="55"/>
      <c r="GLB44" s="55"/>
      <c r="GLC44" s="55"/>
      <c r="GLD44" s="55"/>
      <c r="GLE44" s="55"/>
      <c r="GLF44" s="55"/>
      <c r="GLG44" s="55"/>
      <c r="GLH44" s="55"/>
      <c r="GLI44" s="55"/>
      <c r="GLJ44" s="55"/>
      <c r="GLK44" s="55"/>
      <c r="GLL44" s="55"/>
      <c r="GLM44" s="55"/>
      <c r="GLN44" s="55"/>
      <c r="GLO44" s="55"/>
      <c r="GLP44" s="55"/>
      <c r="GLQ44" s="55"/>
      <c r="GLR44" s="55"/>
      <c r="GLS44" s="55"/>
      <c r="GLT44" s="55"/>
      <c r="GLU44" s="55"/>
      <c r="GLV44" s="55"/>
      <c r="GLW44" s="55"/>
      <c r="GLX44" s="55"/>
      <c r="GLY44" s="55"/>
      <c r="GLZ44" s="55"/>
      <c r="GMA44" s="55"/>
      <c r="GMB44" s="55"/>
      <c r="GMC44" s="55"/>
      <c r="GMD44" s="55"/>
      <c r="GME44" s="55"/>
      <c r="GMF44" s="55"/>
      <c r="GMG44" s="55"/>
      <c r="GMH44" s="55"/>
      <c r="GMI44" s="55"/>
      <c r="GMJ44" s="55"/>
      <c r="GMK44" s="55"/>
      <c r="GML44" s="55"/>
      <c r="GMM44" s="55"/>
      <c r="GMN44" s="55"/>
      <c r="GMO44" s="55"/>
      <c r="GMP44" s="55"/>
      <c r="GMQ44" s="55"/>
      <c r="GMR44" s="55"/>
      <c r="GMS44" s="55"/>
      <c r="GMT44" s="55"/>
      <c r="GMU44" s="55"/>
      <c r="GMV44" s="55"/>
      <c r="GMW44" s="55"/>
      <c r="GMX44" s="55"/>
      <c r="GMY44" s="55"/>
      <c r="GMZ44" s="55"/>
      <c r="GNA44" s="55"/>
      <c r="GNB44" s="55"/>
      <c r="GNC44" s="55"/>
      <c r="GND44" s="55"/>
      <c r="GNE44" s="55"/>
      <c r="GNF44" s="55"/>
      <c r="GNG44" s="55"/>
      <c r="GNH44" s="55"/>
      <c r="GNI44" s="55"/>
      <c r="GNJ44" s="55"/>
      <c r="GNK44" s="55"/>
      <c r="GNL44" s="55"/>
      <c r="GNM44" s="55"/>
      <c r="GNN44" s="55"/>
      <c r="GNO44" s="55"/>
      <c r="GNP44" s="55"/>
      <c r="GNQ44" s="55"/>
      <c r="GNR44" s="55"/>
      <c r="GNS44" s="55"/>
      <c r="GNT44" s="55"/>
      <c r="GNU44" s="55"/>
      <c r="GNV44" s="55"/>
      <c r="GNW44" s="55"/>
      <c r="GNX44" s="55"/>
      <c r="GNY44" s="55"/>
      <c r="GNZ44" s="55"/>
      <c r="GOA44" s="55"/>
      <c r="GOB44" s="55"/>
      <c r="GOC44" s="55"/>
      <c r="GOD44" s="55"/>
      <c r="GOE44" s="55"/>
      <c r="GOF44" s="55"/>
      <c r="GOG44" s="55"/>
      <c r="GOH44" s="55"/>
      <c r="GOI44" s="55"/>
      <c r="GOJ44" s="55"/>
      <c r="GOK44" s="55"/>
      <c r="GOL44" s="55"/>
      <c r="GOM44" s="55"/>
      <c r="GON44" s="55"/>
      <c r="GOO44" s="55"/>
      <c r="GOP44" s="55"/>
      <c r="GOQ44" s="55"/>
      <c r="GOR44" s="55"/>
      <c r="GOS44" s="55"/>
      <c r="GOT44" s="55"/>
      <c r="GOU44" s="55"/>
      <c r="GOV44" s="55"/>
      <c r="GOW44" s="55"/>
      <c r="GOX44" s="55"/>
      <c r="GOY44" s="55"/>
      <c r="GOZ44" s="55"/>
      <c r="GPA44" s="55"/>
      <c r="GPB44" s="55"/>
      <c r="GPC44" s="55"/>
      <c r="GPD44" s="55"/>
      <c r="GPE44" s="55"/>
      <c r="GPF44" s="55"/>
      <c r="GPG44" s="55"/>
      <c r="GPH44" s="55"/>
      <c r="GPI44" s="55"/>
      <c r="GPJ44" s="55"/>
      <c r="GPK44" s="55"/>
      <c r="GPL44" s="55"/>
      <c r="GPM44" s="55"/>
      <c r="GPN44" s="55"/>
      <c r="GPO44" s="55"/>
      <c r="GPP44" s="55"/>
      <c r="GPQ44" s="55"/>
      <c r="GPR44" s="55"/>
      <c r="GPS44" s="55"/>
      <c r="GPT44" s="55"/>
      <c r="GPU44" s="55"/>
      <c r="GPV44" s="55"/>
      <c r="GPW44" s="55"/>
      <c r="GPX44" s="55"/>
      <c r="GPY44" s="55"/>
      <c r="GPZ44" s="55"/>
      <c r="GQA44" s="55"/>
      <c r="GQB44" s="55"/>
      <c r="GQC44" s="55"/>
      <c r="GQD44" s="55"/>
      <c r="GQE44" s="55"/>
      <c r="GQF44" s="55"/>
      <c r="GQG44" s="55"/>
      <c r="GQH44" s="55"/>
      <c r="GQI44" s="55"/>
      <c r="GQJ44" s="55"/>
      <c r="GQK44" s="55"/>
      <c r="GQL44" s="55"/>
      <c r="GQM44" s="55"/>
      <c r="GQN44" s="55"/>
      <c r="GQO44" s="55"/>
      <c r="GQP44" s="55"/>
      <c r="GQQ44" s="55"/>
      <c r="GQR44" s="55"/>
      <c r="GQS44" s="55"/>
      <c r="GQT44" s="55"/>
      <c r="GQU44" s="55"/>
      <c r="GQV44" s="55"/>
      <c r="GQW44" s="55"/>
      <c r="GQX44" s="55"/>
      <c r="GQY44" s="55"/>
      <c r="GQZ44" s="55"/>
      <c r="GRA44" s="55"/>
      <c r="GRB44" s="55"/>
      <c r="GRC44" s="55"/>
      <c r="GRD44" s="55"/>
      <c r="GRE44" s="55"/>
      <c r="GRF44" s="55"/>
      <c r="GRG44" s="55"/>
      <c r="GRH44" s="55"/>
      <c r="GRI44" s="55"/>
      <c r="GRJ44" s="55"/>
      <c r="GRK44" s="55"/>
      <c r="GRL44" s="55"/>
      <c r="GRM44" s="55"/>
      <c r="GRN44" s="55"/>
      <c r="GRO44" s="55"/>
      <c r="GRP44" s="55"/>
      <c r="GRQ44" s="55"/>
      <c r="GRR44" s="55"/>
      <c r="GRS44" s="55"/>
      <c r="GRT44" s="55"/>
      <c r="GRU44" s="55"/>
      <c r="GRV44" s="55"/>
      <c r="GRW44" s="55"/>
      <c r="GRX44" s="55"/>
      <c r="GRY44" s="55"/>
      <c r="GRZ44" s="55"/>
      <c r="GSA44" s="55"/>
      <c r="GSB44" s="55"/>
      <c r="GSC44" s="55"/>
      <c r="GSD44" s="55"/>
      <c r="GSE44" s="55"/>
      <c r="GSF44" s="55"/>
      <c r="GSG44" s="55"/>
      <c r="GSH44" s="55"/>
      <c r="GSI44" s="55"/>
      <c r="GSJ44" s="55"/>
      <c r="GSK44" s="55"/>
      <c r="GSL44" s="55"/>
      <c r="GSM44" s="55"/>
      <c r="GSN44" s="55"/>
      <c r="GSO44" s="55"/>
      <c r="GSP44" s="55"/>
      <c r="GSQ44" s="55"/>
      <c r="GSR44" s="55"/>
      <c r="GSS44" s="55"/>
      <c r="GST44" s="55"/>
      <c r="GSU44" s="55"/>
      <c r="GSV44" s="55"/>
      <c r="GSW44" s="55"/>
      <c r="GSX44" s="55"/>
      <c r="GSY44" s="55"/>
      <c r="GSZ44" s="55"/>
      <c r="GTA44" s="55"/>
      <c r="GTB44" s="55"/>
      <c r="GTC44" s="55"/>
      <c r="GTD44" s="55"/>
      <c r="GTE44" s="55"/>
      <c r="GTF44" s="55"/>
      <c r="GTG44" s="55"/>
      <c r="GTH44" s="55"/>
      <c r="GTI44" s="55"/>
      <c r="GTJ44" s="55"/>
      <c r="GTK44" s="55"/>
      <c r="GTL44" s="55"/>
      <c r="GTM44" s="55"/>
      <c r="GTN44" s="55"/>
      <c r="GTO44" s="55"/>
      <c r="GTP44" s="55"/>
      <c r="GTQ44" s="55"/>
      <c r="GTR44" s="55"/>
      <c r="GTS44" s="55"/>
      <c r="GTT44" s="55"/>
      <c r="GTU44" s="55"/>
      <c r="GTV44" s="55"/>
      <c r="GTW44" s="55"/>
      <c r="GTX44" s="55"/>
      <c r="GTY44" s="55"/>
      <c r="GTZ44" s="55"/>
      <c r="GUA44" s="55"/>
      <c r="GUB44" s="55"/>
      <c r="GUC44" s="55"/>
      <c r="GUD44" s="55"/>
      <c r="GUE44" s="55"/>
      <c r="GUF44" s="55"/>
      <c r="GUG44" s="55"/>
      <c r="GUH44" s="55"/>
      <c r="GUI44" s="55"/>
      <c r="GUJ44" s="55"/>
      <c r="GUK44" s="55"/>
      <c r="GUL44" s="55"/>
      <c r="GUM44" s="55"/>
      <c r="GUN44" s="55"/>
      <c r="GUO44" s="55"/>
      <c r="GUP44" s="55"/>
      <c r="GUQ44" s="55"/>
      <c r="GUR44" s="55"/>
      <c r="GUS44" s="55"/>
      <c r="GUT44" s="55"/>
      <c r="GUU44" s="55"/>
      <c r="GUV44" s="55"/>
      <c r="GUW44" s="55"/>
      <c r="GUX44" s="55"/>
      <c r="GUY44" s="55"/>
      <c r="GUZ44" s="55"/>
      <c r="GVA44" s="55"/>
      <c r="GVB44" s="55"/>
      <c r="GVC44" s="55"/>
      <c r="GVD44" s="55"/>
      <c r="GVE44" s="55"/>
      <c r="GVF44" s="55"/>
      <c r="GVG44" s="55"/>
      <c r="GVH44" s="55"/>
      <c r="GVI44" s="55"/>
      <c r="GVJ44" s="55"/>
      <c r="GVK44" s="55"/>
      <c r="GVL44" s="55"/>
      <c r="GVM44" s="55"/>
      <c r="GVN44" s="55"/>
      <c r="GVO44" s="55"/>
      <c r="GVP44" s="55"/>
      <c r="GVQ44" s="55"/>
      <c r="GVR44" s="55"/>
      <c r="GVS44" s="55"/>
      <c r="GVT44" s="55"/>
      <c r="GVU44" s="55"/>
      <c r="GVV44" s="55"/>
      <c r="GVW44" s="55"/>
      <c r="GVX44" s="55"/>
      <c r="GVY44" s="55"/>
      <c r="GVZ44" s="55"/>
      <c r="GWA44" s="55"/>
      <c r="GWB44" s="55"/>
      <c r="GWC44" s="55"/>
      <c r="GWD44" s="55"/>
      <c r="GWE44" s="55"/>
      <c r="GWF44" s="55"/>
      <c r="GWG44" s="55"/>
      <c r="GWH44" s="55"/>
      <c r="GWI44" s="55"/>
      <c r="GWJ44" s="55"/>
      <c r="GWK44" s="55"/>
      <c r="GWL44" s="55"/>
      <c r="GWM44" s="55"/>
      <c r="GWN44" s="55"/>
      <c r="GWO44" s="55"/>
      <c r="GWP44" s="55"/>
      <c r="GWQ44" s="55"/>
      <c r="GWR44" s="55"/>
      <c r="GWS44" s="55"/>
      <c r="GWT44" s="55"/>
      <c r="GWU44" s="55"/>
      <c r="GWV44" s="55"/>
      <c r="GWW44" s="55"/>
      <c r="GWX44" s="55"/>
      <c r="GWY44" s="55"/>
      <c r="GWZ44" s="55"/>
      <c r="GXA44" s="55"/>
      <c r="GXB44" s="55"/>
      <c r="GXC44" s="55"/>
      <c r="GXD44" s="55"/>
      <c r="GXE44" s="55"/>
      <c r="GXF44" s="55"/>
      <c r="GXG44" s="55"/>
      <c r="GXH44" s="55"/>
      <c r="GXI44" s="55"/>
      <c r="GXJ44" s="55"/>
      <c r="GXK44" s="55"/>
      <c r="GXL44" s="55"/>
      <c r="GXM44" s="55"/>
      <c r="GXN44" s="55"/>
      <c r="GXO44" s="55"/>
      <c r="GXP44" s="55"/>
      <c r="GXQ44" s="55"/>
      <c r="GXR44" s="55"/>
      <c r="GXS44" s="55"/>
      <c r="GXT44" s="55"/>
      <c r="GXU44" s="55"/>
      <c r="GXV44" s="55"/>
      <c r="GXW44" s="55"/>
      <c r="GXX44" s="55"/>
      <c r="GXY44" s="55"/>
      <c r="GXZ44" s="55"/>
      <c r="GYA44" s="55"/>
      <c r="GYB44" s="55"/>
      <c r="GYC44" s="55"/>
      <c r="GYD44" s="55"/>
      <c r="GYE44" s="55"/>
      <c r="GYF44" s="55"/>
      <c r="GYG44" s="55"/>
      <c r="GYH44" s="55"/>
      <c r="GYI44" s="55"/>
      <c r="GYJ44" s="55"/>
      <c r="GYK44" s="55"/>
      <c r="GYL44" s="55"/>
      <c r="GYM44" s="55"/>
      <c r="GYN44" s="55"/>
      <c r="GYO44" s="55"/>
      <c r="GYP44" s="55"/>
      <c r="GYQ44" s="55"/>
      <c r="GYR44" s="55"/>
      <c r="GYS44" s="55"/>
      <c r="GYT44" s="55"/>
      <c r="GYU44" s="55"/>
      <c r="GYV44" s="55"/>
      <c r="GYW44" s="55"/>
      <c r="GYX44" s="55"/>
      <c r="GYY44" s="55"/>
      <c r="GYZ44" s="55"/>
      <c r="GZA44" s="55"/>
      <c r="GZB44" s="55"/>
      <c r="GZC44" s="55"/>
      <c r="GZD44" s="55"/>
      <c r="GZE44" s="55"/>
      <c r="GZF44" s="55"/>
      <c r="GZG44" s="55"/>
      <c r="GZH44" s="55"/>
      <c r="GZI44" s="55"/>
      <c r="GZJ44" s="55"/>
      <c r="GZK44" s="55"/>
      <c r="GZL44" s="55"/>
      <c r="GZM44" s="55"/>
      <c r="GZN44" s="55"/>
      <c r="GZO44" s="55"/>
      <c r="GZP44" s="55"/>
      <c r="GZQ44" s="55"/>
      <c r="GZR44" s="55"/>
      <c r="GZS44" s="55"/>
      <c r="GZT44" s="55"/>
      <c r="GZU44" s="55"/>
      <c r="GZV44" s="55"/>
      <c r="GZW44" s="55"/>
      <c r="GZX44" s="55"/>
      <c r="GZY44" s="55"/>
      <c r="GZZ44" s="55"/>
      <c r="HAA44" s="55"/>
      <c r="HAB44" s="55"/>
      <c r="HAC44" s="55"/>
      <c r="HAD44" s="55"/>
      <c r="HAE44" s="55"/>
      <c r="HAF44" s="55"/>
      <c r="HAG44" s="55"/>
      <c r="HAH44" s="55"/>
      <c r="HAI44" s="55"/>
      <c r="HAJ44" s="55"/>
      <c r="HAK44" s="55"/>
      <c r="HAL44" s="55"/>
      <c r="HAM44" s="55"/>
      <c r="HAN44" s="55"/>
      <c r="HAO44" s="55"/>
      <c r="HAP44" s="55"/>
      <c r="HAQ44" s="55"/>
      <c r="HAR44" s="55"/>
      <c r="HAS44" s="55"/>
      <c r="HAT44" s="55"/>
      <c r="HAU44" s="55"/>
      <c r="HAV44" s="55"/>
      <c r="HAW44" s="55"/>
      <c r="HAX44" s="55"/>
      <c r="HAY44" s="55"/>
      <c r="HAZ44" s="55"/>
      <c r="HBA44" s="55"/>
      <c r="HBB44" s="55"/>
      <c r="HBC44" s="55"/>
      <c r="HBD44" s="55"/>
      <c r="HBE44" s="55"/>
      <c r="HBF44" s="55"/>
      <c r="HBG44" s="55"/>
      <c r="HBH44" s="55"/>
      <c r="HBI44" s="55"/>
      <c r="HBJ44" s="55"/>
      <c r="HBK44" s="55"/>
      <c r="HBL44" s="55"/>
      <c r="HBM44" s="55"/>
      <c r="HBN44" s="55"/>
      <c r="HBO44" s="55"/>
      <c r="HBP44" s="55"/>
      <c r="HBQ44" s="55"/>
      <c r="HBR44" s="55"/>
      <c r="HBS44" s="55"/>
      <c r="HBT44" s="55"/>
      <c r="HBU44" s="55"/>
      <c r="HBV44" s="55"/>
      <c r="HBW44" s="55"/>
      <c r="HBX44" s="55"/>
      <c r="HBY44" s="55"/>
      <c r="HBZ44" s="55"/>
      <c r="HCA44" s="55"/>
      <c r="HCB44" s="55"/>
      <c r="HCC44" s="55"/>
      <c r="HCD44" s="55"/>
      <c r="HCE44" s="55"/>
      <c r="HCF44" s="55"/>
      <c r="HCG44" s="55"/>
      <c r="HCH44" s="55"/>
      <c r="HCI44" s="55"/>
      <c r="HCJ44" s="55"/>
      <c r="HCK44" s="55"/>
      <c r="HCL44" s="55"/>
      <c r="HCM44" s="55"/>
      <c r="HCN44" s="55"/>
      <c r="HCO44" s="55"/>
      <c r="HCP44" s="55"/>
      <c r="HCQ44" s="55"/>
      <c r="HCR44" s="55"/>
      <c r="HCS44" s="55"/>
      <c r="HCT44" s="55"/>
      <c r="HCU44" s="55"/>
      <c r="HCV44" s="55"/>
      <c r="HCW44" s="55"/>
      <c r="HCX44" s="55"/>
      <c r="HCY44" s="55"/>
      <c r="HCZ44" s="55"/>
      <c r="HDA44" s="55"/>
      <c r="HDB44" s="55"/>
      <c r="HDC44" s="55"/>
      <c r="HDD44" s="55"/>
      <c r="HDE44" s="55"/>
      <c r="HDF44" s="55"/>
      <c r="HDG44" s="55"/>
      <c r="HDH44" s="55"/>
      <c r="HDI44" s="55"/>
      <c r="HDJ44" s="55"/>
      <c r="HDK44" s="55"/>
      <c r="HDL44" s="55"/>
      <c r="HDM44" s="55"/>
      <c r="HDN44" s="55"/>
      <c r="HDO44" s="55"/>
      <c r="HDP44" s="55"/>
      <c r="HDQ44" s="55"/>
      <c r="HDR44" s="55"/>
      <c r="HDS44" s="55"/>
      <c r="HDT44" s="55"/>
      <c r="HDU44" s="55"/>
      <c r="HDV44" s="55"/>
      <c r="HDW44" s="55"/>
      <c r="HDX44" s="55"/>
      <c r="HDY44" s="55"/>
      <c r="HDZ44" s="55"/>
      <c r="HEA44" s="55"/>
      <c r="HEB44" s="55"/>
      <c r="HEC44" s="55"/>
      <c r="HED44" s="55"/>
      <c r="HEE44" s="55"/>
      <c r="HEF44" s="55"/>
      <c r="HEG44" s="55"/>
      <c r="HEH44" s="55"/>
      <c r="HEI44" s="55"/>
      <c r="HEJ44" s="55"/>
      <c r="HEK44" s="55"/>
      <c r="HEL44" s="55"/>
      <c r="HEM44" s="55"/>
      <c r="HEN44" s="55"/>
      <c r="HEO44" s="55"/>
      <c r="HEP44" s="55"/>
      <c r="HEQ44" s="55"/>
      <c r="HER44" s="55"/>
      <c r="HES44" s="55"/>
      <c r="HET44" s="55"/>
      <c r="HEU44" s="55"/>
      <c r="HEV44" s="55"/>
      <c r="HEW44" s="55"/>
      <c r="HEX44" s="55"/>
      <c r="HEY44" s="55"/>
      <c r="HEZ44" s="55"/>
      <c r="HFA44" s="55"/>
      <c r="HFB44" s="55"/>
      <c r="HFC44" s="55"/>
      <c r="HFD44" s="55"/>
      <c r="HFE44" s="55"/>
      <c r="HFF44" s="55"/>
      <c r="HFG44" s="55"/>
      <c r="HFH44" s="55"/>
      <c r="HFI44" s="55"/>
      <c r="HFJ44" s="55"/>
      <c r="HFK44" s="55"/>
      <c r="HFL44" s="55"/>
      <c r="HFM44" s="55"/>
      <c r="HFN44" s="55"/>
      <c r="HFO44" s="55"/>
      <c r="HFP44" s="55"/>
      <c r="HFQ44" s="55"/>
      <c r="HFR44" s="55"/>
      <c r="HFS44" s="55"/>
      <c r="HFT44" s="55"/>
      <c r="HFU44" s="55"/>
      <c r="HFV44" s="55"/>
      <c r="HFW44" s="55"/>
      <c r="HFX44" s="55"/>
      <c r="HFY44" s="55"/>
      <c r="HFZ44" s="55"/>
      <c r="HGA44" s="55"/>
      <c r="HGB44" s="55"/>
      <c r="HGC44" s="55"/>
      <c r="HGD44" s="55"/>
      <c r="HGE44" s="55"/>
      <c r="HGF44" s="55"/>
      <c r="HGG44" s="55"/>
      <c r="HGH44" s="55"/>
      <c r="HGI44" s="55"/>
      <c r="HGJ44" s="55"/>
      <c r="HGK44" s="55"/>
      <c r="HGL44" s="55"/>
      <c r="HGM44" s="55"/>
      <c r="HGN44" s="55"/>
      <c r="HGO44" s="55"/>
      <c r="HGP44" s="55"/>
      <c r="HGQ44" s="55"/>
      <c r="HGR44" s="55"/>
      <c r="HGS44" s="55"/>
      <c r="HGT44" s="55"/>
      <c r="HGU44" s="55"/>
      <c r="HGV44" s="55"/>
      <c r="HGW44" s="55"/>
      <c r="HGX44" s="55"/>
      <c r="HGY44" s="55"/>
      <c r="HGZ44" s="55"/>
      <c r="HHA44" s="55"/>
      <c r="HHB44" s="55"/>
      <c r="HHC44" s="55"/>
      <c r="HHD44" s="55"/>
      <c r="HHE44" s="55"/>
      <c r="HHF44" s="55"/>
      <c r="HHG44" s="55"/>
      <c r="HHH44" s="55"/>
      <c r="HHI44" s="55"/>
      <c r="HHJ44" s="55"/>
      <c r="HHK44" s="55"/>
      <c r="HHL44" s="55"/>
      <c r="HHM44" s="55"/>
      <c r="HHN44" s="55"/>
      <c r="HHO44" s="55"/>
      <c r="HHP44" s="55"/>
      <c r="HHQ44" s="55"/>
      <c r="HHR44" s="55"/>
      <c r="HHS44" s="55"/>
      <c r="HHT44" s="55"/>
      <c r="HHU44" s="55"/>
      <c r="HHV44" s="55"/>
      <c r="HHW44" s="55"/>
      <c r="HHX44" s="55"/>
      <c r="HHY44" s="55"/>
      <c r="HHZ44" s="55"/>
      <c r="HIA44" s="55"/>
      <c r="HIB44" s="55"/>
      <c r="HIC44" s="55"/>
      <c r="HID44" s="55"/>
      <c r="HIE44" s="55"/>
      <c r="HIF44" s="55"/>
      <c r="HIG44" s="55"/>
      <c r="HIH44" s="55"/>
      <c r="HII44" s="55"/>
      <c r="HIJ44" s="55"/>
      <c r="HIK44" s="55"/>
      <c r="HIL44" s="55"/>
      <c r="HIM44" s="55"/>
      <c r="HIN44" s="55"/>
      <c r="HIO44" s="55"/>
      <c r="HIP44" s="55"/>
      <c r="HIQ44" s="55"/>
      <c r="HIR44" s="55"/>
      <c r="HIS44" s="55"/>
      <c r="HIT44" s="55"/>
      <c r="HIU44" s="55"/>
      <c r="HIV44" s="55"/>
      <c r="HIW44" s="55"/>
      <c r="HIX44" s="55"/>
      <c r="HIY44" s="55"/>
      <c r="HIZ44" s="55"/>
      <c r="HJA44" s="55"/>
      <c r="HJB44" s="55"/>
      <c r="HJC44" s="55"/>
      <c r="HJD44" s="55"/>
      <c r="HJE44" s="55"/>
      <c r="HJF44" s="55"/>
      <c r="HJG44" s="55"/>
      <c r="HJH44" s="55"/>
      <c r="HJI44" s="55"/>
      <c r="HJJ44" s="55"/>
      <c r="HJK44" s="55"/>
      <c r="HJL44" s="55"/>
      <c r="HJM44" s="55"/>
      <c r="HJN44" s="55"/>
      <c r="HJO44" s="55"/>
      <c r="HJP44" s="55"/>
      <c r="HJQ44" s="55"/>
      <c r="HJR44" s="55"/>
      <c r="HJS44" s="55"/>
      <c r="HJT44" s="55"/>
      <c r="HJU44" s="55"/>
      <c r="HJV44" s="55"/>
      <c r="HJW44" s="55"/>
      <c r="HJX44" s="55"/>
      <c r="HJY44" s="55"/>
      <c r="HJZ44" s="55"/>
      <c r="HKA44" s="55"/>
      <c r="HKB44" s="55"/>
      <c r="HKC44" s="55"/>
      <c r="HKD44" s="55"/>
      <c r="HKE44" s="55"/>
      <c r="HKF44" s="55"/>
      <c r="HKG44" s="55"/>
      <c r="HKH44" s="55"/>
      <c r="HKI44" s="55"/>
      <c r="HKJ44" s="55"/>
      <c r="HKK44" s="55"/>
      <c r="HKL44" s="55"/>
      <c r="HKM44" s="55"/>
      <c r="HKN44" s="55"/>
      <c r="HKO44" s="55"/>
      <c r="HKP44" s="55"/>
      <c r="HKQ44" s="55"/>
      <c r="HKR44" s="55"/>
      <c r="HKS44" s="55"/>
      <c r="HKT44" s="55"/>
      <c r="HKU44" s="55"/>
      <c r="HKV44" s="55"/>
      <c r="HKW44" s="55"/>
      <c r="HKX44" s="55"/>
      <c r="HKY44" s="55"/>
      <c r="HKZ44" s="55"/>
      <c r="HLA44" s="55"/>
      <c r="HLB44" s="55"/>
      <c r="HLC44" s="55"/>
      <c r="HLD44" s="55"/>
      <c r="HLE44" s="55"/>
      <c r="HLF44" s="55"/>
      <c r="HLG44" s="55"/>
      <c r="HLH44" s="55"/>
      <c r="HLI44" s="55"/>
      <c r="HLJ44" s="55"/>
      <c r="HLK44" s="55"/>
      <c r="HLL44" s="55"/>
      <c r="HLM44" s="55"/>
      <c r="HLN44" s="55"/>
      <c r="HLO44" s="55"/>
      <c r="HLP44" s="55"/>
      <c r="HLQ44" s="55"/>
      <c r="HLR44" s="55"/>
      <c r="HLS44" s="55"/>
      <c r="HLT44" s="55"/>
      <c r="HLU44" s="55"/>
      <c r="HLV44" s="55"/>
      <c r="HLW44" s="55"/>
      <c r="HLX44" s="55"/>
      <c r="HLY44" s="55"/>
      <c r="HLZ44" s="55"/>
      <c r="HMA44" s="55"/>
      <c r="HMB44" s="55"/>
      <c r="HMC44" s="55"/>
      <c r="HMD44" s="55"/>
      <c r="HME44" s="55"/>
      <c r="HMF44" s="55"/>
      <c r="HMG44" s="55"/>
      <c r="HMH44" s="55"/>
      <c r="HMI44" s="55"/>
      <c r="HMJ44" s="55"/>
      <c r="HMK44" s="55"/>
      <c r="HML44" s="55"/>
      <c r="HMM44" s="55"/>
      <c r="HMN44" s="55"/>
      <c r="HMO44" s="55"/>
      <c r="HMP44" s="55"/>
      <c r="HMQ44" s="55"/>
      <c r="HMR44" s="55"/>
      <c r="HMS44" s="55"/>
      <c r="HMT44" s="55"/>
      <c r="HMU44" s="55"/>
      <c r="HMV44" s="55"/>
      <c r="HMW44" s="55"/>
      <c r="HMX44" s="55"/>
      <c r="HMY44" s="55"/>
      <c r="HMZ44" s="55"/>
      <c r="HNA44" s="55"/>
      <c r="HNB44" s="55"/>
      <c r="HNC44" s="55"/>
      <c r="HND44" s="55"/>
      <c r="HNE44" s="55"/>
      <c r="HNF44" s="55"/>
      <c r="HNG44" s="55"/>
      <c r="HNH44" s="55"/>
      <c r="HNI44" s="55"/>
      <c r="HNJ44" s="55"/>
      <c r="HNK44" s="55"/>
      <c r="HNL44" s="55"/>
      <c r="HNM44" s="55"/>
      <c r="HNN44" s="55"/>
      <c r="HNO44" s="55"/>
      <c r="HNP44" s="55"/>
      <c r="HNQ44" s="55"/>
      <c r="HNR44" s="55"/>
      <c r="HNS44" s="55"/>
      <c r="HNT44" s="55"/>
      <c r="HNU44" s="55"/>
      <c r="HNV44" s="55"/>
      <c r="HNW44" s="55"/>
      <c r="HNX44" s="55"/>
      <c r="HNY44" s="55"/>
      <c r="HNZ44" s="55"/>
      <c r="HOA44" s="55"/>
      <c r="HOB44" s="55"/>
      <c r="HOC44" s="55"/>
      <c r="HOD44" s="55"/>
      <c r="HOE44" s="55"/>
      <c r="HOF44" s="55"/>
      <c r="HOG44" s="55"/>
      <c r="HOH44" s="55"/>
      <c r="HOI44" s="55"/>
      <c r="HOJ44" s="55"/>
      <c r="HOK44" s="55"/>
      <c r="HOL44" s="55"/>
      <c r="HOM44" s="55"/>
      <c r="HON44" s="55"/>
      <c r="HOO44" s="55"/>
      <c r="HOP44" s="55"/>
      <c r="HOQ44" s="55"/>
      <c r="HOR44" s="55"/>
      <c r="HOS44" s="55"/>
      <c r="HOT44" s="55"/>
      <c r="HOU44" s="55"/>
      <c r="HOV44" s="55"/>
      <c r="HOW44" s="55"/>
      <c r="HOX44" s="55"/>
      <c r="HOY44" s="55"/>
      <c r="HOZ44" s="55"/>
      <c r="HPA44" s="55"/>
      <c r="HPB44" s="55"/>
      <c r="HPC44" s="55"/>
      <c r="HPD44" s="55"/>
      <c r="HPE44" s="55"/>
      <c r="HPF44" s="55"/>
      <c r="HPG44" s="55"/>
      <c r="HPH44" s="55"/>
      <c r="HPI44" s="55"/>
      <c r="HPJ44" s="55"/>
      <c r="HPK44" s="55"/>
      <c r="HPL44" s="55"/>
      <c r="HPM44" s="55"/>
      <c r="HPN44" s="55"/>
      <c r="HPO44" s="55"/>
      <c r="HPP44" s="55"/>
      <c r="HPQ44" s="55"/>
      <c r="HPR44" s="55"/>
      <c r="HPS44" s="55"/>
      <c r="HPT44" s="55"/>
      <c r="HPU44" s="55"/>
      <c r="HPV44" s="55"/>
      <c r="HPW44" s="55"/>
      <c r="HPX44" s="55"/>
      <c r="HPY44" s="55"/>
      <c r="HPZ44" s="55"/>
      <c r="HQA44" s="55"/>
      <c r="HQB44" s="55"/>
      <c r="HQC44" s="55"/>
      <c r="HQD44" s="55"/>
      <c r="HQE44" s="55"/>
      <c r="HQF44" s="55"/>
      <c r="HQG44" s="55"/>
      <c r="HQH44" s="55"/>
      <c r="HQI44" s="55"/>
      <c r="HQJ44" s="55"/>
      <c r="HQK44" s="55"/>
      <c r="HQL44" s="55"/>
      <c r="HQM44" s="55"/>
      <c r="HQN44" s="55"/>
      <c r="HQO44" s="55"/>
      <c r="HQP44" s="55"/>
      <c r="HQQ44" s="55"/>
      <c r="HQR44" s="55"/>
      <c r="HQS44" s="55"/>
      <c r="HQT44" s="55"/>
      <c r="HQU44" s="55"/>
      <c r="HQV44" s="55"/>
      <c r="HQW44" s="55"/>
      <c r="HQX44" s="55"/>
      <c r="HQY44" s="55"/>
      <c r="HQZ44" s="55"/>
      <c r="HRA44" s="55"/>
      <c r="HRB44" s="55"/>
      <c r="HRC44" s="55"/>
      <c r="HRD44" s="55"/>
      <c r="HRE44" s="55"/>
      <c r="HRF44" s="55"/>
      <c r="HRG44" s="55"/>
      <c r="HRH44" s="55"/>
      <c r="HRI44" s="55"/>
      <c r="HRJ44" s="55"/>
      <c r="HRK44" s="55"/>
      <c r="HRL44" s="55"/>
      <c r="HRM44" s="55"/>
      <c r="HRN44" s="55"/>
      <c r="HRO44" s="55"/>
      <c r="HRP44" s="55"/>
      <c r="HRQ44" s="55"/>
      <c r="HRR44" s="55"/>
      <c r="HRS44" s="55"/>
      <c r="HRT44" s="55"/>
      <c r="HRU44" s="55"/>
      <c r="HRV44" s="55"/>
      <c r="HRW44" s="55"/>
      <c r="HRX44" s="55"/>
      <c r="HRY44" s="55"/>
      <c r="HRZ44" s="55"/>
      <c r="HSA44" s="55"/>
      <c r="HSB44" s="55"/>
      <c r="HSC44" s="55"/>
      <c r="HSD44" s="55"/>
      <c r="HSE44" s="55"/>
      <c r="HSF44" s="55"/>
      <c r="HSG44" s="55"/>
      <c r="HSH44" s="55"/>
      <c r="HSI44" s="55"/>
      <c r="HSJ44" s="55"/>
      <c r="HSK44" s="55"/>
      <c r="HSL44" s="55"/>
      <c r="HSM44" s="55"/>
      <c r="HSN44" s="55"/>
      <c r="HSO44" s="55"/>
      <c r="HSP44" s="55"/>
      <c r="HSQ44" s="55"/>
      <c r="HSR44" s="55"/>
      <c r="HSS44" s="55"/>
      <c r="HST44" s="55"/>
      <c r="HSU44" s="55"/>
      <c r="HSV44" s="55"/>
      <c r="HSW44" s="55"/>
      <c r="HSX44" s="55"/>
      <c r="HSY44" s="55"/>
      <c r="HSZ44" s="55"/>
      <c r="HTA44" s="55"/>
      <c r="HTB44" s="55"/>
      <c r="HTC44" s="55"/>
      <c r="HTD44" s="55"/>
      <c r="HTE44" s="55"/>
      <c r="HTF44" s="55"/>
      <c r="HTG44" s="55"/>
      <c r="HTH44" s="55"/>
      <c r="HTI44" s="55"/>
      <c r="HTJ44" s="55"/>
      <c r="HTK44" s="55"/>
      <c r="HTL44" s="55"/>
      <c r="HTM44" s="55"/>
      <c r="HTN44" s="55"/>
      <c r="HTO44" s="55"/>
      <c r="HTP44" s="55"/>
      <c r="HTQ44" s="55"/>
      <c r="HTR44" s="55"/>
      <c r="HTS44" s="55"/>
      <c r="HTT44" s="55"/>
      <c r="HTU44" s="55"/>
      <c r="HTV44" s="55"/>
      <c r="HTW44" s="55"/>
      <c r="HTX44" s="55"/>
      <c r="HTY44" s="55"/>
      <c r="HTZ44" s="55"/>
      <c r="HUA44" s="55"/>
      <c r="HUB44" s="55"/>
      <c r="HUC44" s="55"/>
      <c r="HUD44" s="55"/>
      <c r="HUE44" s="55"/>
      <c r="HUF44" s="55"/>
      <c r="HUG44" s="55"/>
      <c r="HUH44" s="55"/>
      <c r="HUI44" s="55"/>
      <c r="HUJ44" s="55"/>
      <c r="HUK44" s="55"/>
      <c r="HUL44" s="55"/>
      <c r="HUM44" s="55"/>
      <c r="HUN44" s="55"/>
      <c r="HUO44" s="55"/>
      <c r="HUP44" s="55"/>
      <c r="HUQ44" s="55"/>
      <c r="HUR44" s="55"/>
      <c r="HUS44" s="55"/>
      <c r="HUT44" s="55"/>
      <c r="HUU44" s="55"/>
      <c r="HUV44" s="55"/>
      <c r="HUW44" s="55"/>
      <c r="HUX44" s="55"/>
      <c r="HUY44" s="55"/>
      <c r="HUZ44" s="55"/>
      <c r="HVA44" s="55"/>
      <c r="HVB44" s="55"/>
      <c r="HVC44" s="55"/>
      <c r="HVD44" s="55"/>
      <c r="HVE44" s="55"/>
      <c r="HVF44" s="55"/>
      <c r="HVG44" s="55"/>
      <c r="HVH44" s="55"/>
      <c r="HVI44" s="55"/>
      <c r="HVJ44" s="55"/>
      <c r="HVK44" s="55"/>
      <c r="HVL44" s="55"/>
      <c r="HVM44" s="55"/>
      <c r="HVN44" s="55"/>
      <c r="HVO44" s="55"/>
      <c r="HVP44" s="55"/>
      <c r="HVQ44" s="55"/>
      <c r="HVR44" s="55"/>
      <c r="HVS44" s="55"/>
      <c r="HVT44" s="55"/>
      <c r="HVU44" s="55"/>
      <c r="HVV44" s="55"/>
      <c r="HVW44" s="55"/>
      <c r="HVX44" s="55"/>
      <c r="HVY44" s="55"/>
      <c r="HVZ44" s="55"/>
      <c r="HWA44" s="55"/>
      <c r="HWB44" s="55"/>
      <c r="HWC44" s="55"/>
      <c r="HWD44" s="55"/>
      <c r="HWE44" s="55"/>
      <c r="HWF44" s="55"/>
      <c r="HWG44" s="55"/>
      <c r="HWH44" s="55"/>
      <c r="HWI44" s="55"/>
      <c r="HWJ44" s="55"/>
      <c r="HWK44" s="55"/>
      <c r="HWL44" s="55"/>
      <c r="HWM44" s="55"/>
      <c r="HWN44" s="55"/>
      <c r="HWO44" s="55"/>
      <c r="HWP44" s="55"/>
      <c r="HWQ44" s="55"/>
      <c r="HWR44" s="55"/>
      <c r="HWS44" s="55"/>
      <c r="HWT44" s="55"/>
      <c r="HWU44" s="55"/>
      <c r="HWV44" s="55"/>
      <c r="HWW44" s="55"/>
      <c r="HWX44" s="55"/>
      <c r="HWY44" s="55"/>
      <c r="HWZ44" s="55"/>
      <c r="HXA44" s="55"/>
      <c r="HXB44" s="55"/>
      <c r="HXC44" s="55"/>
      <c r="HXD44" s="55"/>
      <c r="HXE44" s="55"/>
      <c r="HXF44" s="55"/>
      <c r="HXG44" s="55"/>
      <c r="HXH44" s="55"/>
      <c r="HXI44" s="55"/>
      <c r="HXJ44" s="55"/>
      <c r="HXK44" s="55"/>
      <c r="HXL44" s="55"/>
      <c r="HXM44" s="55"/>
      <c r="HXN44" s="55"/>
      <c r="HXO44" s="55"/>
      <c r="HXP44" s="55"/>
      <c r="HXQ44" s="55"/>
      <c r="HXR44" s="55"/>
      <c r="HXS44" s="55"/>
      <c r="HXT44" s="55"/>
      <c r="HXU44" s="55"/>
      <c r="HXV44" s="55"/>
      <c r="HXW44" s="55"/>
      <c r="HXX44" s="55"/>
      <c r="HXY44" s="55"/>
      <c r="HXZ44" s="55"/>
      <c r="HYA44" s="55"/>
      <c r="HYB44" s="55"/>
      <c r="HYC44" s="55"/>
      <c r="HYD44" s="55"/>
      <c r="HYE44" s="55"/>
      <c r="HYF44" s="55"/>
      <c r="HYG44" s="55"/>
      <c r="HYH44" s="55"/>
      <c r="HYI44" s="55"/>
      <c r="HYJ44" s="55"/>
      <c r="HYK44" s="55"/>
      <c r="HYL44" s="55"/>
      <c r="HYM44" s="55"/>
      <c r="HYN44" s="55"/>
      <c r="HYO44" s="55"/>
      <c r="HYP44" s="55"/>
      <c r="HYQ44" s="55"/>
      <c r="HYR44" s="55"/>
      <c r="HYS44" s="55"/>
      <c r="HYT44" s="55"/>
      <c r="HYU44" s="55"/>
      <c r="HYV44" s="55"/>
      <c r="HYW44" s="55"/>
      <c r="HYX44" s="55"/>
      <c r="HYY44" s="55"/>
      <c r="HYZ44" s="55"/>
      <c r="HZA44" s="55"/>
      <c r="HZB44" s="55"/>
      <c r="HZC44" s="55"/>
      <c r="HZD44" s="55"/>
      <c r="HZE44" s="55"/>
      <c r="HZF44" s="55"/>
      <c r="HZG44" s="55"/>
      <c r="HZH44" s="55"/>
      <c r="HZI44" s="55"/>
      <c r="HZJ44" s="55"/>
      <c r="HZK44" s="55"/>
      <c r="HZL44" s="55"/>
      <c r="HZM44" s="55"/>
      <c r="HZN44" s="55"/>
      <c r="HZO44" s="55"/>
      <c r="HZP44" s="55"/>
      <c r="HZQ44" s="55"/>
      <c r="HZR44" s="55"/>
      <c r="HZS44" s="55"/>
      <c r="HZT44" s="55"/>
      <c r="HZU44" s="55"/>
      <c r="HZV44" s="55"/>
      <c r="HZW44" s="55"/>
      <c r="HZX44" s="55"/>
      <c r="HZY44" s="55"/>
      <c r="HZZ44" s="55"/>
      <c r="IAA44" s="55"/>
      <c r="IAB44" s="55"/>
      <c r="IAC44" s="55"/>
      <c r="IAD44" s="55"/>
      <c r="IAE44" s="55"/>
      <c r="IAF44" s="55"/>
      <c r="IAG44" s="55"/>
      <c r="IAH44" s="55"/>
      <c r="IAI44" s="55"/>
      <c r="IAJ44" s="55"/>
      <c r="IAK44" s="55"/>
      <c r="IAL44" s="55"/>
      <c r="IAM44" s="55"/>
      <c r="IAN44" s="55"/>
      <c r="IAO44" s="55"/>
      <c r="IAP44" s="55"/>
      <c r="IAQ44" s="55"/>
      <c r="IAR44" s="55"/>
      <c r="IAS44" s="55"/>
      <c r="IAT44" s="55"/>
      <c r="IAU44" s="55"/>
      <c r="IAV44" s="55"/>
      <c r="IAW44" s="55"/>
      <c r="IAX44" s="55"/>
      <c r="IAY44" s="55"/>
      <c r="IAZ44" s="55"/>
      <c r="IBA44" s="55"/>
      <c r="IBB44" s="55"/>
      <c r="IBC44" s="55"/>
      <c r="IBD44" s="55"/>
      <c r="IBE44" s="55"/>
      <c r="IBF44" s="55"/>
      <c r="IBG44" s="55"/>
      <c r="IBH44" s="55"/>
      <c r="IBI44" s="55"/>
      <c r="IBJ44" s="55"/>
      <c r="IBK44" s="55"/>
      <c r="IBL44" s="55"/>
      <c r="IBM44" s="55"/>
      <c r="IBN44" s="55"/>
      <c r="IBO44" s="55"/>
      <c r="IBP44" s="55"/>
      <c r="IBQ44" s="55"/>
      <c r="IBR44" s="55"/>
      <c r="IBS44" s="55"/>
      <c r="IBT44" s="55"/>
      <c r="IBU44" s="55"/>
      <c r="IBV44" s="55"/>
      <c r="IBW44" s="55"/>
      <c r="IBX44" s="55"/>
      <c r="IBY44" s="55"/>
      <c r="IBZ44" s="55"/>
      <c r="ICA44" s="55"/>
      <c r="ICB44" s="55"/>
      <c r="ICC44" s="55"/>
      <c r="ICD44" s="55"/>
      <c r="ICE44" s="55"/>
      <c r="ICF44" s="55"/>
      <c r="ICG44" s="55"/>
      <c r="ICH44" s="55"/>
      <c r="ICI44" s="55"/>
      <c r="ICJ44" s="55"/>
      <c r="ICK44" s="55"/>
      <c r="ICL44" s="55"/>
      <c r="ICM44" s="55"/>
      <c r="ICN44" s="55"/>
      <c r="ICO44" s="55"/>
      <c r="ICP44" s="55"/>
      <c r="ICQ44" s="55"/>
      <c r="ICR44" s="55"/>
      <c r="ICS44" s="55"/>
      <c r="ICT44" s="55"/>
      <c r="ICU44" s="55"/>
      <c r="ICV44" s="55"/>
      <c r="ICW44" s="55"/>
      <c r="ICX44" s="55"/>
      <c r="ICY44" s="55"/>
      <c r="ICZ44" s="55"/>
      <c r="IDA44" s="55"/>
      <c r="IDB44" s="55"/>
      <c r="IDC44" s="55"/>
      <c r="IDD44" s="55"/>
      <c r="IDE44" s="55"/>
      <c r="IDF44" s="55"/>
      <c r="IDG44" s="55"/>
      <c r="IDH44" s="55"/>
      <c r="IDI44" s="55"/>
      <c r="IDJ44" s="55"/>
      <c r="IDK44" s="55"/>
      <c r="IDL44" s="55"/>
      <c r="IDM44" s="55"/>
      <c r="IDN44" s="55"/>
      <c r="IDO44" s="55"/>
      <c r="IDP44" s="55"/>
      <c r="IDQ44" s="55"/>
      <c r="IDR44" s="55"/>
      <c r="IDS44" s="55"/>
      <c r="IDT44" s="55"/>
      <c r="IDU44" s="55"/>
      <c r="IDV44" s="55"/>
      <c r="IDW44" s="55"/>
      <c r="IDX44" s="55"/>
      <c r="IDY44" s="55"/>
      <c r="IDZ44" s="55"/>
      <c r="IEA44" s="55"/>
      <c r="IEB44" s="55"/>
      <c r="IEC44" s="55"/>
      <c r="IED44" s="55"/>
      <c r="IEE44" s="55"/>
      <c r="IEF44" s="55"/>
      <c r="IEG44" s="55"/>
      <c r="IEH44" s="55"/>
      <c r="IEI44" s="55"/>
      <c r="IEJ44" s="55"/>
      <c r="IEK44" s="55"/>
      <c r="IEL44" s="55"/>
      <c r="IEM44" s="55"/>
      <c r="IEN44" s="55"/>
      <c r="IEO44" s="55"/>
      <c r="IEP44" s="55"/>
      <c r="IEQ44" s="55"/>
      <c r="IER44" s="55"/>
      <c r="IES44" s="55"/>
      <c r="IET44" s="55"/>
      <c r="IEU44" s="55"/>
      <c r="IEV44" s="55"/>
      <c r="IEW44" s="55"/>
      <c r="IEX44" s="55"/>
      <c r="IEY44" s="55"/>
      <c r="IEZ44" s="55"/>
      <c r="IFA44" s="55"/>
      <c r="IFB44" s="55"/>
      <c r="IFC44" s="55"/>
      <c r="IFD44" s="55"/>
      <c r="IFE44" s="55"/>
      <c r="IFF44" s="55"/>
      <c r="IFG44" s="55"/>
      <c r="IFH44" s="55"/>
      <c r="IFI44" s="55"/>
      <c r="IFJ44" s="55"/>
      <c r="IFK44" s="55"/>
      <c r="IFL44" s="55"/>
      <c r="IFM44" s="55"/>
      <c r="IFN44" s="55"/>
      <c r="IFO44" s="55"/>
      <c r="IFP44" s="55"/>
      <c r="IFQ44" s="55"/>
      <c r="IFR44" s="55"/>
      <c r="IFS44" s="55"/>
      <c r="IFT44" s="55"/>
      <c r="IFU44" s="55"/>
      <c r="IFV44" s="55"/>
      <c r="IFW44" s="55"/>
      <c r="IFX44" s="55"/>
      <c r="IFY44" s="55"/>
      <c r="IFZ44" s="55"/>
      <c r="IGA44" s="55"/>
      <c r="IGB44" s="55"/>
      <c r="IGC44" s="55"/>
      <c r="IGD44" s="55"/>
      <c r="IGE44" s="55"/>
      <c r="IGF44" s="55"/>
      <c r="IGG44" s="55"/>
      <c r="IGH44" s="55"/>
      <c r="IGI44" s="55"/>
      <c r="IGJ44" s="55"/>
      <c r="IGK44" s="55"/>
      <c r="IGL44" s="55"/>
      <c r="IGM44" s="55"/>
      <c r="IGN44" s="55"/>
      <c r="IGO44" s="55"/>
      <c r="IGP44" s="55"/>
      <c r="IGQ44" s="55"/>
      <c r="IGR44" s="55"/>
      <c r="IGS44" s="55"/>
      <c r="IGT44" s="55"/>
      <c r="IGU44" s="55"/>
      <c r="IGV44" s="55"/>
      <c r="IGW44" s="55"/>
      <c r="IGX44" s="55"/>
      <c r="IGY44" s="55"/>
      <c r="IGZ44" s="55"/>
      <c r="IHA44" s="55"/>
      <c r="IHB44" s="55"/>
      <c r="IHC44" s="55"/>
      <c r="IHD44" s="55"/>
      <c r="IHE44" s="55"/>
      <c r="IHF44" s="55"/>
      <c r="IHG44" s="55"/>
      <c r="IHH44" s="55"/>
      <c r="IHI44" s="55"/>
      <c r="IHJ44" s="55"/>
      <c r="IHK44" s="55"/>
      <c r="IHL44" s="55"/>
      <c r="IHM44" s="55"/>
      <c r="IHN44" s="55"/>
      <c r="IHO44" s="55"/>
      <c r="IHP44" s="55"/>
      <c r="IHQ44" s="55"/>
      <c r="IHR44" s="55"/>
      <c r="IHS44" s="55"/>
      <c r="IHT44" s="55"/>
      <c r="IHU44" s="55"/>
      <c r="IHV44" s="55"/>
      <c r="IHW44" s="55"/>
      <c r="IHX44" s="55"/>
      <c r="IHY44" s="55"/>
      <c r="IHZ44" s="55"/>
      <c r="IIA44" s="55"/>
      <c r="IIB44" s="55"/>
      <c r="IIC44" s="55"/>
      <c r="IID44" s="55"/>
      <c r="IIE44" s="55"/>
      <c r="IIF44" s="55"/>
      <c r="IIG44" s="55"/>
      <c r="IIH44" s="55"/>
      <c r="III44" s="55"/>
      <c r="IIJ44" s="55"/>
      <c r="IIK44" s="55"/>
      <c r="IIL44" s="55"/>
      <c r="IIM44" s="55"/>
      <c r="IIN44" s="55"/>
      <c r="IIO44" s="55"/>
      <c r="IIP44" s="55"/>
      <c r="IIQ44" s="55"/>
      <c r="IIR44" s="55"/>
      <c r="IIS44" s="55"/>
      <c r="IIT44" s="55"/>
      <c r="IIU44" s="55"/>
      <c r="IIV44" s="55"/>
      <c r="IIW44" s="55"/>
      <c r="IIX44" s="55"/>
      <c r="IIY44" s="55"/>
      <c r="IIZ44" s="55"/>
      <c r="IJA44" s="55"/>
      <c r="IJB44" s="55"/>
      <c r="IJC44" s="55"/>
      <c r="IJD44" s="55"/>
      <c r="IJE44" s="55"/>
      <c r="IJF44" s="55"/>
      <c r="IJG44" s="55"/>
      <c r="IJH44" s="55"/>
      <c r="IJI44" s="55"/>
      <c r="IJJ44" s="55"/>
      <c r="IJK44" s="55"/>
      <c r="IJL44" s="55"/>
      <c r="IJM44" s="55"/>
      <c r="IJN44" s="55"/>
      <c r="IJO44" s="55"/>
      <c r="IJP44" s="55"/>
      <c r="IJQ44" s="55"/>
      <c r="IJR44" s="55"/>
      <c r="IJS44" s="55"/>
      <c r="IJT44" s="55"/>
      <c r="IJU44" s="55"/>
      <c r="IJV44" s="55"/>
      <c r="IJW44" s="55"/>
      <c r="IJX44" s="55"/>
      <c r="IJY44" s="55"/>
      <c r="IJZ44" s="55"/>
      <c r="IKA44" s="55"/>
      <c r="IKB44" s="55"/>
      <c r="IKC44" s="55"/>
      <c r="IKD44" s="55"/>
      <c r="IKE44" s="55"/>
      <c r="IKF44" s="55"/>
      <c r="IKG44" s="55"/>
      <c r="IKH44" s="55"/>
      <c r="IKI44" s="55"/>
      <c r="IKJ44" s="55"/>
      <c r="IKK44" s="55"/>
      <c r="IKL44" s="55"/>
      <c r="IKM44" s="55"/>
      <c r="IKN44" s="55"/>
      <c r="IKO44" s="55"/>
      <c r="IKP44" s="55"/>
      <c r="IKQ44" s="55"/>
      <c r="IKR44" s="55"/>
      <c r="IKS44" s="55"/>
      <c r="IKT44" s="55"/>
      <c r="IKU44" s="55"/>
      <c r="IKV44" s="55"/>
      <c r="IKW44" s="55"/>
      <c r="IKX44" s="55"/>
      <c r="IKY44" s="55"/>
      <c r="IKZ44" s="55"/>
      <c r="ILA44" s="55"/>
      <c r="ILB44" s="55"/>
      <c r="ILC44" s="55"/>
      <c r="ILD44" s="55"/>
      <c r="ILE44" s="55"/>
      <c r="ILF44" s="55"/>
      <c r="ILG44" s="55"/>
      <c r="ILH44" s="55"/>
      <c r="ILI44" s="55"/>
      <c r="ILJ44" s="55"/>
      <c r="ILK44" s="55"/>
      <c r="ILL44" s="55"/>
      <c r="ILM44" s="55"/>
      <c r="ILN44" s="55"/>
      <c r="ILO44" s="55"/>
      <c r="ILP44" s="55"/>
      <c r="ILQ44" s="55"/>
      <c r="ILR44" s="55"/>
      <c r="ILS44" s="55"/>
      <c r="ILT44" s="55"/>
      <c r="ILU44" s="55"/>
      <c r="ILV44" s="55"/>
      <c r="ILW44" s="55"/>
      <c r="ILX44" s="55"/>
      <c r="ILY44" s="55"/>
      <c r="ILZ44" s="55"/>
      <c r="IMA44" s="55"/>
      <c r="IMB44" s="55"/>
      <c r="IMC44" s="55"/>
      <c r="IMD44" s="55"/>
      <c r="IME44" s="55"/>
      <c r="IMF44" s="55"/>
      <c r="IMG44" s="55"/>
      <c r="IMH44" s="55"/>
      <c r="IMI44" s="55"/>
      <c r="IMJ44" s="55"/>
      <c r="IMK44" s="55"/>
      <c r="IML44" s="55"/>
      <c r="IMM44" s="55"/>
      <c r="IMN44" s="55"/>
      <c r="IMO44" s="55"/>
      <c r="IMP44" s="55"/>
      <c r="IMQ44" s="55"/>
      <c r="IMR44" s="55"/>
      <c r="IMS44" s="55"/>
      <c r="IMT44" s="55"/>
      <c r="IMU44" s="55"/>
      <c r="IMV44" s="55"/>
      <c r="IMW44" s="55"/>
      <c r="IMX44" s="55"/>
      <c r="IMY44" s="55"/>
      <c r="IMZ44" s="55"/>
      <c r="INA44" s="55"/>
      <c r="INB44" s="55"/>
      <c r="INC44" s="55"/>
      <c r="IND44" s="55"/>
      <c r="INE44" s="55"/>
      <c r="INF44" s="55"/>
      <c r="ING44" s="55"/>
      <c r="INH44" s="55"/>
      <c r="INI44" s="55"/>
      <c r="INJ44" s="55"/>
      <c r="INK44" s="55"/>
      <c r="INL44" s="55"/>
      <c r="INM44" s="55"/>
      <c r="INN44" s="55"/>
      <c r="INO44" s="55"/>
      <c r="INP44" s="55"/>
      <c r="INQ44" s="55"/>
      <c r="INR44" s="55"/>
      <c r="INS44" s="55"/>
      <c r="INT44" s="55"/>
      <c r="INU44" s="55"/>
      <c r="INV44" s="55"/>
      <c r="INW44" s="55"/>
      <c r="INX44" s="55"/>
      <c r="INY44" s="55"/>
      <c r="INZ44" s="55"/>
      <c r="IOA44" s="55"/>
      <c r="IOB44" s="55"/>
      <c r="IOC44" s="55"/>
      <c r="IOD44" s="55"/>
      <c r="IOE44" s="55"/>
      <c r="IOF44" s="55"/>
      <c r="IOG44" s="55"/>
      <c r="IOH44" s="55"/>
      <c r="IOI44" s="55"/>
      <c r="IOJ44" s="55"/>
      <c r="IOK44" s="55"/>
      <c r="IOL44" s="55"/>
      <c r="IOM44" s="55"/>
      <c r="ION44" s="55"/>
      <c r="IOO44" s="55"/>
      <c r="IOP44" s="55"/>
      <c r="IOQ44" s="55"/>
      <c r="IOR44" s="55"/>
      <c r="IOS44" s="55"/>
      <c r="IOT44" s="55"/>
      <c r="IOU44" s="55"/>
      <c r="IOV44" s="55"/>
      <c r="IOW44" s="55"/>
      <c r="IOX44" s="55"/>
      <c r="IOY44" s="55"/>
      <c r="IOZ44" s="55"/>
      <c r="IPA44" s="55"/>
      <c r="IPB44" s="55"/>
      <c r="IPC44" s="55"/>
      <c r="IPD44" s="55"/>
      <c r="IPE44" s="55"/>
      <c r="IPF44" s="55"/>
      <c r="IPG44" s="55"/>
      <c r="IPH44" s="55"/>
      <c r="IPI44" s="55"/>
      <c r="IPJ44" s="55"/>
      <c r="IPK44" s="55"/>
      <c r="IPL44" s="55"/>
      <c r="IPM44" s="55"/>
      <c r="IPN44" s="55"/>
      <c r="IPO44" s="55"/>
      <c r="IPP44" s="55"/>
      <c r="IPQ44" s="55"/>
      <c r="IPR44" s="55"/>
      <c r="IPS44" s="55"/>
      <c r="IPT44" s="55"/>
      <c r="IPU44" s="55"/>
      <c r="IPV44" s="55"/>
      <c r="IPW44" s="55"/>
      <c r="IPX44" s="55"/>
      <c r="IPY44" s="55"/>
      <c r="IPZ44" s="55"/>
      <c r="IQA44" s="55"/>
      <c r="IQB44" s="55"/>
      <c r="IQC44" s="55"/>
      <c r="IQD44" s="55"/>
      <c r="IQE44" s="55"/>
      <c r="IQF44" s="55"/>
      <c r="IQG44" s="55"/>
      <c r="IQH44" s="55"/>
      <c r="IQI44" s="55"/>
      <c r="IQJ44" s="55"/>
      <c r="IQK44" s="55"/>
      <c r="IQL44" s="55"/>
      <c r="IQM44" s="55"/>
      <c r="IQN44" s="55"/>
      <c r="IQO44" s="55"/>
      <c r="IQP44" s="55"/>
      <c r="IQQ44" s="55"/>
      <c r="IQR44" s="55"/>
      <c r="IQS44" s="55"/>
      <c r="IQT44" s="55"/>
      <c r="IQU44" s="55"/>
      <c r="IQV44" s="55"/>
      <c r="IQW44" s="55"/>
      <c r="IQX44" s="55"/>
      <c r="IQY44" s="55"/>
      <c r="IQZ44" s="55"/>
      <c r="IRA44" s="55"/>
      <c r="IRB44" s="55"/>
      <c r="IRC44" s="55"/>
      <c r="IRD44" s="55"/>
      <c r="IRE44" s="55"/>
      <c r="IRF44" s="55"/>
      <c r="IRG44" s="55"/>
      <c r="IRH44" s="55"/>
      <c r="IRI44" s="55"/>
      <c r="IRJ44" s="55"/>
      <c r="IRK44" s="55"/>
      <c r="IRL44" s="55"/>
      <c r="IRM44" s="55"/>
      <c r="IRN44" s="55"/>
      <c r="IRO44" s="55"/>
      <c r="IRP44" s="55"/>
      <c r="IRQ44" s="55"/>
      <c r="IRR44" s="55"/>
      <c r="IRS44" s="55"/>
      <c r="IRT44" s="55"/>
      <c r="IRU44" s="55"/>
      <c r="IRV44" s="55"/>
      <c r="IRW44" s="55"/>
      <c r="IRX44" s="55"/>
      <c r="IRY44" s="55"/>
      <c r="IRZ44" s="55"/>
      <c r="ISA44" s="55"/>
      <c r="ISB44" s="55"/>
      <c r="ISC44" s="55"/>
      <c r="ISD44" s="55"/>
      <c r="ISE44" s="55"/>
      <c r="ISF44" s="55"/>
      <c r="ISG44" s="55"/>
      <c r="ISH44" s="55"/>
      <c r="ISI44" s="55"/>
      <c r="ISJ44" s="55"/>
      <c r="ISK44" s="55"/>
      <c r="ISL44" s="55"/>
      <c r="ISM44" s="55"/>
      <c r="ISN44" s="55"/>
      <c r="ISO44" s="55"/>
      <c r="ISP44" s="55"/>
      <c r="ISQ44" s="55"/>
      <c r="ISR44" s="55"/>
      <c r="ISS44" s="55"/>
      <c r="IST44" s="55"/>
      <c r="ISU44" s="55"/>
      <c r="ISV44" s="55"/>
      <c r="ISW44" s="55"/>
      <c r="ISX44" s="55"/>
      <c r="ISY44" s="55"/>
      <c r="ISZ44" s="55"/>
      <c r="ITA44" s="55"/>
      <c r="ITB44" s="55"/>
      <c r="ITC44" s="55"/>
      <c r="ITD44" s="55"/>
      <c r="ITE44" s="55"/>
      <c r="ITF44" s="55"/>
      <c r="ITG44" s="55"/>
      <c r="ITH44" s="55"/>
      <c r="ITI44" s="55"/>
      <c r="ITJ44" s="55"/>
      <c r="ITK44" s="55"/>
      <c r="ITL44" s="55"/>
      <c r="ITM44" s="55"/>
      <c r="ITN44" s="55"/>
      <c r="ITO44" s="55"/>
      <c r="ITP44" s="55"/>
      <c r="ITQ44" s="55"/>
      <c r="ITR44" s="55"/>
      <c r="ITS44" s="55"/>
      <c r="ITT44" s="55"/>
      <c r="ITU44" s="55"/>
      <c r="ITV44" s="55"/>
      <c r="ITW44" s="55"/>
      <c r="ITX44" s="55"/>
      <c r="ITY44" s="55"/>
      <c r="ITZ44" s="55"/>
      <c r="IUA44" s="55"/>
      <c r="IUB44" s="55"/>
      <c r="IUC44" s="55"/>
      <c r="IUD44" s="55"/>
      <c r="IUE44" s="55"/>
      <c r="IUF44" s="55"/>
      <c r="IUG44" s="55"/>
      <c r="IUH44" s="55"/>
      <c r="IUI44" s="55"/>
      <c r="IUJ44" s="55"/>
      <c r="IUK44" s="55"/>
      <c r="IUL44" s="55"/>
      <c r="IUM44" s="55"/>
      <c r="IUN44" s="55"/>
      <c r="IUO44" s="55"/>
      <c r="IUP44" s="55"/>
      <c r="IUQ44" s="55"/>
      <c r="IUR44" s="55"/>
      <c r="IUS44" s="55"/>
      <c r="IUT44" s="55"/>
      <c r="IUU44" s="55"/>
      <c r="IUV44" s="55"/>
      <c r="IUW44" s="55"/>
      <c r="IUX44" s="55"/>
      <c r="IUY44" s="55"/>
      <c r="IUZ44" s="55"/>
      <c r="IVA44" s="55"/>
      <c r="IVB44" s="55"/>
      <c r="IVC44" s="55"/>
      <c r="IVD44" s="55"/>
      <c r="IVE44" s="55"/>
      <c r="IVF44" s="55"/>
      <c r="IVG44" s="55"/>
      <c r="IVH44" s="55"/>
      <c r="IVI44" s="55"/>
      <c r="IVJ44" s="55"/>
      <c r="IVK44" s="55"/>
      <c r="IVL44" s="55"/>
      <c r="IVM44" s="55"/>
      <c r="IVN44" s="55"/>
      <c r="IVO44" s="55"/>
      <c r="IVP44" s="55"/>
      <c r="IVQ44" s="55"/>
      <c r="IVR44" s="55"/>
      <c r="IVS44" s="55"/>
      <c r="IVT44" s="55"/>
      <c r="IVU44" s="55"/>
      <c r="IVV44" s="55"/>
      <c r="IVW44" s="55"/>
      <c r="IVX44" s="55"/>
      <c r="IVY44" s="55"/>
      <c r="IVZ44" s="55"/>
      <c r="IWA44" s="55"/>
      <c r="IWB44" s="55"/>
      <c r="IWC44" s="55"/>
      <c r="IWD44" s="55"/>
      <c r="IWE44" s="55"/>
      <c r="IWF44" s="55"/>
      <c r="IWG44" s="55"/>
      <c r="IWH44" s="55"/>
      <c r="IWI44" s="55"/>
      <c r="IWJ44" s="55"/>
      <c r="IWK44" s="55"/>
      <c r="IWL44" s="55"/>
      <c r="IWM44" s="55"/>
      <c r="IWN44" s="55"/>
      <c r="IWO44" s="55"/>
      <c r="IWP44" s="55"/>
      <c r="IWQ44" s="55"/>
      <c r="IWR44" s="55"/>
      <c r="IWS44" s="55"/>
      <c r="IWT44" s="55"/>
      <c r="IWU44" s="55"/>
      <c r="IWV44" s="55"/>
      <c r="IWW44" s="55"/>
      <c r="IWX44" s="55"/>
      <c r="IWY44" s="55"/>
      <c r="IWZ44" s="55"/>
      <c r="IXA44" s="55"/>
      <c r="IXB44" s="55"/>
      <c r="IXC44" s="55"/>
      <c r="IXD44" s="55"/>
      <c r="IXE44" s="55"/>
      <c r="IXF44" s="55"/>
      <c r="IXG44" s="55"/>
      <c r="IXH44" s="55"/>
      <c r="IXI44" s="55"/>
      <c r="IXJ44" s="55"/>
      <c r="IXK44" s="55"/>
      <c r="IXL44" s="55"/>
      <c r="IXM44" s="55"/>
      <c r="IXN44" s="55"/>
      <c r="IXO44" s="55"/>
      <c r="IXP44" s="55"/>
      <c r="IXQ44" s="55"/>
      <c r="IXR44" s="55"/>
      <c r="IXS44" s="55"/>
      <c r="IXT44" s="55"/>
      <c r="IXU44" s="55"/>
      <c r="IXV44" s="55"/>
      <c r="IXW44" s="55"/>
      <c r="IXX44" s="55"/>
      <c r="IXY44" s="55"/>
      <c r="IXZ44" s="55"/>
      <c r="IYA44" s="55"/>
      <c r="IYB44" s="55"/>
      <c r="IYC44" s="55"/>
      <c r="IYD44" s="55"/>
      <c r="IYE44" s="55"/>
      <c r="IYF44" s="55"/>
      <c r="IYG44" s="55"/>
      <c r="IYH44" s="55"/>
      <c r="IYI44" s="55"/>
      <c r="IYJ44" s="55"/>
      <c r="IYK44" s="55"/>
      <c r="IYL44" s="55"/>
      <c r="IYM44" s="55"/>
      <c r="IYN44" s="55"/>
      <c r="IYO44" s="55"/>
      <c r="IYP44" s="55"/>
      <c r="IYQ44" s="55"/>
      <c r="IYR44" s="55"/>
      <c r="IYS44" s="55"/>
      <c r="IYT44" s="55"/>
      <c r="IYU44" s="55"/>
      <c r="IYV44" s="55"/>
      <c r="IYW44" s="55"/>
      <c r="IYX44" s="55"/>
      <c r="IYY44" s="55"/>
      <c r="IYZ44" s="55"/>
      <c r="IZA44" s="55"/>
      <c r="IZB44" s="55"/>
      <c r="IZC44" s="55"/>
      <c r="IZD44" s="55"/>
      <c r="IZE44" s="55"/>
      <c r="IZF44" s="55"/>
      <c r="IZG44" s="55"/>
      <c r="IZH44" s="55"/>
      <c r="IZI44" s="55"/>
      <c r="IZJ44" s="55"/>
      <c r="IZK44" s="55"/>
      <c r="IZL44" s="55"/>
      <c r="IZM44" s="55"/>
      <c r="IZN44" s="55"/>
      <c r="IZO44" s="55"/>
      <c r="IZP44" s="55"/>
      <c r="IZQ44" s="55"/>
      <c r="IZR44" s="55"/>
      <c r="IZS44" s="55"/>
      <c r="IZT44" s="55"/>
      <c r="IZU44" s="55"/>
      <c r="IZV44" s="55"/>
      <c r="IZW44" s="55"/>
      <c r="IZX44" s="55"/>
      <c r="IZY44" s="55"/>
      <c r="IZZ44" s="55"/>
      <c r="JAA44" s="55"/>
      <c r="JAB44" s="55"/>
      <c r="JAC44" s="55"/>
      <c r="JAD44" s="55"/>
      <c r="JAE44" s="55"/>
      <c r="JAF44" s="55"/>
      <c r="JAG44" s="55"/>
      <c r="JAH44" s="55"/>
      <c r="JAI44" s="55"/>
      <c r="JAJ44" s="55"/>
      <c r="JAK44" s="55"/>
      <c r="JAL44" s="55"/>
      <c r="JAM44" s="55"/>
      <c r="JAN44" s="55"/>
      <c r="JAO44" s="55"/>
      <c r="JAP44" s="55"/>
      <c r="JAQ44" s="55"/>
      <c r="JAR44" s="55"/>
      <c r="JAS44" s="55"/>
      <c r="JAT44" s="55"/>
      <c r="JAU44" s="55"/>
      <c r="JAV44" s="55"/>
      <c r="JAW44" s="55"/>
      <c r="JAX44" s="55"/>
      <c r="JAY44" s="55"/>
      <c r="JAZ44" s="55"/>
      <c r="JBA44" s="55"/>
      <c r="JBB44" s="55"/>
      <c r="JBC44" s="55"/>
      <c r="JBD44" s="55"/>
      <c r="JBE44" s="55"/>
      <c r="JBF44" s="55"/>
      <c r="JBG44" s="55"/>
      <c r="JBH44" s="55"/>
      <c r="JBI44" s="55"/>
      <c r="JBJ44" s="55"/>
      <c r="JBK44" s="55"/>
      <c r="JBL44" s="55"/>
      <c r="JBM44" s="55"/>
      <c r="JBN44" s="55"/>
      <c r="JBO44" s="55"/>
      <c r="JBP44" s="55"/>
      <c r="JBQ44" s="55"/>
      <c r="JBR44" s="55"/>
      <c r="JBS44" s="55"/>
      <c r="JBT44" s="55"/>
      <c r="JBU44" s="55"/>
      <c r="JBV44" s="55"/>
      <c r="JBW44" s="55"/>
      <c r="JBX44" s="55"/>
      <c r="JBY44" s="55"/>
      <c r="JBZ44" s="55"/>
      <c r="JCA44" s="55"/>
      <c r="JCB44" s="55"/>
      <c r="JCC44" s="55"/>
      <c r="JCD44" s="55"/>
      <c r="JCE44" s="55"/>
      <c r="JCF44" s="55"/>
      <c r="JCG44" s="55"/>
      <c r="JCH44" s="55"/>
      <c r="JCI44" s="55"/>
      <c r="JCJ44" s="55"/>
      <c r="JCK44" s="55"/>
      <c r="JCL44" s="55"/>
      <c r="JCM44" s="55"/>
      <c r="JCN44" s="55"/>
      <c r="JCO44" s="55"/>
      <c r="JCP44" s="55"/>
      <c r="JCQ44" s="55"/>
      <c r="JCR44" s="55"/>
      <c r="JCS44" s="55"/>
      <c r="JCT44" s="55"/>
      <c r="JCU44" s="55"/>
      <c r="JCV44" s="55"/>
      <c r="JCW44" s="55"/>
      <c r="JCX44" s="55"/>
      <c r="JCY44" s="55"/>
      <c r="JCZ44" s="55"/>
      <c r="JDA44" s="55"/>
      <c r="JDB44" s="55"/>
      <c r="JDC44" s="55"/>
      <c r="JDD44" s="55"/>
      <c r="JDE44" s="55"/>
      <c r="JDF44" s="55"/>
      <c r="JDG44" s="55"/>
      <c r="JDH44" s="55"/>
      <c r="JDI44" s="55"/>
      <c r="JDJ44" s="55"/>
      <c r="JDK44" s="55"/>
      <c r="JDL44" s="55"/>
      <c r="JDM44" s="55"/>
      <c r="JDN44" s="55"/>
      <c r="JDO44" s="55"/>
      <c r="JDP44" s="55"/>
      <c r="JDQ44" s="55"/>
      <c r="JDR44" s="55"/>
      <c r="JDS44" s="55"/>
      <c r="JDT44" s="55"/>
      <c r="JDU44" s="55"/>
      <c r="JDV44" s="55"/>
      <c r="JDW44" s="55"/>
      <c r="JDX44" s="55"/>
      <c r="JDY44" s="55"/>
      <c r="JDZ44" s="55"/>
      <c r="JEA44" s="55"/>
      <c r="JEB44" s="55"/>
      <c r="JEC44" s="55"/>
      <c r="JED44" s="55"/>
      <c r="JEE44" s="55"/>
      <c r="JEF44" s="55"/>
      <c r="JEG44" s="55"/>
      <c r="JEH44" s="55"/>
      <c r="JEI44" s="55"/>
      <c r="JEJ44" s="55"/>
      <c r="JEK44" s="55"/>
      <c r="JEL44" s="55"/>
      <c r="JEM44" s="55"/>
      <c r="JEN44" s="55"/>
      <c r="JEO44" s="55"/>
      <c r="JEP44" s="55"/>
      <c r="JEQ44" s="55"/>
      <c r="JER44" s="55"/>
      <c r="JES44" s="55"/>
      <c r="JET44" s="55"/>
      <c r="JEU44" s="55"/>
      <c r="JEV44" s="55"/>
      <c r="JEW44" s="55"/>
      <c r="JEX44" s="55"/>
      <c r="JEY44" s="55"/>
      <c r="JEZ44" s="55"/>
      <c r="JFA44" s="55"/>
      <c r="JFB44" s="55"/>
      <c r="JFC44" s="55"/>
      <c r="JFD44" s="55"/>
      <c r="JFE44" s="55"/>
      <c r="JFF44" s="55"/>
      <c r="JFG44" s="55"/>
      <c r="JFH44" s="55"/>
      <c r="JFI44" s="55"/>
      <c r="JFJ44" s="55"/>
      <c r="JFK44" s="55"/>
      <c r="JFL44" s="55"/>
      <c r="JFM44" s="55"/>
      <c r="JFN44" s="55"/>
      <c r="JFO44" s="55"/>
      <c r="JFP44" s="55"/>
      <c r="JFQ44" s="55"/>
      <c r="JFR44" s="55"/>
      <c r="JFS44" s="55"/>
      <c r="JFT44" s="55"/>
      <c r="JFU44" s="55"/>
      <c r="JFV44" s="55"/>
      <c r="JFW44" s="55"/>
      <c r="JFX44" s="55"/>
      <c r="JFY44" s="55"/>
      <c r="JFZ44" s="55"/>
      <c r="JGA44" s="55"/>
      <c r="JGB44" s="55"/>
      <c r="JGC44" s="55"/>
      <c r="JGD44" s="55"/>
      <c r="JGE44" s="55"/>
      <c r="JGF44" s="55"/>
      <c r="JGG44" s="55"/>
      <c r="JGH44" s="55"/>
      <c r="JGI44" s="55"/>
      <c r="JGJ44" s="55"/>
      <c r="JGK44" s="55"/>
      <c r="JGL44" s="55"/>
      <c r="JGM44" s="55"/>
      <c r="JGN44" s="55"/>
      <c r="JGO44" s="55"/>
      <c r="JGP44" s="55"/>
      <c r="JGQ44" s="55"/>
      <c r="JGR44" s="55"/>
      <c r="JGS44" s="55"/>
      <c r="JGT44" s="55"/>
      <c r="JGU44" s="55"/>
      <c r="JGV44" s="55"/>
      <c r="JGW44" s="55"/>
      <c r="JGX44" s="55"/>
      <c r="JGY44" s="55"/>
      <c r="JGZ44" s="55"/>
      <c r="JHA44" s="55"/>
      <c r="JHB44" s="55"/>
      <c r="JHC44" s="55"/>
      <c r="JHD44" s="55"/>
      <c r="JHE44" s="55"/>
      <c r="JHF44" s="55"/>
      <c r="JHG44" s="55"/>
      <c r="JHH44" s="55"/>
      <c r="JHI44" s="55"/>
      <c r="JHJ44" s="55"/>
      <c r="JHK44" s="55"/>
      <c r="JHL44" s="55"/>
      <c r="JHM44" s="55"/>
      <c r="JHN44" s="55"/>
      <c r="JHO44" s="55"/>
      <c r="JHP44" s="55"/>
      <c r="JHQ44" s="55"/>
      <c r="JHR44" s="55"/>
      <c r="JHS44" s="55"/>
      <c r="JHT44" s="55"/>
      <c r="JHU44" s="55"/>
      <c r="JHV44" s="55"/>
      <c r="JHW44" s="55"/>
      <c r="JHX44" s="55"/>
      <c r="JHY44" s="55"/>
      <c r="JHZ44" s="55"/>
      <c r="JIA44" s="55"/>
      <c r="JIB44" s="55"/>
      <c r="JIC44" s="55"/>
      <c r="JID44" s="55"/>
      <c r="JIE44" s="55"/>
      <c r="JIF44" s="55"/>
      <c r="JIG44" s="55"/>
      <c r="JIH44" s="55"/>
      <c r="JII44" s="55"/>
      <c r="JIJ44" s="55"/>
      <c r="JIK44" s="55"/>
      <c r="JIL44" s="55"/>
      <c r="JIM44" s="55"/>
      <c r="JIN44" s="55"/>
      <c r="JIO44" s="55"/>
      <c r="JIP44" s="55"/>
      <c r="JIQ44" s="55"/>
      <c r="JIR44" s="55"/>
      <c r="JIS44" s="55"/>
      <c r="JIT44" s="55"/>
      <c r="JIU44" s="55"/>
      <c r="JIV44" s="55"/>
      <c r="JIW44" s="55"/>
      <c r="JIX44" s="55"/>
      <c r="JIY44" s="55"/>
      <c r="JIZ44" s="55"/>
      <c r="JJA44" s="55"/>
      <c r="JJB44" s="55"/>
      <c r="JJC44" s="55"/>
      <c r="JJD44" s="55"/>
      <c r="JJE44" s="55"/>
      <c r="JJF44" s="55"/>
      <c r="JJG44" s="55"/>
      <c r="JJH44" s="55"/>
      <c r="JJI44" s="55"/>
      <c r="JJJ44" s="55"/>
      <c r="JJK44" s="55"/>
      <c r="JJL44" s="55"/>
      <c r="JJM44" s="55"/>
      <c r="JJN44" s="55"/>
      <c r="JJO44" s="55"/>
      <c r="JJP44" s="55"/>
      <c r="JJQ44" s="55"/>
      <c r="JJR44" s="55"/>
      <c r="JJS44" s="55"/>
      <c r="JJT44" s="55"/>
      <c r="JJU44" s="55"/>
      <c r="JJV44" s="55"/>
      <c r="JJW44" s="55"/>
      <c r="JJX44" s="55"/>
      <c r="JJY44" s="55"/>
      <c r="JJZ44" s="55"/>
      <c r="JKA44" s="55"/>
      <c r="JKB44" s="55"/>
      <c r="JKC44" s="55"/>
      <c r="JKD44" s="55"/>
      <c r="JKE44" s="55"/>
      <c r="JKF44" s="55"/>
      <c r="JKG44" s="55"/>
      <c r="JKH44" s="55"/>
      <c r="JKI44" s="55"/>
      <c r="JKJ44" s="55"/>
      <c r="JKK44" s="55"/>
      <c r="JKL44" s="55"/>
      <c r="JKM44" s="55"/>
      <c r="JKN44" s="55"/>
      <c r="JKO44" s="55"/>
      <c r="JKP44" s="55"/>
      <c r="JKQ44" s="55"/>
      <c r="JKR44" s="55"/>
      <c r="JKS44" s="55"/>
      <c r="JKT44" s="55"/>
      <c r="JKU44" s="55"/>
      <c r="JKV44" s="55"/>
      <c r="JKW44" s="55"/>
      <c r="JKX44" s="55"/>
      <c r="JKY44" s="55"/>
      <c r="JKZ44" s="55"/>
      <c r="JLA44" s="55"/>
      <c r="JLB44" s="55"/>
      <c r="JLC44" s="55"/>
      <c r="JLD44" s="55"/>
      <c r="JLE44" s="55"/>
      <c r="JLF44" s="55"/>
      <c r="JLG44" s="55"/>
      <c r="JLH44" s="55"/>
      <c r="JLI44" s="55"/>
      <c r="JLJ44" s="55"/>
      <c r="JLK44" s="55"/>
      <c r="JLL44" s="55"/>
      <c r="JLM44" s="55"/>
      <c r="JLN44" s="55"/>
      <c r="JLO44" s="55"/>
      <c r="JLP44" s="55"/>
      <c r="JLQ44" s="55"/>
      <c r="JLR44" s="55"/>
      <c r="JLS44" s="55"/>
      <c r="JLT44" s="55"/>
      <c r="JLU44" s="55"/>
      <c r="JLV44" s="55"/>
      <c r="JLW44" s="55"/>
      <c r="JLX44" s="55"/>
      <c r="JLY44" s="55"/>
      <c r="JLZ44" s="55"/>
      <c r="JMA44" s="55"/>
      <c r="JMB44" s="55"/>
      <c r="JMC44" s="55"/>
      <c r="JMD44" s="55"/>
      <c r="JME44" s="55"/>
      <c r="JMF44" s="55"/>
      <c r="JMG44" s="55"/>
      <c r="JMH44" s="55"/>
      <c r="JMI44" s="55"/>
      <c r="JMJ44" s="55"/>
      <c r="JMK44" s="55"/>
      <c r="JML44" s="55"/>
      <c r="JMM44" s="55"/>
      <c r="JMN44" s="55"/>
      <c r="JMO44" s="55"/>
      <c r="JMP44" s="55"/>
      <c r="JMQ44" s="55"/>
      <c r="JMR44" s="55"/>
      <c r="JMS44" s="55"/>
      <c r="JMT44" s="55"/>
      <c r="JMU44" s="55"/>
      <c r="JMV44" s="55"/>
      <c r="JMW44" s="55"/>
      <c r="JMX44" s="55"/>
      <c r="JMY44" s="55"/>
      <c r="JMZ44" s="55"/>
      <c r="JNA44" s="55"/>
      <c r="JNB44" s="55"/>
      <c r="JNC44" s="55"/>
      <c r="JND44" s="55"/>
      <c r="JNE44" s="55"/>
      <c r="JNF44" s="55"/>
      <c r="JNG44" s="55"/>
      <c r="JNH44" s="55"/>
      <c r="JNI44" s="55"/>
      <c r="JNJ44" s="55"/>
      <c r="JNK44" s="55"/>
      <c r="JNL44" s="55"/>
      <c r="JNM44" s="55"/>
      <c r="JNN44" s="55"/>
      <c r="JNO44" s="55"/>
      <c r="JNP44" s="55"/>
      <c r="JNQ44" s="55"/>
      <c r="JNR44" s="55"/>
      <c r="JNS44" s="55"/>
      <c r="JNT44" s="55"/>
      <c r="JNU44" s="55"/>
      <c r="JNV44" s="55"/>
      <c r="JNW44" s="55"/>
      <c r="JNX44" s="55"/>
      <c r="JNY44" s="55"/>
      <c r="JNZ44" s="55"/>
      <c r="JOA44" s="55"/>
      <c r="JOB44" s="55"/>
      <c r="JOC44" s="55"/>
      <c r="JOD44" s="55"/>
      <c r="JOE44" s="55"/>
      <c r="JOF44" s="55"/>
      <c r="JOG44" s="55"/>
      <c r="JOH44" s="55"/>
      <c r="JOI44" s="55"/>
      <c r="JOJ44" s="55"/>
      <c r="JOK44" s="55"/>
      <c r="JOL44" s="55"/>
      <c r="JOM44" s="55"/>
      <c r="JON44" s="55"/>
      <c r="JOO44" s="55"/>
      <c r="JOP44" s="55"/>
      <c r="JOQ44" s="55"/>
      <c r="JOR44" s="55"/>
      <c r="JOS44" s="55"/>
      <c r="JOT44" s="55"/>
      <c r="JOU44" s="55"/>
      <c r="JOV44" s="55"/>
      <c r="JOW44" s="55"/>
      <c r="JOX44" s="55"/>
      <c r="JOY44" s="55"/>
      <c r="JOZ44" s="55"/>
      <c r="JPA44" s="55"/>
      <c r="JPB44" s="55"/>
      <c r="JPC44" s="55"/>
      <c r="JPD44" s="55"/>
      <c r="JPE44" s="55"/>
      <c r="JPF44" s="55"/>
      <c r="JPG44" s="55"/>
      <c r="JPH44" s="55"/>
      <c r="JPI44" s="55"/>
      <c r="JPJ44" s="55"/>
      <c r="JPK44" s="55"/>
      <c r="JPL44" s="55"/>
      <c r="JPM44" s="55"/>
      <c r="JPN44" s="55"/>
      <c r="JPO44" s="55"/>
      <c r="JPP44" s="55"/>
      <c r="JPQ44" s="55"/>
      <c r="JPR44" s="55"/>
      <c r="JPS44" s="55"/>
      <c r="JPT44" s="55"/>
      <c r="JPU44" s="55"/>
      <c r="JPV44" s="55"/>
      <c r="JPW44" s="55"/>
      <c r="JPX44" s="55"/>
      <c r="JPY44" s="55"/>
      <c r="JPZ44" s="55"/>
      <c r="JQA44" s="55"/>
      <c r="JQB44" s="55"/>
      <c r="JQC44" s="55"/>
      <c r="JQD44" s="55"/>
      <c r="JQE44" s="55"/>
      <c r="JQF44" s="55"/>
      <c r="JQG44" s="55"/>
      <c r="JQH44" s="55"/>
      <c r="JQI44" s="55"/>
      <c r="JQJ44" s="55"/>
      <c r="JQK44" s="55"/>
      <c r="JQL44" s="55"/>
      <c r="JQM44" s="55"/>
      <c r="JQN44" s="55"/>
      <c r="JQO44" s="55"/>
      <c r="JQP44" s="55"/>
      <c r="JQQ44" s="55"/>
      <c r="JQR44" s="55"/>
      <c r="JQS44" s="55"/>
      <c r="JQT44" s="55"/>
      <c r="JQU44" s="55"/>
      <c r="JQV44" s="55"/>
      <c r="JQW44" s="55"/>
      <c r="JQX44" s="55"/>
      <c r="JQY44" s="55"/>
      <c r="JQZ44" s="55"/>
      <c r="JRA44" s="55"/>
      <c r="JRB44" s="55"/>
      <c r="JRC44" s="55"/>
      <c r="JRD44" s="55"/>
      <c r="JRE44" s="55"/>
      <c r="JRF44" s="55"/>
      <c r="JRG44" s="55"/>
      <c r="JRH44" s="55"/>
      <c r="JRI44" s="55"/>
      <c r="JRJ44" s="55"/>
      <c r="JRK44" s="55"/>
      <c r="JRL44" s="55"/>
      <c r="JRM44" s="55"/>
      <c r="JRN44" s="55"/>
      <c r="JRO44" s="55"/>
      <c r="JRP44" s="55"/>
      <c r="JRQ44" s="55"/>
      <c r="JRR44" s="55"/>
      <c r="JRS44" s="55"/>
      <c r="JRT44" s="55"/>
      <c r="JRU44" s="55"/>
      <c r="JRV44" s="55"/>
      <c r="JRW44" s="55"/>
      <c r="JRX44" s="55"/>
      <c r="JRY44" s="55"/>
      <c r="JRZ44" s="55"/>
      <c r="JSA44" s="55"/>
      <c r="JSB44" s="55"/>
      <c r="JSC44" s="55"/>
      <c r="JSD44" s="55"/>
      <c r="JSE44" s="55"/>
      <c r="JSF44" s="55"/>
      <c r="JSG44" s="55"/>
      <c r="JSH44" s="55"/>
      <c r="JSI44" s="55"/>
      <c r="JSJ44" s="55"/>
      <c r="JSK44" s="55"/>
      <c r="JSL44" s="55"/>
      <c r="JSM44" s="55"/>
      <c r="JSN44" s="55"/>
      <c r="JSO44" s="55"/>
      <c r="JSP44" s="55"/>
      <c r="JSQ44" s="55"/>
      <c r="JSR44" s="55"/>
      <c r="JSS44" s="55"/>
      <c r="JST44" s="55"/>
      <c r="JSU44" s="55"/>
      <c r="JSV44" s="55"/>
      <c r="JSW44" s="55"/>
      <c r="JSX44" s="55"/>
      <c r="JSY44" s="55"/>
      <c r="JSZ44" s="55"/>
      <c r="JTA44" s="55"/>
      <c r="JTB44" s="55"/>
      <c r="JTC44" s="55"/>
      <c r="JTD44" s="55"/>
      <c r="JTE44" s="55"/>
      <c r="JTF44" s="55"/>
      <c r="JTG44" s="55"/>
      <c r="JTH44" s="55"/>
      <c r="JTI44" s="55"/>
      <c r="JTJ44" s="55"/>
      <c r="JTK44" s="55"/>
      <c r="JTL44" s="55"/>
      <c r="JTM44" s="55"/>
      <c r="JTN44" s="55"/>
      <c r="JTO44" s="55"/>
      <c r="JTP44" s="55"/>
      <c r="JTQ44" s="55"/>
      <c r="JTR44" s="55"/>
      <c r="JTS44" s="55"/>
      <c r="JTT44" s="55"/>
      <c r="JTU44" s="55"/>
      <c r="JTV44" s="55"/>
      <c r="JTW44" s="55"/>
      <c r="JTX44" s="55"/>
      <c r="JTY44" s="55"/>
      <c r="JTZ44" s="55"/>
      <c r="JUA44" s="55"/>
      <c r="JUB44" s="55"/>
      <c r="JUC44" s="55"/>
      <c r="JUD44" s="55"/>
      <c r="JUE44" s="55"/>
      <c r="JUF44" s="55"/>
      <c r="JUG44" s="55"/>
      <c r="JUH44" s="55"/>
      <c r="JUI44" s="55"/>
      <c r="JUJ44" s="55"/>
      <c r="JUK44" s="55"/>
      <c r="JUL44" s="55"/>
      <c r="JUM44" s="55"/>
      <c r="JUN44" s="55"/>
      <c r="JUO44" s="55"/>
      <c r="JUP44" s="55"/>
      <c r="JUQ44" s="55"/>
      <c r="JUR44" s="55"/>
      <c r="JUS44" s="55"/>
      <c r="JUT44" s="55"/>
      <c r="JUU44" s="55"/>
      <c r="JUV44" s="55"/>
      <c r="JUW44" s="55"/>
      <c r="JUX44" s="55"/>
      <c r="JUY44" s="55"/>
      <c r="JUZ44" s="55"/>
      <c r="JVA44" s="55"/>
      <c r="JVB44" s="55"/>
      <c r="JVC44" s="55"/>
      <c r="JVD44" s="55"/>
      <c r="JVE44" s="55"/>
      <c r="JVF44" s="55"/>
      <c r="JVG44" s="55"/>
      <c r="JVH44" s="55"/>
      <c r="JVI44" s="55"/>
      <c r="JVJ44" s="55"/>
      <c r="JVK44" s="55"/>
      <c r="JVL44" s="55"/>
      <c r="JVM44" s="55"/>
      <c r="JVN44" s="55"/>
      <c r="JVO44" s="55"/>
      <c r="JVP44" s="55"/>
      <c r="JVQ44" s="55"/>
      <c r="JVR44" s="55"/>
      <c r="JVS44" s="55"/>
      <c r="JVT44" s="55"/>
      <c r="JVU44" s="55"/>
      <c r="JVV44" s="55"/>
      <c r="JVW44" s="55"/>
      <c r="JVX44" s="55"/>
      <c r="JVY44" s="55"/>
      <c r="JVZ44" s="55"/>
      <c r="JWA44" s="55"/>
      <c r="JWB44" s="55"/>
      <c r="JWC44" s="55"/>
      <c r="JWD44" s="55"/>
      <c r="JWE44" s="55"/>
      <c r="JWF44" s="55"/>
      <c r="JWG44" s="55"/>
      <c r="JWH44" s="55"/>
      <c r="JWI44" s="55"/>
      <c r="JWJ44" s="55"/>
      <c r="JWK44" s="55"/>
      <c r="JWL44" s="55"/>
      <c r="JWM44" s="55"/>
      <c r="JWN44" s="55"/>
      <c r="JWO44" s="55"/>
      <c r="JWP44" s="55"/>
      <c r="JWQ44" s="55"/>
      <c r="JWR44" s="55"/>
      <c r="JWS44" s="55"/>
      <c r="JWT44" s="55"/>
      <c r="JWU44" s="55"/>
      <c r="JWV44" s="55"/>
      <c r="JWW44" s="55"/>
      <c r="JWX44" s="55"/>
      <c r="JWY44" s="55"/>
      <c r="JWZ44" s="55"/>
      <c r="JXA44" s="55"/>
      <c r="JXB44" s="55"/>
      <c r="JXC44" s="55"/>
      <c r="JXD44" s="55"/>
      <c r="JXE44" s="55"/>
      <c r="JXF44" s="55"/>
      <c r="JXG44" s="55"/>
      <c r="JXH44" s="55"/>
      <c r="JXI44" s="55"/>
      <c r="JXJ44" s="55"/>
      <c r="JXK44" s="55"/>
      <c r="JXL44" s="55"/>
      <c r="JXM44" s="55"/>
      <c r="JXN44" s="55"/>
      <c r="JXO44" s="55"/>
      <c r="JXP44" s="55"/>
      <c r="JXQ44" s="55"/>
      <c r="JXR44" s="55"/>
      <c r="JXS44" s="55"/>
      <c r="JXT44" s="55"/>
      <c r="JXU44" s="55"/>
      <c r="JXV44" s="55"/>
      <c r="JXW44" s="55"/>
      <c r="JXX44" s="55"/>
      <c r="JXY44" s="55"/>
      <c r="JXZ44" s="55"/>
      <c r="JYA44" s="55"/>
      <c r="JYB44" s="55"/>
      <c r="JYC44" s="55"/>
      <c r="JYD44" s="55"/>
      <c r="JYE44" s="55"/>
      <c r="JYF44" s="55"/>
      <c r="JYG44" s="55"/>
      <c r="JYH44" s="55"/>
      <c r="JYI44" s="55"/>
      <c r="JYJ44" s="55"/>
      <c r="JYK44" s="55"/>
      <c r="JYL44" s="55"/>
      <c r="JYM44" s="55"/>
      <c r="JYN44" s="55"/>
      <c r="JYO44" s="55"/>
      <c r="JYP44" s="55"/>
      <c r="JYQ44" s="55"/>
      <c r="JYR44" s="55"/>
      <c r="JYS44" s="55"/>
      <c r="JYT44" s="55"/>
      <c r="JYU44" s="55"/>
      <c r="JYV44" s="55"/>
      <c r="JYW44" s="55"/>
      <c r="JYX44" s="55"/>
      <c r="JYY44" s="55"/>
      <c r="JYZ44" s="55"/>
      <c r="JZA44" s="55"/>
      <c r="JZB44" s="55"/>
      <c r="JZC44" s="55"/>
      <c r="JZD44" s="55"/>
      <c r="JZE44" s="55"/>
      <c r="JZF44" s="55"/>
      <c r="JZG44" s="55"/>
      <c r="JZH44" s="55"/>
      <c r="JZI44" s="55"/>
      <c r="JZJ44" s="55"/>
      <c r="JZK44" s="55"/>
      <c r="JZL44" s="55"/>
      <c r="JZM44" s="55"/>
      <c r="JZN44" s="55"/>
      <c r="JZO44" s="55"/>
      <c r="JZP44" s="55"/>
      <c r="JZQ44" s="55"/>
      <c r="JZR44" s="55"/>
      <c r="JZS44" s="55"/>
      <c r="JZT44" s="55"/>
      <c r="JZU44" s="55"/>
      <c r="JZV44" s="55"/>
      <c r="JZW44" s="55"/>
      <c r="JZX44" s="55"/>
      <c r="JZY44" s="55"/>
      <c r="JZZ44" s="55"/>
      <c r="KAA44" s="55"/>
      <c r="KAB44" s="55"/>
      <c r="KAC44" s="55"/>
      <c r="KAD44" s="55"/>
      <c r="KAE44" s="55"/>
      <c r="KAF44" s="55"/>
      <c r="KAG44" s="55"/>
      <c r="KAH44" s="55"/>
      <c r="KAI44" s="55"/>
      <c r="KAJ44" s="55"/>
      <c r="KAK44" s="55"/>
      <c r="KAL44" s="55"/>
      <c r="KAM44" s="55"/>
      <c r="KAN44" s="55"/>
      <c r="KAO44" s="55"/>
      <c r="KAP44" s="55"/>
      <c r="KAQ44" s="55"/>
      <c r="KAR44" s="55"/>
      <c r="KAS44" s="55"/>
      <c r="KAT44" s="55"/>
      <c r="KAU44" s="55"/>
      <c r="KAV44" s="55"/>
      <c r="KAW44" s="55"/>
      <c r="KAX44" s="55"/>
      <c r="KAY44" s="55"/>
      <c r="KAZ44" s="55"/>
      <c r="KBA44" s="55"/>
      <c r="KBB44" s="55"/>
      <c r="KBC44" s="55"/>
      <c r="KBD44" s="55"/>
      <c r="KBE44" s="55"/>
      <c r="KBF44" s="55"/>
      <c r="KBG44" s="55"/>
      <c r="KBH44" s="55"/>
      <c r="KBI44" s="55"/>
      <c r="KBJ44" s="55"/>
      <c r="KBK44" s="55"/>
      <c r="KBL44" s="55"/>
      <c r="KBM44" s="55"/>
      <c r="KBN44" s="55"/>
      <c r="KBO44" s="55"/>
      <c r="KBP44" s="55"/>
      <c r="KBQ44" s="55"/>
      <c r="KBR44" s="55"/>
      <c r="KBS44" s="55"/>
      <c r="KBT44" s="55"/>
      <c r="KBU44" s="55"/>
      <c r="KBV44" s="55"/>
      <c r="KBW44" s="55"/>
      <c r="KBX44" s="55"/>
      <c r="KBY44" s="55"/>
      <c r="KBZ44" s="55"/>
      <c r="KCA44" s="55"/>
      <c r="KCB44" s="55"/>
      <c r="KCC44" s="55"/>
      <c r="KCD44" s="55"/>
      <c r="KCE44" s="55"/>
      <c r="KCF44" s="55"/>
      <c r="KCG44" s="55"/>
      <c r="KCH44" s="55"/>
      <c r="KCI44" s="55"/>
      <c r="KCJ44" s="55"/>
      <c r="KCK44" s="55"/>
      <c r="KCL44" s="55"/>
      <c r="KCM44" s="55"/>
      <c r="KCN44" s="55"/>
      <c r="KCO44" s="55"/>
      <c r="KCP44" s="55"/>
      <c r="KCQ44" s="55"/>
      <c r="KCR44" s="55"/>
      <c r="KCS44" s="55"/>
      <c r="KCT44" s="55"/>
      <c r="KCU44" s="55"/>
      <c r="KCV44" s="55"/>
      <c r="KCW44" s="55"/>
      <c r="KCX44" s="55"/>
      <c r="KCY44" s="55"/>
      <c r="KCZ44" s="55"/>
      <c r="KDA44" s="55"/>
      <c r="KDB44" s="55"/>
      <c r="KDC44" s="55"/>
      <c r="KDD44" s="55"/>
      <c r="KDE44" s="55"/>
      <c r="KDF44" s="55"/>
      <c r="KDG44" s="55"/>
      <c r="KDH44" s="55"/>
      <c r="KDI44" s="55"/>
      <c r="KDJ44" s="55"/>
      <c r="KDK44" s="55"/>
      <c r="KDL44" s="55"/>
      <c r="KDM44" s="55"/>
      <c r="KDN44" s="55"/>
      <c r="KDO44" s="55"/>
      <c r="KDP44" s="55"/>
      <c r="KDQ44" s="55"/>
      <c r="KDR44" s="55"/>
      <c r="KDS44" s="55"/>
      <c r="KDT44" s="55"/>
      <c r="KDU44" s="55"/>
      <c r="KDV44" s="55"/>
      <c r="KDW44" s="55"/>
      <c r="KDX44" s="55"/>
      <c r="KDY44" s="55"/>
      <c r="KDZ44" s="55"/>
      <c r="KEA44" s="55"/>
      <c r="KEB44" s="55"/>
      <c r="KEC44" s="55"/>
      <c r="KED44" s="55"/>
      <c r="KEE44" s="55"/>
      <c r="KEF44" s="55"/>
      <c r="KEG44" s="55"/>
      <c r="KEH44" s="55"/>
      <c r="KEI44" s="55"/>
      <c r="KEJ44" s="55"/>
      <c r="KEK44" s="55"/>
      <c r="KEL44" s="55"/>
      <c r="KEM44" s="55"/>
      <c r="KEN44" s="55"/>
      <c r="KEO44" s="55"/>
      <c r="KEP44" s="55"/>
      <c r="KEQ44" s="55"/>
      <c r="KER44" s="55"/>
      <c r="KES44" s="55"/>
      <c r="KET44" s="55"/>
      <c r="KEU44" s="55"/>
      <c r="KEV44" s="55"/>
      <c r="KEW44" s="55"/>
      <c r="KEX44" s="55"/>
      <c r="KEY44" s="55"/>
      <c r="KEZ44" s="55"/>
      <c r="KFA44" s="55"/>
      <c r="KFB44" s="55"/>
      <c r="KFC44" s="55"/>
      <c r="KFD44" s="55"/>
      <c r="KFE44" s="55"/>
      <c r="KFF44" s="55"/>
      <c r="KFG44" s="55"/>
      <c r="KFH44" s="55"/>
      <c r="KFI44" s="55"/>
      <c r="KFJ44" s="55"/>
      <c r="KFK44" s="55"/>
      <c r="KFL44" s="55"/>
      <c r="KFM44" s="55"/>
      <c r="KFN44" s="55"/>
      <c r="KFO44" s="55"/>
      <c r="KFP44" s="55"/>
      <c r="KFQ44" s="55"/>
      <c r="KFR44" s="55"/>
      <c r="KFS44" s="55"/>
      <c r="KFT44" s="55"/>
      <c r="KFU44" s="55"/>
      <c r="KFV44" s="55"/>
      <c r="KFW44" s="55"/>
      <c r="KFX44" s="55"/>
      <c r="KFY44" s="55"/>
      <c r="KFZ44" s="55"/>
      <c r="KGA44" s="55"/>
      <c r="KGB44" s="55"/>
      <c r="KGC44" s="55"/>
      <c r="KGD44" s="55"/>
      <c r="KGE44" s="55"/>
      <c r="KGF44" s="55"/>
      <c r="KGG44" s="55"/>
      <c r="KGH44" s="55"/>
      <c r="KGI44" s="55"/>
      <c r="KGJ44" s="55"/>
      <c r="KGK44" s="55"/>
      <c r="KGL44" s="55"/>
      <c r="KGM44" s="55"/>
      <c r="KGN44" s="55"/>
      <c r="KGO44" s="55"/>
      <c r="KGP44" s="55"/>
      <c r="KGQ44" s="55"/>
      <c r="KGR44" s="55"/>
      <c r="KGS44" s="55"/>
      <c r="KGT44" s="55"/>
      <c r="KGU44" s="55"/>
      <c r="KGV44" s="55"/>
      <c r="KGW44" s="55"/>
      <c r="KGX44" s="55"/>
      <c r="KGY44" s="55"/>
      <c r="KGZ44" s="55"/>
      <c r="KHA44" s="55"/>
      <c r="KHB44" s="55"/>
      <c r="KHC44" s="55"/>
      <c r="KHD44" s="55"/>
      <c r="KHE44" s="55"/>
      <c r="KHF44" s="55"/>
      <c r="KHG44" s="55"/>
      <c r="KHH44" s="55"/>
      <c r="KHI44" s="55"/>
      <c r="KHJ44" s="55"/>
      <c r="KHK44" s="55"/>
      <c r="KHL44" s="55"/>
      <c r="KHM44" s="55"/>
      <c r="KHN44" s="55"/>
      <c r="KHO44" s="55"/>
      <c r="KHP44" s="55"/>
      <c r="KHQ44" s="55"/>
      <c r="KHR44" s="55"/>
      <c r="KHS44" s="55"/>
      <c r="KHT44" s="55"/>
      <c r="KHU44" s="55"/>
      <c r="KHV44" s="55"/>
      <c r="KHW44" s="55"/>
      <c r="KHX44" s="55"/>
      <c r="KHY44" s="55"/>
      <c r="KHZ44" s="55"/>
      <c r="KIA44" s="55"/>
      <c r="KIB44" s="55"/>
      <c r="KIC44" s="55"/>
      <c r="KID44" s="55"/>
      <c r="KIE44" s="55"/>
      <c r="KIF44" s="55"/>
      <c r="KIG44" s="55"/>
      <c r="KIH44" s="55"/>
      <c r="KII44" s="55"/>
      <c r="KIJ44" s="55"/>
      <c r="KIK44" s="55"/>
      <c r="KIL44" s="55"/>
      <c r="KIM44" s="55"/>
      <c r="KIN44" s="55"/>
      <c r="KIO44" s="55"/>
      <c r="KIP44" s="55"/>
      <c r="KIQ44" s="55"/>
      <c r="KIR44" s="55"/>
      <c r="KIS44" s="55"/>
      <c r="KIT44" s="55"/>
      <c r="KIU44" s="55"/>
      <c r="KIV44" s="55"/>
      <c r="KIW44" s="55"/>
      <c r="KIX44" s="55"/>
      <c r="KIY44" s="55"/>
      <c r="KIZ44" s="55"/>
      <c r="KJA44" s="55"/>
      <c r="KJB44" s="55"/>
      <c r="KJC44" s="55"/>
      <c r="KJD44" s="55"/>
      <c r="KJE44" s="55"/>
      <c r="KJF44" s="55"/>
      <c r="KJG44" s="55"/>
      <c r="KJH44" s="55"/>
      <c r="KJI44" s="55"/>
      <c r="KJJ44" s="55"/>
      <c r="KJK44" s="55"/>
      <c r="KJL44" s="55"/>
      <c r="KJM44" s="55"/>
      <c r="KJN44" s="55"/>
      <c r="KJO44" s="55"/>
      <c r="KJP44" s="55"/>
      <c r="KJQ44" s="55"/>
      <c r="KJR44" s="55"/>
      <c r="KJS44" s="55"/>
      <c r="KJT44" s="55"/>
      <c r="KJU44" s="55"/>
      <c r="KJV44" s="55"/>
      <c r="KJW44" s="55"/>
      <c r="KJX44" s="55"/>
      <c r="KJY44" s="55"/>
      <c r="KJZ44" s="55"/>
      <c r="KKA44" s="55"/>
      <c r="KKB44" s="55"/>
      <c r="KKC44" s="55"/>
      <c r="KKD44" s="55"/>
      <c r="KKE44" s="55"/>
      <c r="KKF44" s="55"/>
      <c r="KKG44" s="55"/>
      <c r="KKH44" s="55"/>
      <c r="KKI44" s="55"/>
      <c r="KKJ44" s="55"/>
      <c r="KKK44" s="55"/>
      <c r="KKL44" s="55"/>
      <c r="KKM44" s="55"/>
      <c r="KKN44" s="55"/>
      <c r="KKO44" s="55"/>
      <c r="KKP44" s="55"/>
      <c r="KKQ44" s="55"/>
      <c r="KKR44" s="55"/>
      <c r="KKS44" s="55"/>
      <c r="KKT44" s="55"/>
      <c r="KKU44" s="55"/>
      <c r="KKV44" s="55"/>
      <c r="KKW44" s="55"/>
      <c r="KKX44" s="55"/>
      <c r="KKY44" s="55"/>
      <c r="KKZ44" s="55"/>
      <c r="KLA44" s="55"/>
      <c r="KLB44" s="55"/>
      <c r="KLC44" s="55"/>
      <c r="KLD44" s="55"/>
      <c r="KLE44" s="55"/>
      <c r="KLF44" s="55"/>
      <c r="KLG44" s="55"/>
      <c r="KLH44" s="55"/>
      <c r="KLI44" s="55"/>
      <c r="KLJ44" s="55"/>
      <c r="KLK44" s="55"/>
      <c r="KLL44" s="55"/>
      <c r="KLM44" s="55"/>
      <c r="KLN44" s="55"/>
      <c r="KLO44" s="55"/>
      <c r="KLP44" s="55"/>
      <c r="KLQ44" s="55"/>
      <c r="KLR44" s="55"/>
      <c r="KLS44" s="55"/>
      <c r="KLT44" s="55"/>
      <c r="KLU44" s="55"/>
      <c r="KLV44" s="55"/>
      <c r="KLW44" s="55"/>
      <c r="KLX44" s="55"/>
      <c r="KLY44" s="55"/>
      <c r="KLZ44" s="55"/>
      <c r="KMA44" s="55"/>
      <c r="KMB44" s="55"/>
      <c r="KMC44" s="55"/>
      <c r="KMD44" s="55"/>
      <c r="KME44" s="55"/>
      <c r="KMF44" s="55"/>
      <c r="KMG44" s="55"/>
      <c r="KMH44" s="55"/>
      <c r="KMI44" s="55"/>
      <c r="KMJ44" s="55"/>
      <c r="KMK44" s="55"/>
      <c r="KML44" s="55"/>
      <c r="KMM44" s="55"/>
      <c r="KMN44" s="55"/>
      <c r="KMO44" s="55"/>
      <c r="KMP44" s="55"/>
      <c r="KMQ44" s="55"/>
      <c r="KMR44" s="55"/>
      <c r="KMS44" s="55"/>
      <c r="KMT44" s="55"/>
      <c r="KMU44" s="55"/>
      <c r="KMV44" s="55"/>
      <c r="KMW44" s="55"/>
      <c r="KMX44" s="55"/>
      <c r="KMY44" s="55"/>
      <c r="KMZ44" s="55"/>
      <c r="KNA44" s="55"/>
      <c r="KNB44" s="55"/>
      <c r="KNC44" s="55"/>
      <c r="KND44" s="55"/>
      <c r="KNE44" s="55"/>
      <c r="KNF44" s="55"/>
      <c r="KNG44" s="55"/>
      <c r="KNH44" s="55"/>
      <c r="KNI44" s="55"/>
      <c r="KNJ44" s="55"/>
      <c r="KNK44" s="55"/>
      <c r="KNL44" s="55"/>
      <c r="KNM44" s="55"/>
      <c r="KNN44" s="55"/>
      <c r="KNO44" s="55"/>
      <c r="KNP44" s="55"/>
      <c r="KNQ44" s="55"/>
      <c r="KNR44" s="55"/>
      <c r="KNS44" s="55"/>
      <c r="KNT44" s="55"/>
      <c r="KNU44" s="55"/>
      <c r="KNV44" s="55"/>
      <c r="KNW44" s="55"/>
      <c r="KNX44" s="55"/>
      <c r="KNY44" s="55"/>
      <c r="KNZ44" s="55"/>
      <c r="KOA44" s="55"/>
      <c r="KOB44" s="55"/>
      <c r="KOC44" s="55"/>
      <c r="KOD44" s="55"/>
      <c r="KOE44" s="55"/>
      <c r="KOF44" s="55"/>
      <c r="KOG44" s="55"/>
      <c r="KOH44" s="55"/>
      <c r="KOI44" s="55"/>
      <c r="KOJ44" s="55"/>
      <c r="KOK44" s="55"/>
      <c r="KOL44" s="55"/>
      <c r="KOM44" s="55"/>
      <c r="KON44" s="55"/>
      <c r="KOO44" s="55"/>
      <c r="KOP44" s="55"/>
      <c r="KOQ44" s="55"/>
      <c r="KOR44" s="55"/>
      <c r="KOS44" s="55"/>
      <c r="KOT44" s="55"/>
      <c r="KOU44" s="55"/>
      <c r="KOV44" s="55"/>
      <c r="KOW44" s="55"/>
      <c r="KOX44" s="55"/>
      <c r="KOY44" s="55"/>
      <c r="KOZ44" s="55"/>
      <c r="KPA44" s="55"/>
      <c r="KPB44" s="55"/>
      <c r="KPC44" s="55"/>
      <c r="KPD44" s="55"/>
      <c r="KPE44" s="55"/>
      <c r="KPF44" s="55"/>
      <c r="KPG44" s="55"/>
      <c r="KPH44" s="55"/>
      <c r="KPI44" s="55"/>
      <c r="KPJ44" s="55"/>
      <c r="KPK44" s="55"/>
      <c r="KPL44" s="55"/>
      <c r="KPM44" s="55"/>
      <c r="KPN44" s="55"/>
      <c r="KPO44" s="55"/>
      <c r="KPP44" s="55"/>
      <c r="KPQ44" s="55"/>
      <c r="KPR44" s="55"/>
      <c r="KPS44" s="55"/>
      <c r="KPT44" s="55"/>
      <c r="KPU44" s="55"/>
      <c r="KPV44" s="55"/>
      <c r="KPW44" s="55"/>
      <c r="KPX44" s="55"/>
      <c r="KPY44" s="55"/>
      <c r="KPZ44" s="55"/>
      <c r="KQA44" s="55"/>
      <c r="KQB44" s="55"/>
      <c r="KQC44" s="55"/>
      <c r="KQD44" s="55"/>
      <c r="KQE44" s="55"/>
      <c r="KQF44" s="55"/>
      <c r="KQG44" s="55"/>
      <c r="KQH44" s="55"/>
      <c r="KQI44" s="55"/>
      <c r="KQJ44" s="55"/>
      <c r="KQK44" s="55"/>
      <c r="KQL44" s="55"/>
      <c r="KQM44" s="55"/>
      <c r="KQN44" s="55"/>
      <c r="KQO44" s="55"/>
      <c r="KQP44" s="55"/>
      <c r="KQQ44" s="55"/>
      <c r="KQR44" s="55"/>
      <c r="KQS44" s="55"/>
      <c r="KQT44" s="55"/>
      <c r="KQU44" s="55"/>
      <c r="KQV44" s="55"/>
      <c r="KQW44" s="55"/>
      <c r="KQX44" s="55"/>
      <c r="KQY44" s="55"/>
      <c r="KQZ44" s="55"/>
      <c r="KRA44" s="55"/>
      <c r="KRB44" s="55"/>
      <c r="KRC44" s="55"/>
      <c r="KRD44" s="55"/>
      <c r="KRE44" s="55"/>
      <c r="KRF44" s="55"/>
      <c r="KRG44" s="55"/>
      <c r="KRH44" s="55"/>
      <c r="KRI44" s="55"/>
      <c r="KRJ44" s="55"/>
      <c r="KRK44" s="55"/>
      <c r="KRL44" s="55"/>
      <c r="KRM44" s="55"/>
      <c r="KRN44" s="55"/>
      <c r="KRO44" s="55"/>
      <c r="KRP44" s="55"/>
      <c r="KRQ44" s="55"/>
      <c r="KRR44" s="55"/>
      <c r="KRS44" s="55"/>
      <c r="KRT44" s="55"/>
      <c r="KRU44" s="55"/>
      <c r="KRV44" s="55"/>
      <c r="KRW44" s="55"/>
      <c r="KRX44" s="55"/>
      <c r="KRY44" s="55"/>
      <c r="KRZ44" s="55"/>
      <c r="KSA44" s="55"/>
      <c r="KSB44" s="55"/>
      <c r="KSC44" s="55"/>
      <c r="KSD44" s="55"/>
      <c r="KSE44" s="55"/>
      <c r="KSF44" s="55"/>
      <c r="KSG44" s="55"/>
      <c r="KSH44" s="55"/>
      <c r="KSI44" s="55"/>
      <c r="KSJ44" s="55"/>
      <c r="KSK44" s="55"/>
      <c r="KSL44" s="55"/>
      <c r="KSM44" s="55"/>
      <c r="KSN44" s="55"/>
      <c r="KSO44" s="55"/>
      <c r="KSP44" s="55"/>
      <c r="KSQ44" s="55"/>
      <c r="KSR44" s="55"/>
      <c r="KSS44" s="55"/>
      <c r="KST44" s="55"/>
      <c r="KSU44" s="55"/>
      <c r="KSV44" s="55"/>
      <c r="KSW44" s="55"/>
      <c r="KSX44" s="55"/>
      <c r="KSY44" s="55"/>
      <c r="KSZ44" s="55"/>
      <c r="KTA44" s="55"/>
      <c r="KTB44" s="55"/>
      <c r="KTC44" s="55"/>
      <c r="KTD44" s="55"/>
      <c r="KTE44" s="55"/>
      <c r="KTF44" s="55"/>
      <c r="KTG44" s="55"/>
      <c r="KTH44" s="55"/>
      <c r="KTI44" s="55"/>
      <c r="KTJ44" s="55"/>
      <c r="KTK44" s="55"/>
      <c r="KTL44" s="55"/>
      <c r="KTM44" s="55"/>
      <c r="KTN44" s="55"/>
      <c r="KTO44" s="55"/>
      <c r="KTP44" s="55"/>
      <c r="KTQ44" s="55"/>
      <c r="KTR44" s="55"/>
      <c r="KTS44" s="55"/>
      <c r="KTT44" s="55"/>
      <c r="KTU44" s="55"/>
      <c r="KTV44" s="55"/>
      <c r="KTW44" s="55"/>
      <c r="KTX44" s="55"/>
      <c r="KTY44" s="55"/>
      <c r="KTZ44" s="55"/>
      <c r="KUA44" s="55"/>
      <c r="KUB44" s="55"/>
      <c r="KUC44" s="55"/>
      <c r="KUD44" s="55"/>
      <c r="KUE44" s="55"/>
      <c r="KUF44" s="55"/>
      <c r="KUG44" s="55"/>
      <c r="KUH44" s="55"/>
      <c r="KUI44" s="55"/>
      <c r="KUJ44" s="55"/>
      <c r="KUK44" s="55"/>
      <c r="KUL44" s="55"/>
      <c r="KUM44" s="55"/>
      <c r="KUN44" s="55"/>
      <c r="KUO44" s="55"/>
      <c r="KUP44" s="55"/>
      <c r="KUQ44" s="55"/>
      <c r="KUR44" s="55"/>
      <c r="KUS44" s="55"/>
      <c r="KUT44" s="55"/>
      <c r="KUU44" s="55"/>
      <c r="KUV44" s="55"/>
      <c r="KUW44" s="55"/>
      <c r="KUX44" s="55"/>
      <c r="KUY44" s="55"/>
      <c r="KUZ44" s="55"/>
      <c r="KVA44" s="55"/>
      <c r="KVB44" s="55"/>
      <c r="KVC44" s="55"/>
      <c r="KVD44" s="55"/>
      <c r="KVE44" s="55"/>
      <c r="KVF44" s="55"/>
      <c r="KVG44" s="55"/>
      <c r="KVH44" s="55"/>
      <c r="KVI44" s="55"/>
      <c r="KVJ44" s="55"/>
      <c r="KVK44" s="55"/>
      <c r="KVL44" s="55"/>
      <c r="KVM44" s="55"/>
      <c r="KVN44" s="55"/>
      <c r="KVO44" s="55"/>
      <c r="KVP44" s="55"/>
      <c r="KVQ44" s="55"/>
      <c r="KVR44" s="55"/>
      <c r="KVS44" s="55"/>
      <c r="KVT44" s="55"/>
      <c r="KVU44" s="55"/>
      <c r="KVV44" s="55"/>
      <c r="KVW44" s="55"/>
      <c r="KVX44" s="55"/>
      <c r="KVY44" s="55"/>
      <c r="KVZ44" s="55"/>
      <c r="KWA44" s="55"/>
      <c r="KWB44" s="55"/>
      <c r="KWC44" s="55"/>
      <c r="KWD44" s="55"/>
      <c r="KWE44" s="55"/>
      <c r="KWF44" s="55"/>
      <c r="KWG44" s="55"/>
      <c r="KWH44" s="55"/>
      <c r="KWI44" s="55"/>
      <c r="KWJ44" s="55"/>
      <c r="KWK44" s="55"/>
      <c r="KWL44" s="55"/>
      <c r="KWM44" s="55"/>
      <c r="KWN44" s="55"/>
      <c r="KWO44" s="55"/>
      <c r="KWP44" s="55"/>
      <c r="KWQ44" s="55"/>
      <c r="KWR44" s="55"/>
      <c r="KWS44" s="55"/>
      <c r="KWT44" s="55"/>
      <c r="KWU44" s="55"/>
      <c r="KWV44" s="55"/>
      <c r="KWW44" s="55"/>
      <c r="KWX44" s="55"/>
      <c r="KWY44" s="55"/>
      <c r="KWZ44" s="55"/>
      <c r="KXA44" s="55"/>
      <c r="KXB44" s="55"/>
      <c r="KXC44" s="55"/>
      <c r="KXD44" s="55"/>
      <c r="KXE44" s="55"/>
      <c r="KXF44" s="55"/>
      <c r="KXG44" s="55"/>
      <c r="KXH44" s="55"/>
      <c r="KXI44" s="55"/>
      <c r="KXJ44" s="55"/>
      <c r="KXK44" s="55"/>
      <c r="KXL44" s="55"/>
      <c r="KXM44" s="55"/>
      <c r="KXN44" s="55"/>
      <c r="KXO44" s="55"/>
      <c r="KXP44" s="55"/>
      <c r="KXQ44" s="55"/>
      <c r="KXR44" s="55"/>
      <c r="KXS44" s="55"/>
      <c r="KXT44" s="55"/>
      <c r="KXU44" s="55"/>
      <c r="KXV44" s="55"/>
      <c r="KXW44" s="55"/>
      <c r="KXX44" s="55"/>
      <c r="KXY44" s="55"/>
      <c r="KXZ44" s="55"/>
      <c r="KYA44" s="55"/>
      <c r="KYB44" s="55"/>
      <c r="KYC44" s="55"/>
      <c r="KYD44" s="55"/>
      <c r="KYE44" s="55"/>
      <c r="KYF44" s="55"/>
      <c r="KYG44" s="55"/>
      <c r="KYH44" s="55"/>
      <c r="KYI44" s="55"/>
      <c r="KYJ44" s="55"/>
      <c r="KYK44" s="55"/>
      <c r="KYL44" s="55"/>
      <c r="KYM44" s="55"/>
      <c r="KYN44" s="55"/>
      <c r="KYO44" s="55"/>
      <c r="KYP44" s="55"/>
      <c r="KYQ44" s="55"/>
      <c r="KYR44" s="55"/>
      <c r="KYS44" s="55"/>
      <c r="KYT44" s="55"/>
      <c r="KYU44" s="55"/>
      <c r="KYV44" s="55"/>
      <c r="KYW44" s="55"/>
      <c r="KYX44" s="55"/>
      <c r="KYY44" s="55"/>
      <c r="KYZ44" s="55"/>
      <c r="KZA44" s="55"/>
      <c r="KZB44" s="55"/>
      <c r="KZC44" s="55"/>
      <c r="KZD44" s="55"/>
      <c r="KZE44" s="55"/>
      <c r="KZF44" s="55"/>
      <c r="KZG44" s="55"/>
      <c r="KZH44" s="55"/>
      <c r="KZI44" s="55"/>
      <c r="KZJ44" s="55"/>
      <c r="KZK44" s="55"/>
      <c r="KZL44" s="55"/>
      <c r="KZM44" s="55"/>
      <c r="KZN44" s="55"/>
      <c r="KZO44" s="55"/>
      <c r="KZP44" s="55"/>
      <c r="KZQ44" s="55"/>
      <c r="KZR44" s="55"/>
      <c r="KZS44" s="55"/>
      <c r="KZT44" s="55"/>
      <c r="KZU44" s="55"/>
      <c r="KZV44" s="55"/>
      <c r="KZW44" s="55"/>
      <c r="KZX44" s="55"/>
      <c r="KZY44" s="55"/>
      <c r="KZZ44" s="55"/>
      <c r="LAA44" s="55"/>
      <c r="LAB44" s="55"/>
      <c r="LAC44" s="55"/>
      <c r="LAD44" s="55"/>
      <c r="LAE44" s="55"/>
      <c r="LAF44" s="55"/>
      <c r="LAG44" s="55"/>
      <c r="LAH44" s="55"/>
      <c r="LAI44" s="55"/>
      <c r="LAJ44" s="55"/>
      <c r="LAK44" s="55"/>
      <c r="LAL44" s="55"/>
      <c r="LAM44" s="55"/>
      <c r="LAN44" s="55"/>
      <c r="LAO44" s="55"/>
      <c r="LAP44" s="55"/>
      <c r="LAQ44" s="55"/>
      <c r="LAR44" s="55"/>
      <c r="LAS44" s="55"/>
      <c r="LAT44" s="55"/>
      <c r="LAU44" s="55"/>
      <c r="LAV44" s="55"/>
      <c r="LAW44" s="55"/>
      <c r="LAX44" s="55"/>
      <c r="LAY44" s="55"/>
      <c r="LAZ44" s="55"/>
      <c r="LBA44" s="55"/>
      <c r="LBB44" s="55"/>
      <c r="LBC44" s="55"/>
      <c r="LBD44" s="55"/>
      <c r="LBE44" s="55"/>
      <c r="LBF44" s="55"/>
      <c r="LBG44" s="55"/>
      <c r="LBH44" s="55"/>
      <c r="LBI44" s="55"/>
      <c r="LBJ44" s="55"/>
      <c r="LBK44" s="55"/>
      <c r="LBL44" s="55"/>
      <c r="LBM44" s="55"/>
      <c r="LBN44" s="55"/>
      <c r="LBO44" s="55"/>
      <c r="LBP44" s="55"/>
      <c r="LBQ44" s="55"/>
      <c r="LBR44" s="55"/>
      <c r="LBS44" s="55"/>
      <c r="LBT44" s="55"/>
      <c r="LBU44" s="55"/>
      <c r="LBV44" s="55"/>
      <c r="LBW44" s="55"/>
      <c r="LBX44" s="55"/>
      <c r="LBY44" s="55"/>
      <c r="LBZ44" s="55"/>
      <c r="LCA44" s="55"/>
      <c r="LCB44" s="55"/>
      <c r="LCC44" s="55"/>
      <c r="LCD44" s="55"/>
      <c r="LCE44" s="55"/>
      <c r="LCF44" s="55"/>
      <c r="LCG44" s="55"/>
      <c r="LCH44" s="55"/>
      <c r="LCI44" s="55"/>
      <c r="LCJ44" s="55"/>
      <c r="LCK44" s="55"/>
      <c r="LCL44" s="55"/>
      <c r="LCM44" s="55"/>
      <c r="LCN44" s="55"/>
      <c r="LCO44" s="55"/>
      <c r="LCP44" s="55"/>
      <c r="LCQ44" s="55"/>
      <c r="LCR44" s="55"/>
      <c r="LCS44" s="55"/>
      <c r="LCT44" s="55"/>
      <c r="LCU44" s="55"/>
      <c r="LCV44" s="55"/>
      <c r="LCW44" s="55"/>
      <c r="LCX44" s="55"/>
      <c r="LCY44" s="55"/>
      <c r="LCZ44" s="55"/>
      <c r="LDA44" s="55"/>
      <c r="LDB44" s="55"/>
      <c r="LDC44" s="55"/>
      <c r="LDD44" s="55"/>
      <c r="LDE44" s="55"/>
      <c r="LDF44" s="55"/>
      <c r="LDG44" s="55"/>
      <c r="LDH44" s="55"/>
      <c r="LDI44" s="55"/>
      <c r="LDJ44" s="55"/>
      <c r="LDK44" s="55"/>
      <c r="LDL44" s="55"/>
      <c r="LDM44" s="55"/>
      <c r="LDN44" s="55"/>
      <c r="LDO44" s="55"/>
      <c r="LDP44" s="55"/>
      <c r="LDQ44" s="55"/>
      <c r="LDR44" s="55"/>
      <c r="LDS44" s="55"/>
      <c r="LDT44" s="55"/>
      <c r="LDU44" s="55"/>
      <c r="LDV44" s="55"/>
      <c r="LDW44" s="55"/>
      <c r="LDX44" s="55"/>
      <c r="LDY44" s="55"/>
      <c r="LDZ44" s="55"/>
      <c r="LEA44" s="55"/>
      <c r="LEB44" s="55"/>
      <c r="LEC44" s="55"/>
      <c r="LED44" s="55"/>
      <c r="LEE44" s="55"/>
      <c r="LEF44" s="55"/>
      <c r="LEG44" s="55"/>
      <c r="LEH44" s="55"/>
      <c r="LEI44" s="55"/>
      <c r="LEJ44" s="55"/>
      <c r="LEK44" s="55"/>
      <c r="LEL44" s="55"/>
      <c r="LEM44" s="55"/>
      <c r="LEN44" s="55"/>
      <c r="LEO44" s="55"/>
      <c r="LEP44" s="55"/>
      <c r="LEQ44" s="55"/>
      <c r="LER44" s="55"/>
      <c r="LES44" s="55"/>
      <c r="LET44" s="55"/>
      <c r="LEU44" s="55"/>
      <c r="LEV44" s="55"/>
      <c r="LEW44" s="55"/>
      <c r="LEX44" s="55"/>
      <c r="LEY44" s="55"/>
      <c r="LEZ44" s="55"/>
      <c r="LFA44" s="55"/>
      <c r="LFB44" s="55"/>
      <c r="LFC44" s="55"/>
      <c r="LFD44" s="55"/>
      <c r="LFE44" s="55"/>
      <c r="LFF44" s="55"/>
      <c r="LFG44" s="55"/>
      <c r="LFH44" s="55"/>
      <c r="LFI44" s="55"/>
      <c r="LFJ44" s="55"/>
      <c r="LFK44" s="55"/>
      <c r="LFL44" s="55"/>
      <c r="LFM44" s="55"/>
      <c r="LFN44" s="55"/>
      <c r="LFO44" s="55"/>
      <c r="LFP44" s="55"/>
      <c r="LFQ44" s="55"/>
      <c r="LFR44" s="55"/>
      <c r="LFS44" s="55"/>
      <c r="LFT44" s="55"/>
      <c r="LFU44" s="55"/>
      <c r="LFV44" s="55"/>
      <c r="LFW44" s="55"/>
      <c r="LFX44" s="55"/>
      <c r="LFY44" s="55"/>
      <c r="LFZ44" s="55"/>
      <c r="LGA44" s="55"/>
      <c r="LGB44" s="55"/>
      <c r="LGC44" s="55"/>
      <c r="LGD44" s="55"/>
      <c r="LGE44" s="55"/>
      <c r="LGF44" s="55"/>
      <c r="LGG44" s="55"/>
      <c r="LGH44" s="55"/>
      <c r="LGI44" s="55"/>
      <c r="LGJ44" s="55"/>
      <c r="LGK44" s="55"/>
      <c r="LGL44" s="55"/>
      <c r="LGM44" s="55"/>
      <c r="LGN44" s="55"/>
      <c r="LGO44" s="55"/>
      <c r="LGP44" s="55"/>
      <c r="LGQ44" s="55"/>
      <c r="LGR44" s="55"/>
      <c r="LGS44" s="55"/>
      <c r="LGT44" s="55"/>
      <c r="LGU44" s="55"/>
      <c r="LGV44" s="55"/>
      <c r="LGW44" s="55"/>
      <c r="LGX44" s="55"/>
      <c r="LGY44" s="55"/>
      <c r="LGZ44" s="55"/>
      <c r="LHA44" s="55"/>
      <c r="LHB44" s="55"/>
      <c r="LHC44" s="55"/>
      <c r="LHD44" s="55"/>
      <c r="LHE44" s="55"/>
      <c r="LHF44" s="55"/>
      <c r="LHG44" s="55"/>
      <c r="LHH44" s="55"/>
      <c r="LHI44" s="55"/>
      <c r="LHJ44" s="55"/>
      <c r="LHK44" s="55"/>
      <c r="LHL44" s="55"/>
      <c r="LHM44" s="55"/>
      <c r="LHN44" s="55"/>
      <c r="LHO44" s="55"/>
      <c r="LHP44" s="55"/>
      <c r="LHQ44" s="55"/>
      <c r="LHR44" s="55"/>
      <c r="LHS44" s="55"/>
      <c r="LHT44" s="55"/>
      <c r="LHU44" s="55"/>
      <c r="LHV44" s="55"/>
      <c r="LHW44" s="55"/>
      <c r="LHX44" s="55"/>
      <c r="LHY44" s="55"/>
      <c r="LHZ44" s="55"/>
      <c r="LIA44" s="55"/>
      <c r="LIB44" s="55"/>
      <c r="LIC44" s="55"/>
      <c r="LID44" s="55"/>
      <c r="LIE44" s="55"/>
      <c r="LIF44" s="55"/>
      <c r="LIG44" s="55"/>
      <c r="LIH44" s="55"/>
      <c r="LII44" s="55"/>
      <c r="LIJ44" s="55"/>
      <c r="LIK44" s="55"/>
      <c r="LIL44" s="55"/>
      <c r="LIM44" s="55"/>
      <c r="LIN44" s="55"/>
      <c r="LIO44" s="55"/>
      <c r="LIP44" s="55"/>
      <c r="LIQ44" s="55"/>
      <c r="LIR44" s="55"/>
      <c r="LIS44" s="55"/>
      <c r="LIT44" s="55"/>
      <c r="LIU44" s="55"/>
      <c r="LIV44" s="55"/>
      <c r="LIW44" s="55"/>
      <c r="LIX44" s="55"/>
      <c r="LIY44" s="55"/>
      <c r="LIZ44" s="55"/>
      <c r="LJA44" s="55"/>
      <c r="LJB44" s="55"/>
      <c r="LJC44" s="55"/>
      <c r="LJD44" s="55"/>
      <c r="LJE44" s="55"/>
      <c r="LJF44" s="55"/>
      <c r="LJG44" s="55"/>
      <c r="LJH44" s="55"/>
      <c r="LJI44" s="55"/>
      <c r="LJJ44" s="55"/>
      <c r="LJK44" s="55"/>
      <c r="LJL44" s="55"/>
      <c r="LJM44" s="55"/>
      <c r="LJN44" s="55"/>
      <c r="LJO44" s="55"/>
      <c r="LJP44" s="55"/>
      <c r="LJQ44" s="55"/>
      <c r="LJR44" s="55"/>
      <c r="LJS44" s="55"/>
      <c r="LJT44" s="55"/>
      <c r="LJU44" s="55"/>
      <c r="LJV44" s="55"/>
      <c r="LJW44" s="55"/>
      <c r="LJX44" s="55"/>
      <c r="LJY44" s="55"/>
      <c r="LJZ44" s="55"/>
      <c r="LKA44" s="55"/>
      <c r="LKB44" s="55"/>
      <c r="LKC44" s="55"/>
      <c r="LKD44" s="55"/>
      <c r="LKE44" s="55"/>
      <c r="LKF44" s="55"/>
      <c r="LKG44" s="55"/>
      <c r="LKH44" s="55"/>
      <c r="LKI44" s="55"/>
      <c r="LKJ44" s="55"/>
      <c r="LKK44" s="55"/>
      <c r="LKL44" s="55"/>
      <c r="LKM44" s="55"/>
      <c r="LKN44" s="55"/>
      <c r="LKO44" s="55"/>
      <c r="LKP44" s="55"/>
      <c r="LKQ44" s="55"/>
      <c r="LKR44" s="55"/>
      <c r="LKS44" s="55"/>
      <c r="LKT44" s="55"/>
      <c r="LKU44" s="55"/>
      <c r="LKV44" s="55"/>
      <c r="LKW44" s="55"/>
      <c r="LKX44" s="55"/>
      <c r="LKY44" s="55"/>
      <c r="LKZ44" s="55"/>
      <c r="LLA44" s="55"/>
      <c r="LLB44" s="55"/>
      <c r="LLC44" s="55"/>
      <c r="LLD44" s="55"/>
      <c r="LLE44" s="55"/>
      <c r="LLF44" s="55"/>
      <c r="LLG44" s="55"/>
      <c r="LLH44" s="55"/>
      <c r="LLI44" s="55"/>
      <c r="LLJ44" s="55"/>
      <c r="LLK44" s="55"/>
      <c r="LLL44" s="55"/>
      <c r="LLM44" s="55"/>
      <c r="LLN44" s="55"/>
      <c r="LLO44" s="55"/>
      <c r="LLP44" s="55"/>
      <c r="LLQ44" s="55"/>
      <c r="LLR44" s="55"/>
      <c r="LLS44" s="55"/>
      <c r="LLT44" s="55"/>
      <c r="LLU44" s="55"/>
      <c r="LLV44" s="55"/>
      <c r="LLW44" s="55"/>
      <c r="LLX44" s="55"/>
      <c r="LLY44" s="55"/>
      <c r="LLZ44" s="55"/>
      <c r="LMA44" s="55"/>
      <c r="LMB44" s="55"/>
      <c r="LMC44" s="55"/>
      <c r="LMD44" s="55"/>
      <c r="LME44" s="55"/>
      <c r="LMF44" s="55"/>
      <c r="LMG44" s="55"/>
      <c r="LMH44" s="55"/>
      <c r="LMI44" s="55"/>
      <c r="LMJ44" s="55"/>
      <c r="LMK44" s="55"/>
      <c r="LML44" s="55"/>
      <c r="LMM44" s="55"/>
      <c r="LMN44" s="55"/>
      <c r="LMO44" s="55"/>
      <c r="LMP44" s="55"/>
      <c r="LMQ44" s="55"/>
      <c r="LMR44" s="55"/>
      <c r="LMS44" s="55"/>
      <c r="LMT44" s="55"/>
      <c r="LMU44" s="55"/>
      <c r="LMV44" s="55"/>
      <c r="LMW44" s="55"/>
      <c r="LMX44" s="55"/>
      <c r="LMY44" s="55"/>
      <c r="LMZ44" s="55"/>
      <c r="LNA44" s="55"/>
      <c r="LNB44" s="55"/>
      <c r="LNC44" s="55"/>
      <c r="LND44" s="55"/>
      <c r="LNE44" s="55"/>
      <c r="LNF44" s="55"/>
      <c r="LNG44" s="55"/>
      <c r="LNH44" s="55"/>
      <c r="LNI44" s="55"/>
      <c r="LNJ44" s="55"/>
      <c r="LNK44" s="55"/>
      <c r="LNL44" s="55"/>
      <c r="LNM44" s="55"/>
      <c r="LNN44" s="55"/>
      <c r="LNO44" s="55"/>
      <c r="LNP44" s="55"/>
      <c r="LNQ44" s="55"/>
      <c r="LNR44" s="55"/>
      <c r="LNS44" s="55"/>
      <c r="LNT44" s="55"/>
      <c r="LNU44" s="55"/>
      <c r="LNV44" s="55"/>
      <c r="LNW44" s="55"/>
      <c r="LNX44" s="55"/>
      <c r="LNY44" s="55"/>
      <c r="LNZ44" s="55"/>
      <c r="LOA44" s="55"/>
      <c r="LOB44" s="55"/>
      <c r="LOC44" s="55"/>
      <c r="LOD44" s="55"/>
      <c r="LOE44" s="55"/>
      <c r="LOF44" s="55"/>
      <c r="LOG44" s="55"/>
      <c r="LOH44" s="55"/>
      <c r="LOI44" s="55"/>
      <c r="LOJ44" s="55"/>
      <c r="LOK44" s="55"/>
      <c r="LOL44" s="55"/>
      <c r="LOM44" s="55"/>
      <c r="LON44" s="55"/>
      <c r="LOO44" s="55"/>
      <c r="LOP44" s="55"/>
      <c r="LOQ44" s="55"/>
      <c r="LOR44" s="55"/>
      <c r="LOS44" s="55"/>
      <c r="LOT44" s="55"/>
      <c r="LOU44" s="55"/>
      <c r="LOV44" s="55"/>
      <c r="LOW44" s="55"/>
      <c r="LOX44" s="55"/>
      <c r="LOY44" s="55"/>
      <c r="LOZ44" s="55"/>
      <c r="LPA44" s="55"/>
      <c r="LPB44" s="55"/>
      <c r="LPC44" s="55"/>
      <c r="LPD44" s="55"/>
      <c r="LPE44" s="55"/>
      <c r="LPF44" s="55"/>
      <c r="LPG44" s="55"/>
      <c r="LPH44" s="55"/>
      <c r="LPI44" s="55"/>
      <c r="LPJ44" s="55"/>
      <c r="LPK44" s="55"/>
      <c r="LPL44" s="55"/>
      <c r="LPM44" s="55"/>
      <c r="LPN44" s="55"/>
      <c r="LPO44" s="55"/>
      <c r="LPP44" s="55"/>
      <c r="LPQ44" s="55"/>
      <c r="LPR44" s="55"/>
      <c r="LPS44" s="55"/>
      <c r="LPT44" s="55"/>
      <c r="LPU44" s="55"/>
      <c r="LPV44" s="55"/>
      <c r="LPW44" s="55"/>
      <c r="LPX44" s="55"/>
      <c r="LPY44" s="55"/>
      <c r="LPZ44" s="55"/>
      <c r="LQA44" s="55"/>
      <c r="LQB44" s="55"/>
      <c r="LQC44" s="55"/>
      <c r="LQD44" s="55"/>
      <c r="LQE44" s="55"/>
      <c r="LQF44" s="55"/>
      <c r="LQG44" s="55"/>
      <c r="LQH44" s="55"/>
      <c r="LQI44" s="55"/>
      <c r="LQJ44" s="55"/>
      <c r="LQK44" s="55"/>
      <c r="LQL44" s="55"/>
      <c r="LQM44" s="55"/>
      <c r="LQN44" s="55"/>
      <c r="LQO44" s="55"/>
      <c r="LQP44" s="55"/>
      <c r="LQQ44" s="55"/>
      <c r="LQR44" s="55"/>
      <c r="LQS44" s="55"/>
      <c r="LQT44" s="55"/>
      <c r="LQU44" s="55"/>
      <c r="LQV44" s="55"/>
      <c r="LQW44" s="55"/>
      <c r="LQX44" s="55"/>
      <c r="LQY44" s="55"/>
      <c r="LQZ44" s="55"/>
      <c r="LRA44" s="55"/>
      <c r="LRB44" s="55"/>
      <c r="LRC44" s="55"/>
      <c r="LRD44" s="55"/>
      <c r="LRE44" s="55"/>
      <c r="LRF44" s="55"/>
      <c r="LRG44" s="55"/>
      <c r="LRH44" s="55"/>
      <c r="LRI44" s="55"/>
      <c r="LRJ44" s="55"/>
      <c r="LRK44" s="55"/>
      <c r="LRL44" s="55"/>
      <c r="LRM44" s="55"/>
      <c r="LRN44" s="55"/>
      <c r="LRO44" s="55"/>
      <c r="LRP44" s="55"/>
      <c r="LRQ44" s="55"/>
      <c r="LRR44" s="55"/>
      <c r="LRS44" s="55"/>
      <c r="LRT44" s="55"/>
      <c r="LRU44" s="55"/>
      <c r="LRV44" s="55"/>
      <c r="LRW44" s="55"/>
      <c r="LRX44" s="55"/>
      <c r="LRY44" s="55"/>
      <c r="LRZ44" s="55"/>
      <c r="LSA44" s="55"/>
      <c r="LSB44" s="55"/>
      <c r="LSC44" s="55"/>
      <c r="LSD44" s="55"/>
      <c r="LSE44" s="55"/>
      <c r="LSF44" s="55"/>
      <c r="LSG44" s="55"/>
      <c r="LSH44" s="55"/>
      <c r="LSI44" s="55"/>
      <c r="LSJ44" s="55"/>
      <c r="LSK44" s="55"/>
      <c r="LSL44" s="55"/>
      <c r="LSM44" s="55"/>
      <c r="LSN44" s="55"/>
      <c r="LSO44" s="55"/>
      <c r="LSP44" s="55"/>
      <c r="LSQ44" s="55"/>
      <c r="LSR44" s="55"/>
      <c r="LSS44" s="55"/>
      <c r="LST44" s="55"/>
      <c r="LSU44" s="55"/>
      <c r="LSV44" s="55"/>
      <c r="LSW44" s="55"/>
      <c r="LSX44" s="55"/>
      <c r="LSY44" s="55"/>
      <c r="LSZ44" s="55"/>
      <c r="LTA44" s="55"/>
      <c r="LTB44" s="55"/>
      <c r="LTC44" s="55"/>
      <c r="LTD44" s="55"/>
      <c r="LTE44" s="55"/>
      <c r="LTF44" s="55"/>
      <c r="LTG44" s="55"/>
      <c r="LTH44" s="55"/>
      <c r="LTI44" s="55"/>
      <c r="LTJ44" s="55"/>
      <c r="LTK44" s="55"/>
      <c r="LTL44" s="55"/>
      <c r="LTM44" s="55"/>
      <c r="LTN44" s="55"/>
      <c r="LTO44" s="55"/>
      <c r="LTP44" s="55"/>
      <c r="LTQ44" s="55"/>
      <c r="LTR44" s="55"/>
      <c r="LTS44" s="55"/>
      <c r="LTT44" s="55"/>
      <c r="LTU44" s="55"/>
      <c r="LTV44" s="55"/>
      <c r="LTW44" s="55"/>
      <c r="LTX44" s="55"/>
      <c r="LTY44" s="55"/>
      <c r="LTZ44" s="55"/>
      <c r="LUA44" s="55"/>
      <c r="LUB44" s="55"/>
      <c r="LUC44" s="55"/>
      <c r="LUD44" s="55"/>
      <c r="LUE44" s="55"/>
      <c r="LUF44" s="55"/>
      <c r="LUG44" s="55"/>
      <c r="LUH44" s="55"/>
      <c r="LUI44" s="55"/>
      <c r="LUJ44" s="55"/>
      <c r="LUK44" s="55"/>
      <c r="LUL44" s="55"/>
      <c r="LUM44" s="55"/>
      <c r="LUN44" s="55"/>
      <c r="LUO44" s="55"/>
      <c r="LUP44" s="55"/>
      <c r="LUQ44" s="55"/>
      <c r="LUR44" s="55"/>
      <c r="LUS44" s="55"/>
      <c r="LUT44" s="55"/>
      <c r="LUU44" s="55"/>
      <c r="LUV44" s="55"/>
      <c r="LUW44" s="55"/>
      <c r="LUX44" s="55"/>
      <c r="LUY44" s="55"/>
      <c r="LUZ44" s="55"/>
      <c r="LVA44" s="55"/>
      <c r="LVB44" s="55"/>
      <c r="LVC44" s="55"/>
      <c r="LVD44" s="55"/>
      <c r="LVE44" s="55"/>
      <c r="LVF44" s="55"/>
      <c r="LVG44" s="55"/>
      <c r="LVH44" s="55"/>
      <c r="LVI44" s="55"/>
      <c r="LVJ44" s="55"/>
      <c r="LVK44" s="55"/>
      <c r="LVL44" s="55"/>
      <c r="LVM44" s="55"/>
      <c r="LVN44" s="55"/>
      <c r="LVO44" s="55"/>
      <c r="LVP44" s="55"/>
      <c r="LVQ44" s="55"/>
      <c r="LVR44" s="55"/>
      <c r="LVS44" s="55"/>
      <c r="LVT44" s="55"/>
      <c r="LVU44" s="55"/>
      <c r="LVV44" s="55"/>
      <c r="LVW44" s="55"/>
      <c r="LVX44" s="55"/>
      <c r="LVY44" s="55"/>
      <c r="LVZ44" s="55"/>
      <c r="LWA44" s="55"/>
      <c r="LWB44" s="55"/>
      <c r="LWC44" s="55"/>
      <c r="LWD44" s="55"/>
      <c r="LWE44" s="55"/>
      <c r="LWF44" s="55"/>
      <c r="LWG44" s="55"/>
      <c r="LWH44" s="55"/>
      <c r="LWI44" s="55"/>
      <c r="LWJ44" s="55"/>
      <c r="LWK44" s="55"/>
      <c r="LWL44" s="55"/>
      <c r="LWM44" s="55"/>
      <c r="LWN44" s="55"/>
      <c r="LWO44" s="55"/>
      <c r="LWP44" s="55"/>
      <c r="LWQ44" s="55"/>
      <c r="LWR44" s="55"/>
      <c r="LWS44" s="55"/>
      <c r="LWT44" s="55"/>
      <c r="LWU44" s="55"/>
      <c r="LWV44" s="55"/>
      <c r="LWW44" s="55"/>
      <c r="LWX44" s="55"/>
      <c r="LWY44" s="55"/>
      <c r="LWZ44" s="55"/>
      <c r="LXA44" s="55"/>
      <c r="LXB44" s="55"/>
      <c r="LXC44" s="55"/>
      <c r="LXD44" s="55"/>
      <c r="LXE44" s="55"/>
      <c r="LXF44" s="55"/>
      <c r="LXG44" s="55"/>
      <c r="LXH44" s="55"/>
      <c r="LXI44" s="55"/>
      <c r="LXJ44" s="55"/>
      <c r="LXK44" s="55"/>
      <c r="LXL44" s="55"/>
      <c r="LXM44" s="55"/>
      <c r="LXN44" s="55"/>
      <c r="LXO44" s="55"/>
      <c r="LXP44" s="55"/>
      <c r="LXQ44" s="55"/>
      <c r="LXR44" s="55"/>
      <c r="LXS44" s="55"/>
      <c r="LXT44" s="55"/>
      <c r="LXU44" s="55"/>
      <c r="LXV44" s="55"/>
      <c r="LXW44" s="55"/>
      <c r="LXX44" s="55"/>
      <c r="LXY44" s="55"/>
      <c r="LXZ44" s="55"/>
      <c r="LYA44" s="55"/>
      <c r="LYB44" s="55"/>
      <c r="LYC44" s="55"/>
      <c r="LYD44" s="55"/>
      <c r="LYE44" s="55"/>
      <c r="LYF44" s="55"/>
      <c r="LYG44" s="55"/>
      <c r="LYH44" s="55"/>
      <c r="LYI44" s="55"/>
      <c r="LYJ44" s="55"/>
      <c r="LYK44" s="55"/>
      <c r="LYL44" s="55"/>
      <c r="LYM44" s="55"/>
      <c r="LYN44" s="55"/>
      <c r="LYO44" s="55"/>
      <c r="LYP44" s="55"/>
      <c r="LYQ44" s="55"/>
      <c r="LYR44" s="55"/>
      <c r="LYS44" s="55"/>
      <c r="LYT44" s="55"/>
      <c r="LYU44" s="55"/>
      <c r="LYV44" s="55"/>
      <c r="LYW44" s="55"/>
      <c r="LYX44" s="55"/>
      <c r="LYY44" s="55"/>
      <c r="LYZ44" s="55"/>
      <c r="LZA44" s="55"/>
      <c r="LZB44" s="55"/>
      <c r="LZC44" s="55"/>
      <c r="LZD44" s="55"/>
      <c r="LZE44" s="55"/>
      <c r="LZF44" s="55"/>
      <c r="LZG44" s="55"/>
      <c r="LZH44" s="55"/>
      <c r="LZI44" s="55"/>
      <c r="LZJ44" s="55"/>
      <c r="LZK44" s="55"/>
      <c r="LZL44" s="55"/>
      <c r="LZM44" s="55"/>
      <c r="LZN44" s="55"/>
      <c r="LZO44" s="55"/>
      <c r="LZP44" s="55"/>
      <c r="LZQ44" s="55"/>
      <c r="LZR44" s="55"/>
      <c r="LZS44" s="55"/>
      <c r="LZT44" s="55"/>
      <c r="LZU44" s="55"/>
      <c r="LZV44" s="55"/>
      <c r="LZW44" s="55"/>
      <c r="LZX44" s="55"/>
      <c r="LZY44" s="55"/>
      <c r="LZZ44" s="55"/>
      <c r="MAA44" s="55"/>
      <c r="MAB44" s="55"/>
      <c r="MAC44" s="55"/>
      <c r="MAD44" s="55"/>
      <c r="MAE44" s="55"/>
      <c r="MAF44" s="55"/>
      <c r="MAG44" s="55"/>
      <c r="MAH44" s="55"/>
      <c r="MAI44" s="55"/>
      <c r="MAJ44" s="55"/>
      <c r="MAK44" s="55"/>
      <c r="MAL44" s="55"/>
      <c r="MAM44" s="55"/>
      <c r="MAN44" s="55"/>
      <c r="MAO44" s="55"/>
      <c r="MAP44" s="55"/>
      <c r="MAQ44" s="55"/>
      <c r="MAR44" s="55"/>
      <c r="MAS44" s="55"/>
      <c r="MAT44" s="55"/>
      <c r="MAU44" s="55"/>
      <c r="MAV44" s="55"/>
      <c r="MAW44" s="55"/>
      <c r="MAX44" s="55"/>
      <c r="MAY44" s="55"/>
      <c r="MAZ44" s="55"/>
      <c r="MBA44" s="55"/>
      <c r="MBB44" s="55"/>
      <c r="MBC44" s="55"/>
      <c r="MBD44" s="55"/>
      <c r="MBE44" s="55"/>
      <c r="MBF44" s="55"/>
      <c r="MBG44" s="55"/>
      <c r="MBH44" s="55"/>
      <c r="MBI44" s="55"/>
      <c r="MBJ44" s="55"/>
      <c r="MBK44" s="55"/>
      <c r="MBL44" s="55"/>
      <c r="MBM44" s="55"/>
      <c r="MBN44" s="55"/>
      <c r="MBO44" s="55"/>
      <c r="MBP44" s="55"/>
      <c r="MBQ44" s="55"/>
      <c r="MBR44" s="55"/>
      <c r="MBS44" s="55"/>
      <c r="MBT44" s="55"/>
      <c r="MBU44" s="55"/>
      <c r="MBV44" s="55"/>
      <c r="MBW44" s="55"/>
      <c r="MBX44" s="55"/>
      <c r="MBY44" s="55"/>
      <c r="MBZ44" s="55"/>
      <c r="MCA44" s="55"/>
      <c r="MCB44" s="55"/>
      <c r="MCC44" s="55"/>
      <c r="MCD44" s="55"/>
      <c r="MCE44" s="55"/>
      <c r="MCF44" s="55"/>
      <c r="MCG44" s="55"/>
      <c r="MCH44" s="55"/>
      <c r="MCI44" s="55"/>
      <c r="MCJ44" s="55"/>
      <c r="MCK44" s="55"/>
      <c r="MCL44" s="55"/>
      <c r="MCM44" s="55"/>
      <c r="MCN44" s="55"/>
      <c r="MCO44" s="55"/>
      <c r="MCP44" s="55"/>
      <c r="MCQ44" s="55"/>
      <c r="MCR44" s="55"/>
      <c r="MCS44" s="55"/>
      <c r="MCT44" s="55"/>
      <c r="MCU44" s="55"/>
      <c r="MCV44" s="55"/>
      <c r="MCW44" s="55"/>
      <c r="MCX44" s="55"/>
      <c r="MCY44" s="55"/>
      <c r="MCZ44" s="55"/>
      <c r="MDA44" s="55"/>
      <c r="MDB44" s="55"/>
      <c r="MDC44" s="55"/>
      <c r="MDD44" s="55"/>
      <c r="MDE44" s="55"/>
      <c r="MDF44" s="55"/>
      <c r="MDG44" s="55"/>
      <c r="MDH44" s="55"/>
      <c r="MDI44" s="55"/>
      <c r="MDJ44" s="55"/>
      <c r="MDK44" s="55"/>
      <c r="MDL44" s="55"/>
      <c r="MDM44" s="55"/>
      <c r="MDN44" s="55"/>
      <c r="MDO44" s="55"/>
      <c r="MDP44" s="55"/>
      <c r="MDQ44" s="55"/>
      <c r="MDR44" s="55"/>
      <c r="MDS44" s="55"/>
      <c r="MDT44" s="55"/>
      <c r="MDU44" s="55"/>
      <c r="MDV44" s="55"/>
      <c r="MDW44" s="55"/>
      <c r="MDX44" s="55"/>
      <c r="MDY44" s="55"/>
      <c r="MDZ44" s="55"/>
      <c r="MEA44" s="55"/>
      <c r="MEB44" s="55"/>
      <c r="MEC44" s="55"/>
      <c r="MED44" s="55"/>
      <c r="MEE44" s="55"/>
      <c r="MEF44" s="55"/>
      <c r="MEG44" s="55"/>
      <c r="MEH44" s="55"/>
      <c r="MEI44" s="55"/>
      <c r="MEJ44" s="55"/>
      <c r="MEK44" s="55"/>
      <c r="MEL44" s="55"/>
      <c r="MEM44" s="55"/>
      <c r="MEN44" s="55"/>
      <c r="MEO44" s="55"/>
      <c r="MEP44" s="55"/>
      <c r="MEQ44" s="55"/>
      <c r="MER44" s="55"/>
      <c r="MES44" s="55"/>
      <c r="MET44" s="55"/>
      <c r="MEU44" s="55"/>
      <c r="MEV44" s="55"/>
      <c r="MEW44" s="55"/>
      <c r="MEX44" s="55"/>
      <c r="MEY44" s="55"/>
      <c r="MEZ44" s="55"/>
      <c r="MFA44" s="55"/>
      <c r="MFB44" s="55"/>
      <c r="MFC44" s="55"/>
      <c r="MFD44" s="55"/>
      <c r="MFE44" s="55"/>
      <c r="MFF44" s="55"/>
      <c r="MFG44" s="55"/>
      <c r="MFH44" s="55"/>
      <c r="MFI44" s="55"/>
      <c r="MFJ44" s="55"/>
      <c r="MFK44" s="55"/>
      <c r="MFL44" s="55"/>
      <c r="MFM44" s="55"/>
      <c r="MFN44" s="55"/>
      <c r="MFO44" s="55"/>
      <c r="MFP44" s="55"/>
      <c r="MFQ44" s="55"/>
      <c r="MFR44" s="55"/>
      <c r="MFS44" s="55"/>
      <c r="MFT44" s="55"/>
      <c r="MFU44" s="55"/>
      <c r="MFV44" s="55"/>
      <c r="MFW44" s="55"/>
      <c r="MFX44" s="55"/>
      <c r="MFY44" s="55"/>
      <c r="MFZ44" s="55"/>
      <c r="MGA44" s="55"/>
      <c r="MGB44" s="55"/>
      <c r="MGC44" s="55"/>
      <c r="MGD44" s="55"/>
      <c r="MGE44" s="55"/>
      <c r="MGF44" s="55"/>
      <c r="MGG44" s="55"/>
      <c r="MGH44" s="55"/>
      <c r="MGI44" s="55"/>
      <c r="MGJ44" s="55"/>
      <c r="MGK44" s="55"/>
      <c r="MGL44" s="55"/>
      <c r="MGM44" s="55"/>
      <c r="MGN44" s="55"/>
      <c r="MGO44" s="55"/>
      <c r="MGP44" s="55"/>
      <c r="MGQ44" s="55"/>
      <c r="MGR44" s="55"/>
      <c r="MGS44" s="55"/>
      <c r="MGT44" s="55"/>
      <c r="MGU44" s="55"/>
      <c r="MGV44" s="55"/>
      <c r="MGW44" s="55"/>
      <c r="MGX44" s="55"/>
      <c r="MGY44" s="55"/>
      <c r="MGZ44" s="55"/>
      <c r="MHA44" s="55"/>
      <c r="MHB44" s="55"/>
      <c r="MHC44" s="55"/>
      <c r="MHD44" s="55"/>
      <c r="MHE44" s="55"/>
      <c r="MHF44" s="55"/>
      <c r="MHG44" s="55"/>
      <c r="MHH44" s="55"/>
      <c r="MHI44" s="55"/>
      <c r="MHJ44" s="55"/>
      <c r="MHK44" s="55"/>
      <c r="MHL44" s="55"/>
      <c r="MHM44" s="55"/>
      <c r="MHN44" s="55"/>
      <c r="MHO44" s="55"/>
      <c r="MHP44" s="55"/>
      <c r="MHQ44" s="55"/>
      <c r="MHR44" s="55"/>
      <c r="MHS44" s="55"/>
      <c r="MHT44" s="55"/>
      <c r="MHU44" s="55"/>
      <c r="MHV44" s="55"/>
      <c r="MHW44" s="55"/>
      <c r="MHX44" s="55"/>
      <c r="MHY44" s="55"/>
      <c r="MHZ44" s="55"/>
      <c r="MIA44" s="55"/>
      <c r="MIB44" s="55"/>
      <c r="MIC44" s="55"/>
      <c r="MID44" s="55"/>
      <c r="MIE44" s="55"/>
      <c r="MIF44" s="55"/>
      <c r="MIG44" s="55"/>
      <c r="MIH44" s="55"/>
      <c r="MII44" s="55"/>
      <c r="MIJ44" s="55"/>
      <c r="MIK44" s="55"/>
      <c r="MIL44" s="55"/>
      <c r="MIM44" s="55"/>
      <c r="MIN44" s="55"/>
      <c r="MIO44" s="55"/>
      <c r="MIP44" s="55"/>
      <c r="MIQ44" s="55"/>
      <c r="MIR44" s="55"/>
      <c r="MIS44" s="55"/>
      <c r="MIT44" s="55"/>
      <c r="MIU44" s="55"/>
      <c r="MIV44" s="55"/>
      <c r="MIW44" s="55"/>
      <c r="MIX44" s="55"/>
      <c r="MIY44" s="55"/>
      <c r="MIZ44" s="55"/>
      <c r="MJA44" s="55"/>
      <c r="MJB44" s="55"/>
      <c r="MJC44" s="55"/>
      <c r="MJD44" s="55"/>
      <c r="MJE44" s="55"/>
      <c r="MJF44" s="55"/>
      <c r="MJG44" s="55"/>
      <c r="MJH44" s="55"/>
      <c r="MJI44" s="55"/>
      <c r="MJJ44" s="55"/>
      <c r="MJK44" s="55"/>
      <c r="MJL44" s="55"/>
      <c r="MJM44" s="55"/>
      <c r="MJN44" s="55"/>
      <c r="MJO44" s="55"/>
      <c r="MJP44" s="55"/>
      <c r="MJQ44" s="55"/>
      <c r="MJR44" s="55"/>
      <c r="MJS44" s="55"/>
      <c r="MJT44" s="55"/>
      <c r="MJU44" s="55"/>
      <c r="MJV44" s="55"/>
      <c r="MJW44" s="55"/>
      <c r="MJX44" s="55"/>
      <c r="MJY44" s="55"/>
      <c r="MJZ44" s="55"/>
      <c r="MKA44" s="55"/>
      <c r="MKB44" s="55"/>
      <c r="MKC44" s="55"/>
      <c r="MKD44" s="55"/>
      <c r="MKE44" s="55"/>
      <c r="MKF44" s="55"/>
      <c r="MKG44" s="55"/>
      <c r="MKH44" s="55"/>
      <c r="MKI44" s="55"/>
      <c r="MKJ44" s="55"/>
      <c r="MKK44" s="55"/>
      <c r="MKL44" s="55"/>
      <c r="MKM44" s="55"/>
      <c r="MKN44" s="55"/>
      <c r="MKO44" s="55"/>
      <c r="MKP44" s="55"/>
      <c r="MKQ44" s="55"/>
      <c r="MKR44" s="55"/>
      <c r="MKS44" s="55"/>
      <c r="MKT44" s="55"/>
      <c r="MKU44" s="55"/>
      <c r="MKV44" s="55"/>
      <c r="MKW44" s="55"/>
      <c r="MKX44" s="55"/>
      <c r="MKY44" s="55"/>
      <c r="MKZ44" s="55"/>
      <c r="MLA44" s="55"/>
      <c r="MLB44" s="55"/>
      <c r="MLC44" s="55"/>
      <c r="MLD44" s="55"/>
      <c r="MLE44" s="55"/>
      <c r="MLF44" s="55"/>
      <c r="MLG44" s="55"/>
      <c r="MLH44" s="55"/>
      <c r="MLI44" s="55"/>
      <c r="MLJ44" s="55"/>
      <c r="MLK44" s="55"/>
      <c r="MLL44" s="55"/>
      <c r="MLM44" s="55"/>
      <c r="MLN44" s="55"/>
      <c r="MLO44" s="55"/>
      <c r="MLP44" s="55"/>
      <c r="MLQ44" s="55"/>
      <c r="MLR44" s="55"/>
      <c r="MLS44" s="55"/>
      <c r="MLT44" s="55"/>
      <c r="MLU44" s="55"/>
      <c r="MLV44" s="55"/>
      <c r="MLW44" s="55"/>
      <c r="MLX44" s="55"/>
      <c r="MLY44" s="55"/>
      <c r="MLZ44" s="55"/>
      <c r="MMA44" s="55"/>
      <c r="MMB44" s="55"/>
      <c r="MMC44" s="55"/>
      <c r="MMD44" s="55"/>
      <c r="MME44" s="55"/>
      <c r="MMF44" s="55"/>
      <c r="MMG44" s="55"/>
      <c r="MMH44" s="55"/>
      <c r="MMI44" s="55"/>
      <c r="MMJ44" s="55"/>
      <c r="MMK44" s="55"/>
      <c r="MML44" s="55"/>
      <c r="MMM44" s="55"/>
      <c r="MMN44" s="55"/>
      <c r="MMO44" s="55"/>
      <c r="MMP44" s="55"/>
      <c r="MMQ44" s="55"/>
      <c r="MMR44" s="55"/>
      <c r="MMS44" s="55"/>
      <c r="MMT44" s="55"/>
      <c r="MMU44" s="55"/>
      <c r="MMV44" s="55"/>
      <c r="MMW44" s="55"/>
      <c r="MMX44" s="55"/>
      <c r="MMY44" s="55"/>
      <c r="MMZ44" s="55"/>
      <c r="MNA44" s="55"/>
      <c r="MNB44" s="55"/>
      <c r="MNC44" s="55"/>
      <c r="MND44" s="55"/>
      <c r="MNE44" s="55"/>
      <c r="MNF44" s="55"/>
      <c r="MNG44" s="55"/>
      <c r="MNH44" s="55"/>
      <c r="MNI44" s="55"/>
      <c r="MNJ44" s="55"/>
      <c r="MNK44" s="55"/>
      <c r="MNL44" s="55"/>
      <c r="MNM44" s="55"/>
      <c r="MNN44" s="55"/>
      <c r="MNO44" s="55"/>
      <c r="MNP44" s="55"/>
      <c r="MNQ44" s="55"/>
      <c r="MNR44" s="55"/>
      <c r="MNS44" s="55"/>
      <c r="MNT44" s="55"/>
      <c r="MNU44" s="55"/>
      <c r="MNV44" s="55"/>
      <c r="MNW44" s="55"/>
      <c r="MNX44" s="55"/>
      <c r="MNY44" s="55"/>
      <c r="MNZ44" s="55"/>
      <c r="MOA44" s="55"/>
      <c r="MOB44" s="55"/>
      <c r="MOC44" s="55"/>
      <c r="MOD44" s="55"/>
      <c r="MOE44" s="55"/>
      <c r="MOF44" s="55"/>
      <c r="MOG44" s="55"/>
      <c r="MOH44" s="55"/>
      <c r="MOI44" s="55"/>
      <c r="MOJ44" s="55"/>
      <c r="MOK44" s="55"/>
      <c r="MOL44" s="55"/>
      <c r="MOM44" s="55"/>
      <c r="MON44" s="55"/>
      <c r="MOO44" s="55"/>
      <c r="MOP44" s="55"/>
      <c r="MOQ44" s="55"/>
      <c r="MOR44" s="55"/>
      <c r="MOS44" s="55"/>
      <c r="MOT44" s="55"/>
      <c r="MOU44" s="55"/>
      <c r="MOV44" s="55"/>
      <c r="MOW44" s="55"/>
      <c r="MOX44" s="55"/>
      <c r="MOY44" s="55"/>
      <c r="MOZ44" s="55"/>
      <c r="MPA44" s="55"/>
      <c r="MPB44" s="55"/>
      <c r="MPC44" s="55"/>
      <c r="MPD44" s="55"/>
      <c r="MPE44" s="55"/>
      <c r="MPF44" s="55"/>
      <c r="MPG44" s="55"/>
      <c r="MPH44" s="55"/>
      <c r="MPI44" s="55"/>
      <c r="MPJ44" s="55"/>
      <c r="MPK44" s="55"/>
      <c r="MPL44" s="55"/>
      <c r="MPM44" s="55"/>
      <c r="MPN44" s="55"/>
      <c r="MPO44" s="55"/>
      <c r="MPP44" s="55"/>
      <c r="MPQ44" s="55"/>
      <c r="MPR44" s="55"/>
      <c r="MPS44" s="55"/>
      <c r="MPT44" s="55"/>
      <c r="MPU44" s="55"/>
      <c r="MPV44" s="55"/>
      <c r="MPW44" s="55"/>
      <c r="MPX44" s="55"/>
      <c r="MPY44" s="55"/>
      <c r="MPZ44" s="55"/>
      <c r="MQA44" s="55"/>
      <c r="MQB44" s="55"/>
      <c r="MQC44" s="55"/>
      <c r="MQD44" s="55"/>
      <c r="MQE44" s="55"/>
      <c r="MQF44" s="55"/>
      <c r="MQG44" s="55"/>
      <c r="MQH44" s="55"/>
      <c r="MQI44" s="55"/>
      <c r="MQJ44" s="55"/>
      <c r="MQK44" s="55"/>
      <c r="MQL44" s="55"/>
      <c r="MQM44" s="55"/>
      <c r="MQN44" s="55"/>
      <c r="MQO44" s="55"/>
      <c r="MQP44" s="55"/>
      <c r="MQQ44" s="55"/>
      <c r="MQR44" s="55"/>
      <c r="MQS44" s="55"/>
      <c r="MQT44" s="55"/>
      <c r="MQU44" s="55"/>
      <c r="MQV44" s="55"/>
      <c r="MQW44" s="55"/>
      <c r="MQX44" s="55"/>
      <c r="MQY44" s="55"/>
      <c r="MQZ44" s="55"/>
      <c r="MRA44" s="55"/>
      <c r="MRB44" s="55"/>
      <c r="MRC44" s="55"/>
      <c r="MRD44" s="55"/>
      <c r="MRE44" s="55"/>
      <c r="MRF44" s="55"/>
      <c r="MRG44" s="55"/>
      <c r="MRH44" s="55"/>
      <c r="MRI44" s="55"/>
      <c r="MRJ44" s="55"/>
      <c r="MRK44" s="55"/>
      <c r="MRL44" s="55"/>
      <c r="MRM44" s="55"/>
      <c r="MRN44" s="55"/>
      <c r="MRO44" s="55"/>
      <c r="MRP44" s="55"/>
      <c r="MRQ44" s="55"/>
      <c r="MRR44" s="55"/>
      <c r="MRS44" s="55"/>
      <c r="MRT44" s="55"/>
      <c r="MRU44" s="55"/>
      <c r="MRV44" s="55"/>
      <c r="MRW44" s="55"/>
      <c r="MRX44" s="55"/>
      <c r="MRY44" s="55"/>
      <c r="MRZ44" s="55"/>
      <c r="MSA44" s="55"/>
      <c r="MSB44" s="55"/>
      <c r="MSC44" s="55"/>
      <c r="MSD44" s="55"/>
      <c r="MSE44" s="55"/>
      <c r="MSF44" s="55"/>
      <c r="MSG44" s="55"/>
      <c r="MSH44" s="55"/>
      <c r="MSI44" s="55"/>
      <c r="MSJ44" s="55"/>
      <c r="MSK44" s="55"/>
      <c r="MSL44" s="55"/>
      <c r="MSM44" s="55"/>
      <c r="MSN44" s="55"/>
      <c r="MSO44" s="55"/>
      <c r="MSP44" s="55"/>
      <c r="MSQ44" s="55"/>
      <c r="MSR44" s="55"/>
      <c r="MSS44" s="55"/>
      <c r="MST44" s="55"/>
      <c r="MSU44" s="55"/>
      <c r="MSV44" s="55"/>
      <c r="MSW44" s="55"/>
      <c r="MSX44" s="55"/>
      <c r="MSY44" s="55"/>
      <c r="MSZ44" s="55"/>
      <c r="MTA44" s="55"/>
      <c r="MTB44" s="55"/>
      <c r="MTC44" s="55"/>
      <c r="MTD44" s="55"/>
      <c r="MTE44" s="55"/>
      <c r="MTF44" s="55"/>
      <c r="MTG44" s="55"/>
      <c r="MTH44" s="55"/>
      <c r="MTI44" s="55"/>
      <c r="MTJ44" s="55"/>
      <c r="MTK44" s="55"/>
      <c r="MTL44" s="55"/>
      <c r="MTM44" s="55"/>
      <c r="MTN44" s="55"/>
      <c r="MTO44" s="55"/>
      <c r="MTP44" s="55"/>
      <c r="MTQ44" s="55"/>
      <c r="MTR44" s="55"/>
      <c r="MTS44" s="55"/>
      <c r="MTT44" s="55"/>
      <c r="MTU44" s="55"/>
      <c r="MTV44" s="55"/>
      <c r="MTW44" s="55"/>
      <c r="MTX44" s="55"/>
      <c r="MTY44" s="55"/>
      <c r="MTZ44" s="55"/>
      <c r="MUA44" s="55"/>
      <c r="MUB44" s="55"/>
      <c r="MUC44" s="55"/>
      <c r="MUD44" s="55"/>
      <c r="MUE44" s="55"/>
      <c r="MUF44" s="55"/>
      <c r="MUG44" s="55"/>
      <c r="MUH44" s="55"/>
      <c r="MUI44" s="55"/>
      <c r="MUJ44" s="55"/>
      <c r="MUK44" s="55"/>
      <c r="MUL44" s="55"/>
      <c r="MUM44" s="55"/>
      <c r="MUN44" s="55"/>
      <c r="MUO44" s="55"/>
      <c r="MUP44" s="55"/>
      <c r="MUQ44" s="55"/>
      <c r="MUR44" s="55"/>
      <c r="MUS44" s="55"/>
      <c r="MUT44" s="55"/>
      <c r="MUU44" s="55"/>
      <c r="MUV44" s="55"/>
      <c r="MUW44" s="55"/>
      <c r="MUX44" s="55"/>
      <c r="MUY44" s="55"/>
      <c r="MUZ44" s="55"/>
      <c r="MVA44" s="55"/>
      <c r="MVB44" s="55"/>
      <c r="MVC44" s="55"/>
      <c r="MVD44" s="55"/>
      <c r="MVE44" s="55"/>
      <c r="MVF44" s="55"/>
      <c r="MVG44" s="55"/>
      <c r="MVH44" s="55"/>
      <c r="MVI44" s="55"/>
      <c r="MVJ44" s="55"/>
      <c r="MVK44" s="55"/>
      <c r="MVL44" s="55"/>
      <c r="MVM44" s="55"/>
      <c r="MVN44" s="55"/>
      <c r="MVO44" s="55"/>
      <c r="MVP44" s="55"/>
      <c r="MVQ44" s="55"/>
      <c r="MVR44" s="55"/>
      <c r="MVS44" s="55"/>
      <c r="MVT44" s="55"/>
      <c r="MVU44" s="55"/>
      <c r="MVV44" s="55"/>
      <c r="MVW44" s="55"/>
      <c r="MVX44" s="55"/>
      <c r="MVY44" s="55"/>
      <c r="MVZ44" s="55"/>
      <c r="MWA44" s="55"/>
      <c r="MWB44" s="55"/>
      <c r="MWC44" s="55"/>
      <c r="MWD44" s="55"/>
      <c r="MWE44" s="55"/>
      <c r="MWF44" s="55"/>
      <c r="MWG44" s="55"/>
      <c r="MWH44" s="55"/>
      <c r="MWI44" s="55"/>
      <c r="MWJ44" s="55"/>
      <c r="MWK44" s="55"/>
      <c r="MWL44" s="55"/>
      <c r="MWM44" s="55"/>
      <c r="MWN44" s="55"/>
      <c r="MWO44" s="55"/>
      <c r="MWP44" s="55"/>
      <c r="MWQ44" s="55"/>
      <c r="MWR44" s="55"/>
      <c r="MWS44" s="55"/>
      <c r="MWT44" s="55"/>
      <c r="MWU44" s="55"/>
      <c r="MWV44" s="55"/>
      <c r="MWW44" s="55"/>
      <c r="MWX44" s="55"/>
      <c r="MWY44" s="55"/>
      <c r="MWZ44" s="55"/>
      <c r="MXA44" s="55"/>
      <c r="MXB44" s="55"/>
      <c r="MXC44" s="55"/>
      <c r="MXD44" s="55"/>
      <c r="MXE44" s="55"/>
      <c r="MXF44" s="55"/>
      <c r="MXG44" s="55"/>
      <c r="MXH44" s="55"/>
      <c r="MXI44" s="55"/>
      <c r="MXJ44" s="55"/>
      <c r="MXK44" s="55"/>
      <c r="MXL44" s="55"/>
      <c r="MXM44" s="55"/>
      <c r="MXN44" s="55"/>
      <c r="MXO44" s="55"/>
      <c r="MXP44" s="55"/>
      <c r="MXQ44" s="55"/>
      <c r="MXR44" s="55"/>
      <c r="MXS44" s="55"/>
      <c r="MXT44" s="55"/>
      <c r="MXU44" s="55"/>
      <c r="MXV44" s="55"/>
      <c r="MXW44" s="55"/>
      <c r="MXX44" s="55"/>
      <c r="MXY44" s="55"/>
      <c r="MXZ44" s="55"/>
      <c r="MYA44" s="55"/>
      <c r="MYB44" s="55"/>
      <c r="MYC44" s="55"/>
      <c r="MYD44" s="55"/>
      <c r="MYE44" s="55"/>
      <c r="MYF44" s="55"/>
      <c r="MYG44" s="55"/>
      <c r="MYH44" s="55"/>
      <c r="MYI44" s="55"/>
      <c r="MYJ44" s="55"/>
      <c r="MYK44" s="55"/>
      <c r="MYL44" s="55"/>
      <c r="MYM44" s="55"/>
      <c r="MYN44" s="55"/>
      <c r="MYO44" s="55"/>
      <c r="MYP44" s="55"/>
      <c r="MYQ44" s="55"/>
      <c r="MYR44" s="55"/>
      <c r="MYS44" s="55"/>
      <c r="MYT44" s="55"/>
      <c r="MYU44" s="55"/>
      <c r="MYV44" s="55"/>
      <c r="MYW44" s="55"/>
      <c r="MYX44" s="55"/>
      <c r="MYY44" s="55"/>
      <c r="MYZ44" s="55"/>
      <c r="MZA44" s="55"/>
      <c r="MZB44" s="55"/>
      <c r="MZC44" s="55"/>
      <c r="MZD44" s="55"/>
      <c r="MZE44" s="55"/>
      <c r="MZF44" s="55"/>
      <c r="MZG44" s="55"/>
      <c r="MZH44" s="55"/>
      <c r="MZI44" s="55"/>
      <c r="MZJ44" s="55"/>
      <c r="MZK44" s="55"/>
      <c r="MZL44" s="55"/>
      <c r="MZM44" s="55"/>
      <c r="MZN44" s="55"/>
      <c r="MZO44" s="55"/>
      <c r="MZP44" s="55"/>
      <c r="MZQ44" s="55"/>
      <c r="MZR44" s="55"/>
      <c r="MZS44" s="55"/>
      <c r="MZT44" s="55"/>
      <c r="MZU44" s="55"/>
      <c r="MZV44" s="55"/>
      <c r="MZW44" s="55"/>
      <c r="MZX44" s="55"/>
      <c r="MZY44" s="55"/>
      <c r="MZZ44" s="55"/>
      <c r="NAA44" s="55"/>
      <c r="NAB44" s="55"/>
      <c r="NAC44" s="55"/>
      <c r="NAD44" s="55"/>
      <c r="NAE44" s="55"/>
      <c r="NAF44" s="55"/>
      <c r="NAG44" s="55"/>
      <c r="NAH44" s="55"/>
      <c r="NAI44" s="55"/>
      <c r="NAJ44" s="55"/>
      <c r="NAK44" s="55"/>
      <c r="NAL44" s="55"/>
      <c r="NAM44" s="55"/>
      <c r="NAN44" s="55"/>
      <c r="NAO44" s="55"/>
      <c r="NAP44" s="55"/>
      <c r="NAQ44" s="55"/>
      <c r="NAR44" s="55"/>
      <c r="NAS44" s="55"/>
      <c r="NAT44" s="55"/>
      <c r="NAU44" s="55"/>
      <c r="NAV44" s="55"/>
      <c r="NAW44" s="55"/>
      <c r="NAX44" s="55"/>
      <c r="NAY44" s="55"/>
      <c r="NAZ44" s="55"/>
      <c r="NBA44" s="55"/>
      <c r="NBB44" s="55"/>
      <c r="NBC44" s="55"/>
      <c r="NBD44" s="55"/>
      <c r="NBE44" s="55"/>
      <c r="NBF44" s="55"/>
      <c r="NBG44" s="55"/>
      <c r="NBH44" s="55"/>
      <c r="NBI44" s="55"/>
      <c r="NBJ44" s="55"/>
      <c r="NBK44" s="55"/>
      <c r="NBL44" s="55"/>
      <c r="NBM44" s="55"/>
      <c r="NBN44" s="55"/>
      <c r="NBO44" s="55"/>
      <c r="NBP44" s="55"/>
      <c r="NBQ44" s="55"/>
      <c r="NBR44" s="55"/>
      <c r="NBS44" s="55"/>
      <c r="NBT44" s="55"/>
      <c r="NBU44" s="55"/>
      <c r="NBV44" s="55"/>
      <c r="NBW44" s="55"/>
      <c r="NBX44" s="55"/>
      <c r="NBY44" s="55"/>
      <c r="NBZ44" s="55"/>
      <c r="NCA44" s="55"/>
      <c r="NCB44" s="55"/>
      <c r="NCC44" s="55"/>
      <c r="NCD44" s="55"/>
      <c r="NCE44" s="55"/>
      <c r="NCF44" s="55"/>
      <c r="NCG44" s="55"/>
      <c r="NCH44" s="55"/>
      <c r="NCI44" s="55"/>
      <c r="NCJ44" s="55"/>
      <c r="NCK44" s="55"/>
      <c r="NCL44" s="55"/>
      <c r="NCM44" s="55"/>
      <c r="NCN44" s="55"/>
      <c r="NCO44" s="55"/>
      <c r="NCP44" s="55"/>
      <c r="NCQ44" s="55"/>
      <c r="NCR44" s="55"/>
      <c r="NCS44" s="55"/>
      <c r="NCT44" s="55"/>
      <c r="NCU44" s="55"/>
      <c r="NCV44" s="55"/>
      <c r="NCW44" s="55"/>
      <c r="NCX44" s="55"/>
      <c r="NCY44" s="55"/>
      <c r="NCZ44" s="55"/>
      <c r="NDA44" s="55"/>
      <c r="NDB44" s="55"/>
      <c r="NDC44" s="55"/>
      <c r="NDD44" s="55"/>
      <c r="NDE44" s="55"/>
      <c r="NDF44" s="55"/>
      <c r="NDG44" s="55"/>
      <c r="NDH44" s="55"/>
      <c r="NDI44" s="55"/>
      <c r="NDJ44" s="55"/>
      <c r="NDK44" s="55"/>
      <c r="NDL44" s="55"/>
      <c r="NDM44" s="55"/>
      <c r="NDN44" s="55"/>
      <c r="NDO44" s="55"/>
      <c r="NDP44" s="55"/>
      <c r="NDQ44" s="55"/>
      <c r="NDR44" s="55"/>
      <c r="NDS44" s="55"/>
      <c r="NDT44" s="55"/>
      <c r="NDU44" s="55"/>
      <c r="NDV44" s="55"/>
      <c r="NDW44" s="55"/>
      <c r="NDX44" s="55"/>
      <c r="NDY44" s="55"/>
      <c r="NDZ44" s="55"/>
      <c r="NEA44" s="55"/>
      <c r="NEB44" s="55"/>
      <c r="NEC44" s="55"/>
      <c r="NED44" s="55"/>
      <c r="NEE44" s="55"/>
      <c r="NEF44" s="55"/>
      <c r="NEG44" s="55"/>
      <c r="NEH44" s="55"/>
      <c r="NEI44" s="55"/>
      <c r="NEJ44" s="55"/>
      <c r="NEK44" s="55"/>
      <c r="NEL44" s="55"/>
      <c r="NEM44" s="55"/>
      <c r="NEN44" s="55"/>
      <c r="NEO44" s="55"/>
      <c r="NEP44" s="55"/>
      <c r="NEQ44" s="55"/>
      <c r="NER44" s="55"/>
      <c r="NES44" s="55"/>
      <c r="NET44" s="55"/>
      <c r="NEU44" s="55"/>
      <c r="NEV44" s="55"/>
      <c r="NEW44" s="55"/>
      <c r="NEX44" s="55"/>
      <c r="NEY44" s="55"/>
      <c r="NEZ44" s="55"/>
      <c r="NFA44" s="55"/>
      <c r="NFB44" s="55"/>
      <c r="NFC44" s="55"/>
      <c r="NFD44" s="55"/>
      <c r="NFE44" s="55"/>
      <c r="NFF44" s="55"/>
      <c r="NFG44" s="55"/>
      <c r="NFH44" s="55"/>
      <c r="NFI44" s="55"/>
      <c r="NFJ44" s="55"/>
      <c r="NFK44" s="55"/>
      <c r="NFL44" s="55"/>
      <c r="NFM44" s="55"/>
      <c r="NFN44" s="55"/>
      <c r="NFO44" s="55"/>
      <c r="NFP44" s="55"/>
      <c r="NFQ44" s="55"/>
      <c r="NFR44" s="55"/>
      <c r="NFS44" s="55"/>
      <c r="NFT44" s="55"/>
      <c r="NFU44" s="55"/>
      <c r="NFV44" s="55"/>
      <c r="NFW44" s="55"/>
      <c r="NFX44" s="55"/>
      <c r="NFY44" s="55"/>
      <c r="NFZ44" s="55"/>
      <c r="NGA44" s="55"/>
      <c r="NGB44" s="55"/>
      <c r="NGC44" s="55"/>
      <c r="NGD44" s="55"/>
      <c r="NGE44" s="55"/>
      <c r="NGF44" s="55"/>
      <c r="NGG44" s="55"/>
      <c r="NGH44" s="55"/>
      <c r="NGI44" s="55"/>
      <c r="NGJ44" s="55"/>
      <c r="NGK44" s="55"/>
      <c r="NGL44" s="55"/>
      <c r="NGM44" s="55"/>
      <c r="NGN44" s="55"/>
      <c r="NGO44" s="55"/>
      <c r="NGP44" s="55"/>
      <c r="NGQ44" s="55"/>
      <c r="NGR44" s="55"/>
      <c r="NGS44" s="55"/>
      <c r="NGT44" s="55"/>
      <c r="NGU44" s="55"/>
      <c r="NGV44" s="55"/>
      <c r="NGW44" s="55"/>
      <c r="NGX44" s="55"/>
      <c r="NGY44" s="55"/>
      <c r="NGZ44" s="55"/>
      <c r="NHA44" s="55"/>
      <c r="NHB44" s="55"/>
      <c r="NHC44" s="55"/>
      <c r="NHD44" s="55"/>
      <c r="NHE44" s="55"/>
      <c r="NHF44" s="55"/>
      <c r="NHG44" s="55"/>
      <c r="NHH44" s="55"/>
      <c r="NHI44" s="55"/>
      <c r="NHJ44" s="55"/>
      <c r="NHK44" s="55"/>
      <c r="NHL44" s="55"/>
      <c r="NHM44" s="55"/>
      <c r="NHN44" s="55"/>
      <c r="NHO44" s="55"/>
      <c r="NHP44" s="55"/>
      <c r="NHQ44" s="55"/>
      <c r="NHR44" s="55"/>
      <c r="NHS44" s="55"/>
      <c r="NHT44" s="55"/>
      <c r="NHU44" s="55"/>
      <c r="NHV44" s="55"/>
      <c r="NHW44" s="55"/>
      <c r="NHX44" s="55"/>
      <c r="NHY44" s="55"/>
      <c r="NHZ44" s="55"/>
      <c r="NIA44" s="55"/>
      <c r="NIB44" s="55"/>
      <c r="NIC44" s="55"/>
      <c r="NID44" s="55"/>
      <c r="NIE44" s="55"/>
      <c r="NIF44" s="55"/>
      <c r="NIG44" s="55"/>
      <c r="NIH44" s="55"/>
      <c r="NII44" s="55"/>
      <c r="NIJ44" s="55"/>
      <c r="NIK44" s="55"/>
      <c r="NIL44" s="55"/>
      <c r="NIM44" s="55"/>
      <c r="NIN44" s="55"/>
      <c r="NIO44" s="55"/>
      <c r="NIP44" s="55"/>
      <c r="NIQ44" s="55"/>
      <c r="NIR44" s="55"/>
      <c r="NIS44" s="55"/>
      <c r="NIT44" s="55"/>
      <c r="NIU44" s="55"/>
      <c r="NIV44" s="55"/>
      <c r="NIW44" s="55"/>
      <c r="NIX44" s="55"/>
      <c r="NIY44" s="55"/>
      <c r="NIZ44" s="55"/>
      <c r="NJA44" s="55"/>
      <c r="NJB44" s="55"/>
      <c r="NJC44" s="55"/>
      <c r="NJD44" s="55"/>
      <c r="NJE44" s="55"/>
      <c r="NJF44" s="55"/>
      <c r="NJG44" s="55"/>
      <c r="NJH44" s="55"/>
      <c r="NJI44" s="55"/>
      <c r="NJJ44" s="55"/>
      <c r="NJK44" s="55"/>
      <c r="NJL44" s="55"/>
      <c r="NJM44" s="55"/>
      <c r="NJN44" s="55"/>
      <c r="NJO44" s="55"/>
      <c r="NJP44" s="55"/>
      <c r="NJQ44" s="55"/>
      <c r="NJR44" s="55"/>
      <c r="NJS44" s="55"/>
      <c r="NJT44" s="55"/>
      <c r="NJU44" s="55"/>
      <c r="NJV44" s="55"/>
      <c r="NJW44" s="55"/>
      <c r="NJX44" s="55"/>
      <c r="NJY44" s="55"/>
      <c r="NJZ44" s="55"/>
      <c r="NKA44" s="55"/>
      <c r="NKB44" s="55"/>
      <c r="NKC44" s="55"/>
      <c r="NKD44" s="55"/>
      <c r="NKE44" s="55"/>
      <c r="NKF44" s="55"/>
      <c r="NKG44" s="55"/>
      <c r="NKH44" s="55"/>
      <c r="NKI44" s="55"/>
      <c r="NKJ44" s="55"/>
      <c r="NKK44" s="55"/>
      <c r="NKL44" s="55"/>
      <c r="NKM44" s="55"/>
      <c r="NKN44" s="55"/>
      <c r="NKO44" s="55"/>
      <c r="NKP44" s="55"/>
      <c r="NKQ44" s="55"/>
      <c r="NKR44" s="55"/>
      <c r="NKS44" s="55"/>
      <c r="NKT44" s="55"/>
      <c r="NKU44" s="55"/>
      <c r="NKV44" s="55"/>
      <c r="NKW44" s="55"/>
      <c r="NKX44" s="55"/>
      <c r="NKY44" s="55"/>
      <c r="NKZ44" s="55"/>
      <c r="NLA44" s="55"/>
      <c r="NLB44" s="55"/>
      <c r="NLC44" s="55"/>
      <c r="NLD44" s="55"/>
      <c r="NLE44" s="55"/>
      <c r="NLF44" s="55"/>
      <c r="NLG44" s="55"/>
      <c r="NLH44" s="55"/>
      <c r="NLI44" s="55"/>
      <c r="NLJ44" s="55"/>
      <c r="NLK44" s="55"/>
      <c r="NLL44" s="55"/>
      <c r="NLM44" s="55"/>
      <c r="NLN44" s="55"/>
      <c r="NLO44" s="55"/>
      <c r="NLP44" s="55"/>
      <c r="NLQ44" s="55"/>
      <c r="NLR44" s="55"/>
      <c r="NLS44" s="55"/>
      <c r="NLT44" s="55"/>
      <c r="NLU44" s="55"/>
      <c r="NLV44" s="55"/>
      <c r="NLW44" s="55"/>
      <c r="NLX44" s="55"/>
      <c r="NLY44" s="55"/>
      <c r="NLZ44" s="55"/>
      <c r="NMA44" s="55"/>
      <c r="NMB44" s="55"/>
      <c r="NMC44" s="55"/>
      <c r="NMD44" s="55"/>
      <c r="NME44" s="55"/>
      <c r="NMF44" s="55"/>
      <c r="NMG44" s="55"/>
      <c r="NMH44" s="55"/>
      <c r="NMI44" s="55"/>
      <c r="NMJ44" s="55"/>
      <c r="NMK44" s="55"/>
      <c r="NML44" s="55"/>
      <c r="NMM44" s="55"/>
      <c r="NMN44" s="55"/>
      <c r="NMO44" s="55"/>
      <c r="NMP44" s="55"/>
      <c r="NMQ44" s="55"/>
      <c r="NMR44" s="55"/>
      <c r="NMS44" s="55"/>
      <c r="NMT44" s="55"/>
      <c r="NMU44" s="55"/>
      <c r="NMV44" s="55"/>
      <c r="NMW44" s="55"/>
      <c r="NMX44" s="55"/>
      <c r="NMY44" s="55"/>
      <c r="NMZ44" s="55"/>
      <c r="NNA44" s="55"/>
      <c r="NNB44" s="55"/>
      <c r="NNC44" s="55"/>
      <c r="NND44" s="55"/>
      <c r="NNE44" s="55"/>
      <c r="NNF44" s="55"/>
      <c r="NNG44" s="55"/>
      <c r="NNH44" s="55"/>
      <c r="NNI44" s="55"/>
      <c r="NNJ44" s="55"/>
      <c r="NNK44" s="55"/>
      <c r="NNL44" s="55"/>
      <c r="NNM44" s="55"/>
      <c r="NNN44" s="55"/>
      <c r="NNO44" s="55"/>
      <c r="NNP44" s="55"/>
      <c r="NNQ44" s="55"/>
      <c r="NNR44" s="55"/>
      <c r="NNS44" s="55"/>
      <c r="NNT44" s="55"/>
      <c r="NNU44" s="55"/>
      <c r="NNV44" s="55"/>
      <c r="NNW44" s="55"/>
      <c r="NNX44" s="55"/>
      <c r="NNY44" s="55"/>
      <c r="NNZ44" s="55"/>
      <c r="NOA44" s="55"/>
      <c r="NOB44" s="55"/>
      <c r="NOC44" s="55"/>
      <c r="NOD44" s="55"/>
      <c r="NOE44" s="55"/>
      <c r="NOF44" s="55"/>
      <c r="NOG44" s="55"/>
      <c r="NOH44" s="55"/>
      <c r="NOI44" s="55"/>
      <c r="NOJ44" s="55"/>
      <c r="NOK44" s="55"/>
      <c r="NOL44" s="55"/>
      <c r="NOM44" s="55"/>
      <c r="NON44" s="55"/>
      <c r="NOO44" s="55"/>
      <c r="NOP44" s="55"/>
      <c r="NOQ44" s="55"/>
      <c r="NOR44" s="55"/>
      <c r="NOS44" s="55"/>
      <c r="NOT44" s="55"/>
      <c r="NOU44" s="55"/>
      <c r="NOV44" s="55"/>
      <c r="NOW44" s="55"/>
      <c r="NOX44" s="55"/>
      <c r="NOY44" s="55"/>
      <c r="NOZ44" s="55"/>
      <c r="NPA44" s="55"/>
      <c r="NPB44" s="55"/>
      <c r="NPC44" s="55"/>
      <c r="NPD44" s="55"/>
      <c r="NPE44" s="55"/>
      <c r="NPF44" s="55"/>
      <c r="NPG44" s="55"/>
      <c r="NPH44" s="55"/>
      <c r="NPI44" s="55"/>
      <c r="NPJ44" s="55"/>
      <c r="NPK44" s="55"/>
      <c r="NPL44" s="55"/>
      <c r="NPM44" s="55"/>
      <c r="NPN44" s="55"/>
      <c r="NPO44" s="55"/>
      <c r="NPP44" s="55"/>
      <c r="NPQ44" s="55"/>
      <c r="NPR44" s="55"/>
      <c r="NPS44" s="55"/>
      <c r="NPT44" s="55"/>
      <c r="NPU44" s="55"/>
      <c r="NPV44" s="55"/>
      <c r="NPW44" s="55"/>
      <c r="NPX44" s="55"/>
      <c r="NPY44" s="55"/>
      <c r="NPZ44" s="55"/>
      <c r="NQA44" s="55"/>
      <c r="NQB44" s="55"/>
      <c r="NQC44" s="55"/>
      <c r="NQD44" s="55"/>
      <c r="NQE44" s="55"/>
      <c r="NQF44" s="55"/>
      <c r="NQG44" s="55"/>
      <c r="NQH44" s="55"/>
      <c r="NQI44" s="55"/>
      <c r="NQJ44" s="55"/>
      <c r="NQK44" s="55"/>
      <c r="NQL44" s="55"/>
      <c r="NQM44" s="55"/>
      <c r="NQN44" s="55"/>
      <c r="NQO44" s="55"/>
      <c r="NQP44" s="55"/>
      <c r="NQQ44" s="55"/>
      <c r="NQR44" s="55"/>
      <c r="NQS44" s="55"/>
      <c r="NQT44" s="55"/>
      <c r="NQU44" s="55"/>
      <c r="NQV44" s="55"/>
      <c r="NQW44" s="55"/>
      <c r="NQX44" s="55"/>
      <c r="NQY44" s="55"/>
      <c r="NQZ44" s="55"/>
      <c r="NRA44" s="55"/>
      <c r="NRB44" s="55"/>
      <c r="NRC44" s="55"/>
      <c r="NRD44" s="55"/>
      <c r="NRE44" s="55"/>
      <c r="NRF44" s="55"/>
      <c r="NRG44" s="55"/>
      <c r="NRH44" s="55"/>
      <c r="NRI44" s="55"/>
      <c r="NRJ44" s="55"/>
      <c r="NRK44" s="55"/>
      <c r="NRL44" s="55"/>
      <c r="NRM44" s="55"/>
      <c r="NRN44" s="55"/>
      <c r="NRO44" s="55"/>
      <c r="NRP44" s="55"/>
      <c r="NRQ44" s="55"/>
      <c r="NRR44" s="55"/>
      <c r="NRS44" s="55"/>
      <c r="NRT44" s="55"/>
      <c r="NRU44" s="55"/>
      <c r="NRV44" s="55"/>
      <c r="NRW44" s="55"/>
      <c r="NRX44" s="55"/>
      <c r="NRY44" s="55"/>
      <c r="NRZ44" s="55"/>
      <c r="NSA44" s="55"/>
      <c r="NSB44" s="55"/>
      <c r="NSC44" s="55"/>
      <c r="NSD44" s="55"/>
      <c r="NSE44" s="55"/>
      <c r="NSF44" s="55"/>
      <c r="NSG44" s="55"/>
      <c r="NSH44" s="55"/>
      <c r="NSI44" s="55"/>
      <c r="NSJ44" s="55"/>
      <c r="NSK44" s="55"/>
      <c r="NSL44" s="55"/>
      <c r="NSM44" s="55"/>
      <c r="NSN44" s="55"/>
      <c r="NSO44" s="55"/>
      <c r="NSP44" s="55"/>
      <c r="NSQ44" s="55"/>
      <c r="NSR44" s="55"/>
      <c r="NSS44" s="55"/>
      <c r="NST44" s="55"/>
      <c r="NSU44" s="55"/>
      <c r="NSV44" s="55"/>
      <c r="NSW44" s="55"/>
      <c r="NSX44" s="55"/>
      <c r="NSY44" s="55"/>
      <c r="NSZ44" s="55"/>
      <c r="NTA44" s="55"/>
      <c r="NTB44" s="55"/>
      <c r="NTC44" s="55"/>
      <c r="NTD44" s="55"/>
      <c r="NTE44" s="55"/>
      <c r="NTF44" s="55"/>
      <c r="NTG44" s="55"/>
      <c r="NTH44" s="55"/>
      <c r="NTI44" s="55"/>
      <c r="NTJ44" s="55"/>
      <c r="NTK44" s="55"/>
      <c r="NTL44" s="55"/>
      <c r="NTM44" s="55"/>
      <c r="NTN44" s="55"/>
      <c r="NTO44" s="55"/>
      <c r="NTP44" s="55"/>
      <c r="NTQ44" s="55"/>
      <c r="NTR44" s="55"/>
      <c r="NTS44" s="55"/>
      <c r="NTT44" s="55"/>
      <c r="NTU44" s="55"/>
      <c r="NTV44" s="55"/>
      <c r="NTW44" s="55"/>
      <c r="NTX44" s="55"/>
      <c r="NTY44" s="55"/>
      <c r="NTZ44" s="55"/>
      <c r="NUA44" s="55"/>
      <c r="NUB44" s="55"/>
      <c r="NUC44" s="55"/>
      <c r="NUD44" s="55"/>
      <c r="NUE44" s="55"/>
      <c r="NUF44" s="55"/>
      <c r="NUG44" s="55"/>
      <c r="NUH44" s="55"/>
      <c r="NUI44" s="55"/>
      <c r="NUJ44" s="55"/>
      <c r="NUK44" s="55"/>
      <c r="NUL44" s="55"/>
      <c r="NUM44" s="55"/>
      <c r="NUN44" s="55"/>
      <c r="NUO44" s="55"/>
      <c r="NUP44" s="55"/>
      <c r="NUQ44" s="55"/>
      <c r="NUR44" s="55"/>
      <c r="NUS44" s="55"/>
      <c r="NUT44" s="55"/>
      <c r="NUU44" s="55"/>
      <c r="NUV44" s="55"/>
      <c r="NUW44" s="55"/>
      <c r="NUX44" s="55"/>
      <c r="NUY44" s="55"/>
      <c r="NUZ44" s="55"/>
      <c r="NVA44" s="55"/>
      <c r="NVB44" s="55"/>
      <c r="NVC44" s="55"/>
      <c r="NVD44" s="55"/>
      <c r="NVE44" s="55"/>
      <c r="NVF44" s="55"/>
      <c r="NVG44" s="55"/>
      <c r="NVH44" s="55"/>
      <c r="NVI44" s="55"/>
      <c r="NVJ44" s="55"/>
      <c r="NVK44" s="55"/>
      <c r="NVL44" s="55"/>
      <c r="NVM44" s="55"/>
      <c r="NVN44" s="55"/>
      <c r="NVO44" s="55"/>
      <c r="NVP44" s="55"/>
      <c r="NVQ44" s="55"/>
      <c r="NVR44" s="55"/>
      <c r="NVS44" s="55"/>
      <c r="NVT44" s="55"/>
      <c r="NVU44" s="55"/>
      <c r="NVV44" s="55"/>
      <c r="NVW44" s="55"/>
      <c r="NVX44" s="55"/>
      <c r="NVY44" s="55"/>
      <c r="NVZ44" s="55"/>
      <c r="NWA44" s="55"/>
      <c r="NWB44" s="55"/>
      <c r="NWC44" s="55"/>
      <c r="NWD44" s="55"/>
      <c r="NWE44" s="55"/>
      <c r="NWF44" s="55"/>
      <c r="NWG44" s="55"/>
      <c r="NWH44" s="55"/>
      <c r="NWI44" s="55"/>
      <c r="NWJ44" s="55"/>
      <c r="NWK44" s="55"/>
      <c r="NWL44" s="55"/>
      <c r="NWM44" s="55"/>
      <c r="NWN44" s="55"/>
      <c r="NWO44" s="55"/>
      <c r="NWP44" s="55"/>
      <c r="NWQ44" s="55"/>
      <c r="NWR44" s="55"/>
      <c r="NWS44" s="55"/>
      <c r="NWT44" s="55"/>
      <c r="NWU44" s="55"/>
      <c r="NWV44" s="55"/>
      <c r="NWW44" s="55"/>
      <c r="NWX44" s="55"/>
      <c r="NWY44" s="55"/>
      <c r="NWZ44" s="55"/>
      <c r="NXA44" s="55"/>
      <c r="NXB44" s="55"/>
      <c r="NXC44" s="55"/>
      <c r="NXD44" s="55"/>
      <c r="NXE44" s="55"/>
      <c r="NXF44" s="55"/>
      <c r="NXG44" s="55"/>
      <c r="NXH44" s="55"/>
      <c r="NXI44" s="55"/>
      <c r="NXJ44" s="55"/>
      <c r="NXK44" s="55"/>
      <c r="NXL44" s="55"/>
      <c r="NXM44" s="55"/>
      <c r="NXN44" s="55"/>
      <c r="NXO44" s="55"/>
      <c r="NXP44" s="55"/>
      <c r="NXQ44" s="55"/>
      <c r="NXR44" s="55"/>
      <c r="NXS44" s="55"/>
      <c r="NXT44" s="55"/>
      <c r="NXU44" s="55"/>
      <c r="NXV44" s="55"/>
      <c r="NXW44" s="55"/>
      <c r="NXX44" s="55"/>
      <c r="NXY44" s="55"/>
      <c r="NXZ44" s="55"/>
      <c r="NYA44" s="55"/>
      <c r="NYB44" s="55"/>
      <c r="NYC44" s="55"/>
      <c r="NYD44" s="55"/>
      <c r="NYE44" s="55"/>
      <c r="NYF44" s="55"/>
      <c r="NYG44" s="55"/>
      <c r="NYH44" s="55"/>
      <c r="NYI44" s="55"/>
      <c r="NYJ44" s="55"/>
      <c r="NYK44" s="55"/>
      <c r="NYL44" s="55"/>
      <c r="NYM44" s="55"/>
      <c r="NYN44" s="55"/>
      <c r="NYO44" s="55"/>
      <c r="NYP44" s="55"/>
      <c r="NYQ44" s="55"/>
      <c r="NYR44" s="55"/>
      <c r="NYS44" s="55"/>
      <c r="NYT44" s="55"/>
      <c r="NYU44" s="55"/>
      <c r="NYV44" s="55"/>
      <c r="NYW44" s="55"/>
      <c r="NYX44" s="55"/>
      <c r="NYY44" s="55"/>
      <c r="NYZ44" s="55"/>
      <c r="NZA44" s="55"/>
      <c r="NZB44" s="55"/>
      <c r="NZC44" s="55"/>
      <c r="NZD44" s="55"/>
      <c r="NZE44" s="55"/>
      <c r="NZF44" s="55"/>
      <c r="NZG44" s="55"/>
      <c r="NZH44" s="55"/>
      <c r="NZI44" s="55"/>
      <c r="NZJ44" s="55"/>
      <c r="NZK44" s="55"/>
      <c r="NZL44" s="55"/>
      <c r="NZM44" s="55"/>
      <c r="NZN44" s="55"/>
      <c r="NZO44" s="55"/>
      <c r="NZP44" s="55"/>
      <c r="NZQ44" s="55"/>
      <c r="NZR44" s="55"/>
      <c r="NZS44" s="55"/>
      <c r="NZT44" s="55"/>
      <c r="NZU44" s="55"/>
      <c r="NZV44" s="55"/>
      <c r="NZW44" s="55"/>
      <c r="NZX44" s="55"/>
      <c r="NZY44" s="55"/>
      <c r="NZZ44" s="55"/>
      <c r="OAA44" s="55"/>
      <c r="OAB44" s="55"/>
      <c r="OAC44" s="55"/>
      <c r="OAD44" s="55"/>
      <c r="OAE44" s="55"/>
      <c r="OAF44" s="55"/>
      <c r="OAG44" s="55"/>
      <c r="OAH44" s="55"/>
      <c r="OAI44" s="55"/>
      <c r="OAJ44" s="55"/>
      <c r="OAK44" s="55"/>
      <c r="OAL44" s="55"/>
      <c r="OAM44" s="55"/>
      <c r="OAN44" s="55"/>
      <c r="OAO44" s="55"/>
      <c r="OAP44" s="55"/>
      <c r="OAQ44" s="55"/>
      <c r="OAR44" s="55"/>
      <c r="OAS44" s="55"/>
      <c r="OAT44" s="55"/>
      <c r="OAU44" s="55"/>
      <c r="OAV44" s="55"/>
      <c r="OAW44" s="55"/>
      <c r="OAX44" s="55"/>
      <c r="OAY44" s="55"/>
      <c r="OAZ44" s="55"/>
      <c r="OBA44" s="55"/>
      <c r="OBB44" s="55"/>
      <c r="OBC44" s="55"/>
      <c r="OBD44" s="55"/>
      <c r="OBE44" s="55"/>
      <c r="OBF44" s="55"/>
      <c r="OBG44" s="55"/>
      <c r="OBH44" s="55"/>
      <c r="OBI44" s="55"/>
      <c r="OBJ44" s="55"/>
      <c r="OBK44" s="55"/>
      <c r="OBL44" s="55"/>
      <c r="OBM44" s="55"/>
      <c r="OBN44" s="55"/>
      <c r="OBO44" s="55"/>
      <c r="OBP44" s="55"/>
      <c r="OBQ44" s="55"/>
      <c r="OBR44" s="55"/>
      <c r="OBS44" s="55"/>
      <c r="OBT44" s="55"/>
      <c r="OBU44" s="55"/>
      <c r="OBV44" s="55"/>
      <c r="OBW44" s="55"/>
      <c r="OBX44" s="55"/>
      <c r="OBY44" s="55"/>
      <c r="OBZ44" s="55"/>
      <c r="OCA44" s="55"/>
      <c r="OCB44" s="55"/>
      <c r="OCC44" s="55"/>
      <c r="OCD44" s="55"/>
      <c r="OCE44" s="55"/>
      <c r="OCF44" s="55"/>
      <c r="OCG44" s="55"/>
      <c r="OCH44" s="55"/>
      <c r="OCI44" s="55"/>
      <c r="OCJ44" s="55"/>
      <c r="OCK44" s="55"/>
      <c r="OCL44" s="55"/>
      <c r="OCM44" s="55"/>
      <c r="OCN44" s="55"/>
      <c r="OCO44" s="55"/>
      <c r="OCP44" s="55"/>
      <c r="OCQ44" s="55"/>
      <c r="OCR44" s="55"/>
      <c r="OCS44" s="55"/>
      <c r="OCT44" s="55"/>
      <c r="OCU44" s="55"/>
      <c r="OCV44" s="55"/>
      <c r="OCW44" s="55"/>
      <c r="OCX44" s="55"/>
      <c r="OCY44" s="55"/>
      <c r="OCZ44" s="55"/>
      <c r="ODA44" s="55"/>
      <c r="ODB44" s="55"/>
      <c r="ODC44" s="55"/>
      <c r="ODD44" s="55"/>
      <c r="ODE44" s="55"/>
      <c r="ODF44" s="55"/>
      <c r="ODG44" s="55"/>
      <c r="ODH44" s="55"/>
      <c r="ODI44" s="55"/>
      <c r="ODJ44" s="55"/>
      <c r="ODK44" s="55"/>
      <c r="ODL44" s="55"/>
      <c r="ODM44" s="55"/>
      <c r="ODN44" s="55"/>
      <c r="ODO44" s="55"/>
      <c r="ODP44" s="55"/>
      <c r="ODQ44" s="55"/>
      <c r="ODR44" s="55"/>
      <c r="ODS44" s="55"/>
      <c r="ODT44" s="55"/>
      <c r="ODU44" s="55"/>
      <c r="ODV44" s="55"/>
      <c r="ODW44" s="55"/>
      <c r="ODX44" s="55"/>
      <c r="ODY44" s="55"/>
      <c r="ODZ44" s="55"/>
      <c r="OEA44" s="55"/>
      <c r="OEB44" s="55"/>
      <c r="OEC44" s="55"/>
      <c r="OED44" s="55"/>
      <c r="OEE44" s="55"/>
      <c r="OEF44" s="55"/>
      <c r="OEG44" s="55"/>
      <c r="OEH44" s="55"/>
      <c r="OEI44" s="55"/>
      <c r="OEJ44" s="55"/>
      <c r="OEK44" s="55"/>
      <c r="OEL44" s="55"/>
      <c r="OEM44" s="55"/>
      <c r="OEN44" s="55"/>
      <c r="OEO44" s="55"/>
      <c r="OEP44" s="55"/>
      <c r="OEQ44" s="55"/>
      <c r="OER44" s="55"/>
      <c r="OES44" s="55"/>
      <c r="OET44" s="55"/>
      <c r="OEU44" s="55"/>
      <c r="OEV44" s="55"/>
      <c r="OEW44" s="55"/>
      <c r="OEX44" s="55"/>
      <c r="OEY44" s="55"/>
      <c r="OEZ44" s="55"/>
      <c r="OFA44" s="55"/>
      <c r="OFB44" s="55"/>
      <c r="OFC44" s="55"/>
      <c r="OFD44" s="55"/>
      <c r="OFE44" s="55"/>
      <c r="OFF44" s="55"/>
      <c r="OFG44" s="55"/>
      <c r="OFH44" s="55"/>
      <c r="OFI44" s="55"/>
      <c r="OFJ44" s="55"/>
      <c r="OFK44" s="55"/>
      <c r="OFL44" s="55"/>
      <c r="OFM44" s="55"/>
      <c r="OFN44" s="55"/>
      <c r="OFO44" s="55"/>
      <c r="OFP44" s="55"/>
      <c r="OFQ44" s="55"/>
      <c r="OFR44" s="55"/>
      <c r="OFS44" s="55"/>
      <c r="OFT44" s="55"/>
      <c r="OFU44" s="55"/>
      <c r="OFV44" s="55"/>
      <c r="OFW44" s="55"/>
      <c r="OFX44" s="55"/>
      <c r="OFY44" s="55"/>
      <c r="OFZ44" s="55"/>
      <c r="OGA44" s="55"/>
      <c r="OGB44" s="55"/>
      <c r="OGC44" s="55"/>
      <c r="OGD44" s="55"/>
      <c r="OGE44" s="55"/>
      <c r="OGF44" s="55"/>
      <c r="OGG44" s="55"/>
      <c r="OGH44" s="55"/>
      <c r="OGI44" s="55"/>
      <c r="OGJ44" s="55"/>
      <c r="OGK44" s="55"/>
      <c r="OGL44" s="55"/>
      <c r="OGM44" s="55"/>
      <c r="OGN44" s="55"/>
      <c r="OGO44" s="55"/>
      <c r="OGP44" s="55"/>
      <c r="OGQ44" s="55"/>
      <c r="OGR44" s="55"/>
      <c r="OGS44" s="55"/>
      <c r="OGT44" s="55"/>
      <c r="OGU44" s="55"/>
      <c r="OGV44" s="55"/>
      <c r="OGW44" s="55"/>
      <c r="OGX44" s="55"/>
      <c r="OGY44" s="55"/>
      <c r="OGZ44" s="55"/>
      <c r="OHA44" s="55"/>
      <c r="OHB44" s="55"/>
      <c r="OHC44" s="55"/>
      <c r="OHD44" s="55"/>
      <c r="OHE44" s="55"/>
      <c r="OHF44" s="55"/>
      <c r="OHG44" s="55"/>
      <c r="OHH44" s="55"/>
      <c r="OHI44" s="55"/>
      <c r="OHJ44" s="55"/>
      <c r="OHK44" s="55"/>
      <c r="OHL44" s="55"/>
      <c r="OHM44" s="55"/>
      <c r="OHN44" s="55"/>
      <c r="OHO44" s="55"/>
      <c r="OHP44" s="55"/>
      <c r="OHQ44" s="55"/>
      <c r="OHR44" s="55"/>
      <c r="OHS44" s="55"/>
      <c r="OHT44" s="55"/>
      <c r="OHU44" s="55"/>
      <c r="OHV44" s="55"/>
      <c r="OHW44" s="55"/>
      <c r="OHX44" s="55"/>
      <c r="OHY44" s="55"/>
      <c r="OHZ44" s="55"/>
      <c r="OIA44" s="55"/>
      <c r="OIB44" s="55"/>
      <c r="OIC44" s="55"/>
      <c r="OID44" s="55"/>
      <c r="OIE44" s="55"/>
      <c r="OIF44" s="55"/>
      <c r="OIG44" s="55"/>
      <c r="OIH44" s="55"/>
      <c r="OII44" s="55"/>
      <c r="OIJ44" s="55"/>
      <c r="OIK44" s="55"/>
      <c r="OIL44" s="55"/>
      <c r="OIM44" s="55"/>
      <c r="OIN44" s="55"/>
      <c r="OIO44" s="55"/>
      <c r="OIP44" s="55"/>
      <c r="OIQ44" s="55"/>
      <c r="OIR44" s="55"/>
      <c r="OIS44" s="55"/>
      <c r="OIT44" s="55"/>
      <c r="OIU44" s="55"/>
      <c r="OIV44" s="55"/>
      <c r="OIW44" s="55"/>
      <c r="OIX44" s="55"/>
      <c r="OIY44" s="55"/>
      <c r="OIZ44" s="55"/>
      <c r="OJA44" s="55"/>
      <c r="OJB44" s="55"/>
      <c r="OJC44" s="55"/>
      <c r="OJD44" s="55"/>
      <c r="OJE44" s="55"/>
      <c r="OJF44" s="55"/>
      <c r="OJG44" s="55"/>
      <c r="OJH44" s="55"/>
      <c r="OJI44" s="55"/>
      <c r="OJJ44" s="55"/>
      <c r="OJK44" s="55"/>
      <c r="OJL44" s="55"/>
      <c r="OJM44" s="55"/>
      <c r="OJN44" s="55"/>
      <c r="OJO44" s="55"/>
      <c r="OJP44" s="55"/>
      <c r="OJQ44" s="55"/>
      <c r="OJR44" s="55"/>
      <c r="OJS44" s="55"/>
      <c r="OJT44" s="55"/>
      <c r="OJU44" s="55"/>
      <c r="OJV44" s="55"/>
      <c r="OJW44" s="55"/>
      <c r="OJX44" s="55"/>
      <c r="OJY44" s="55"/>
      <c r="OJZ44" s="55"/>
      <c r="OKA44" s="55"/>
      <c r="OKB44" s="55"/>
      <c r="OKC44" s="55"/>
      <c r="OKD44" s="55"/>
      <c r="OKE44" s="55"/>
      <c r="OKF44" s="55"/>
      <c r="OKG44" s="55"/>
      <c r="OKH44" s="55"/>
      <c r="OKI44" s="55"/>
      <c r="OKJ44" s="55"/>
      <c r="OKK44" s="55"/>
      <c r="OKL44" s="55"/>
      <c r="OKM44" s="55"/>
      <c r="OKN44" s="55"/>
      <c r="OKO44" s="55"/>
      <c r="OKP44" s="55"/>
      <c r="OKQ44" s="55"/>
      <c r="OKR44" s="55"/>
      <c r="OKS44" s="55"/>
      <c r="OKT44" s="55"/>
      <c r="OKU44" s="55"/>
      <c r="OKV44" s="55"/>
      <c r="OKW44" s="55"/>
      <c r="OKX44" s="55"/>
      <c r="OKY44" s="55"/>
      <c r="OKZ44" s="55"/>
      <c r="OLA44" s="55"/>
      <c r="OLB44" s="55"/>
      <c r="OLC44" s="55"/>
      <c r="OLD44" s="55"/>
      <c r="OLE44" s="55"/>
      <c r="OLF44" s="55"/>
      <c r="OLG44" s="55"/>
      <c r="OLH44" s="55"/>
      <c r="OLI44" s="55"/>
      <c r="OLJ44" s="55"/>
      <c r="OLK44" s="55"/>
      <c r="OLL44" s="55"/>
      <c r="OLM44" s="55"/>
      <c r="OLN44" s="55"/>
      <c r="OLO44" s="55"/>
      <c r="OLP44" s="55"/>
      <c r="OLQ44" s="55"/>
      <c r="OLR44" s="55"/>
      <c r="OLS44" s="55"/>
      <c r="OLT44" s="55"/>
      <c r="OLU44" s="55"/>
      <c r="OLV44" s="55"/>
      <c r="OLW44" s="55"/>
      <c r="OLX44" s="55"/>
      <c r="OLY44" s="55"/>
      <c r="OLZ44" s="55"/>
      <c r="OMA44" s="55"/>
      <c r="OMB44" s="55"/>
      <c r="OMC44" s="55"/>
      <c r="OMD44" s="55"/>
      <c r="OME44" s="55"/>
      <c r="OMF44" s="55"/>
      <c r="OMG44" s="55"/>
      <c r="OMH44" s="55"/>
      <c r="OMI44" s="55"/>
      <c r="OMJ44" s="55"/>
      <c r="OMK44" s="55"/>
      <c r="OML44" s="55"/>
      <c r="OMM44" s="55"/>
      <c r="OMN44" s="55"/>
      <c r="OMO44" s="55"/>
      <c r="OMP44" s="55"/>
      <c r="OMQ44" s="55"/>
      <c r="OMR44" s="55"/>
      <c r="OMS44" s="55"/>
      <c r="OMT44" s="55"/>
      <c r="OMU44" s="55"/>
      <c r="OMV44" s="55"/>
      <c r="OMW44" s="55"/>
      <c r="OMX44" s="55"/>
      <c r="OMY44" s="55"/>
      <c r="OMZ44" s="55"/>
      <c r="ONA44" s="55"/>
      <c r="ONB44" s="55"/>
      <c r="ONC44" s="55"/>
      <c r="OND44" s="55"/>
      <c r="ONE44" s="55"/>
      <c r="ONF44" s="55"/>
      <c r="ONG44" s="55"/>
      <c r="ONH44" s="55"/>
      <c r="ONI44" s="55"/>
      <c r="ONJ44" s="55"/>
      <c r="ONK44" s="55"/>
      <c r="ONL44" s="55"/>
      <c r="ONM44" s="55"/>
      <c r="ONN44" s="55"/>
      <c r="ONO44" s="55"/>
      <c r="ONP44" s="55"/>
      <c r="ONQ44" s="55"/>
      <c r="ONR44" s="55"/>
      <c r="ONS44" s="55"/>
      <c r="ONT44" s="55"/>
      <c r="ONU44" s="55"/>
      <c r="ONV44" s="55"/>
      <c r="ONW44" s="55"/>
      <c r="ONX44" s="55"/>
      <c r="ONY44" s="55"/>
      <c r="ONZ44" s="55"/>
      <c r="OOA44" s="55"/>
      <c r="OOB44" s="55"/>
      <c r="OOC44" s="55"/>
      <c r="OOD44" s="55"/>
      <c r="OOE44" s="55"/>
      <c r="OOF44" s="55"/>
      <c r="OOG44" s="55"/>
      <c r="OOH44" s="55"/>
      <c r="OOI44" s="55"/>
      <c r="OOJ44" s="55"/>
      <c r="OOK44" s="55"/>
      <c r="OOL44" s="55"/>
      <c r="OOM44" s="55"/>
      <c r="OON44" s="55"/>
      <c r="OOO44" s="55"/>
      <c r="OOP44" s="55"/>
      <c r="OOQ44" s="55"/>
      <c r="OOR44" s="55"/>
      <c r="OOS44" s="55"/>
      <c r="OOT44" s="55"/>
      <c r="OOU44" s="55"/>
      <c r="OOV44" s="55"/>
      <c r="OOW44" s="55"/>
      <c r="OOX44" s="55"/>
      <c r="OOY44" s="55"/>
      <c r="OOZ44" s="55"/>
      <c r="OPA44" s="55"/>
      <c r="OPB44" s="55"/>
      <c r="OPC44" s="55"/>
      <c r="OPD44" s="55"/>
      <c r="OPE44" s="55"/>
      <c r="OPF44" s="55"/>
      <c r="OPG44" s="55"/>
      <c r="OPH44" s="55"/>
      <c r="OPI44" s="55"/>
      <c r="OPJ44" s="55"/>
      <c r="OPK44" s="55"/>
      <c r="OPL44" s="55"/>
      <c r="OPM44" s="55"/>
      <c r="OPN44" s="55"/>
      <c r="OPO44" s="55"/>
      <c r="OPP44" s="55"/>
      <c r="OPQ44" s="55"/>
      <c r="OPR44" s="55"/>
      <c r="OPS44" s="55"/>
      <c r="OPT44" s="55"/>
      <c r="OPU44" s="55"/>
      <c r="OPV44" s="55"/>
      <c r="OPW44" s="55"/>
      <c r="OPX44" s="55"/>
      <c r="OPY44" s="55"/>
      <c r="OPZ44" s="55"/>
      <c r="OQA44" s="55"/>
      <c r="OQB44" s="55"/>
      <c r="OQC44" s="55"/>
      <c r="OQD44" s="55"/>
      <c r="OQE44" s="55"/>
      <c r="OQF44" s="55"/>
      <c r="OQG44" s="55"/>
      <c r="OQH44" s="55"/>
      <c r="OQI44" s="55"/>
      <c r="OQJ44" s="55"/>
      <c r="OQK44" s="55"/>
      <c r="OQL44" s="55"/>
      <c r="OQM44" s="55"/>
      <c r="OQN44" s="55"/>
      <c r="OQO44" s="55"/>
      <c r="OQP44" s="55"/>
      <c r="OQQ44" s="55"/>
      <c r="OQR44" s="55"/>
      <c r="OQS44" s="55"/>
      <c r="OQT44" s="55"/>
      <c r="OQU44" s="55"/>
      <c r="OQV44" s="55"/>
      <c r="OQW44" s="55"/>
      <c r="OQX44" s="55"/>
      <c r="OQY44" s="55"/>
      <c r="OQZ44" s="55"/>
      <c r="ORA44" s="55"/>
      <c r="ORB44" s="55"/>
      <c r="ORC44" s="55"/>
      <c r="ORD44" s="55"/>
      <c r="ORE44" s="55"/>
      <c r="ORF44" s="55"/>
      <c r="ORG44" s="55"/>
      <c r="ORH44" s="55"/>
      <c r="ORI44" s="55"/>
      <c r="ORJ44" s="55"/>
      <c r="ORK44" s="55"/>
      <c r="ORL44" s="55"/>
      <c r="ORM44" s="55"/>
      <c r="ORN44" s="55"/>
      <c r="ORO44" s="55"/>
      <c r="ORP44" s="55"/>
      <c r="ORQ44" s="55"/>
      <c r="ORR44" s="55"/>
      <c r="ORS44" s="55"/>
      <c r="ORT44" s="55"/>
      <c r="ORU44" s="55"/>
      <c r="ORV44" s="55"/>
      <c r="ORW44" s="55"/>
      <c r="ORX44" s="55"/>
      <c r="ORY44" s="55"/>
      <c r="ORZ44" s="55"/>
      <c r="OSA44" s="55"/>
      <c r="OSB44" s="55"/>
      <c r="OSC44" s="55"/>
      <c r="OSD44" s="55"/>
      <c r="OSE44" s="55"/>
      <c r="OSF44" s="55"/>
      <c r="OSG44" s="55"/>
      <c r="OSH44" s="55"/>
      <c r="OSI44" s="55"/>
      <c r="OSJ44" s="55"/>
      <c r="OSK44" s="55"/>
      <c r="OSL44" s="55"/>
      <c r="OSM44" s="55"/>
      <c r="OSN44" s="55"/>
      <c r="OSO44" s="55"/>
      <c r="OSP44" s="55"/>
      <c r="OSQ44" s="55"/>
      <c r="OSR44" s="55"/>
      <c r="OSS44" s="55"/>
      <c r="OST44" s="55"/>
      <c r="OSU44" s="55"/>
      <c r="OSV44" s="55"/>
      <c r="OSW44" s="55"/>
      <c r="OSX44" s="55"/>
      <c r="OSY44" s="55"/>
      <c r="OSZ44" s="55"/>
      <c r="OTA44" s="55"/>
      <c r="OTB44" s="55"/>
      <c r="OTC44" s="55"/>
      <c r="OTD44" s="55"/>
      <c r="OTE44" s="55"/>
      <c r="OTF44" s="55"/>
      <c r="OTG44" s="55"/>
      <c r="OTH44" s="55"/>
      <c r="OTI44" s="55"/>
      <c r="OTJ44" s="55"/>
      <c r="OTK44" s="55"/>
      <c r="OTL44" s="55"/>
      <c r="OTM44" s="55"/>
      <c r="OTN44" s="55"/>
      <c r="OTO44" s="55"/>
      <c r="OTP44" s="55"/>
      <c r="OTQ44" s="55"/>
      <c r="OTR44" s="55"/>
      <c r="OTS44" s="55"/>
      <c r="OTT44" s="55"/>
      <c r="OTU44" s="55"/>
      <c r="OTV44" s="55"/>
      <c r="OTW44" s="55"/>
      <c r="OTX44" s="55"/>
      <c r="OTY44" s="55"/>
      <c r="OTZ44" s="55"/>
      <c r="OUA44" s="55"/>
      <c r="OUB44" s="55"/>
      <c r="OUC44" s="55"/>
      <c r="OUD44" s="55"/>
      <c r="OUE44" s="55"/>
      <c r="OUF44" s="55"/>
      <c r="OUG44" s="55"/>
      <c r="OUH44" s="55"/>
      <c r="OUI44" s="55"/>
      <c r="OUJ44" s="55"/>
      <c r="OUK44" s="55"/>
      <c r="OUL44" s="55"/>
      <c r="OUM44" s="55"/>
      <c r="OUN44" s="55"/>
      <c r="OUO44" s="55"/>
      <c r="OUP44" s="55"/>
      <c r="OUQ44" s="55"/>
      <c r="OUR44" s="55"/>
      <c r="OUS44" s="55"/>
      <c r="OUT44" s="55"/>
      <c r="OUU44" s="55"/>
      <c r="OUV44" s="55"/>
      <c r="OUW44" s="55"/>
      <c r="OUX44" s="55"/>
      <c r="OUY44" s="55"/>
      <c r="OUZ44" s="55"/>
      <c r="OVA44" s="55"/>
      <c r="OVB44" s="55"/>
      <c r="OVC44" s="55"/>
      <c r="OVD44" s="55"/>
      <c r="OVE44" s="55"/>
      <c r="OVF44" s="55"/>
      <c r="OVG44" s="55"/>
      <c r="OVH44" s="55"/>
      <c r="OVI44" s="55"/>
      <c r="OVJ44" s="55"/>
      <c r="OVK44" s="55"/>
      <c r="OVL44" s="55"/>
      <c r="OVM44" s="55"/>
      <c r="OVN44" s="55"/>
      <c r="OVO44" s="55"/>
      <c r="OVP44" s="55"/>
      <c r="OVQ44" s="55"/>
      <c r="OVR44" s="55"/>
      <c r="OVS44" s="55"/>
      <c r="OVT44" s="55"/>
      <c r="OVU44" s="55"/>
      <c r="OVV44" s="55"/>
      <c r="OVW44" s="55"/>
      <c r="OVX44" s="55"/>
      <c r="OVY44" s="55"/>
      <c r="OVZ44" s="55"/>
      <c r="OWA44" s="55"/>
      <c r="OWB44" s="55"/>
      <c r="OWC44" s="55"/>
      <c r="OWD44" s="55"/>
      <c r="OWE44" s="55"/>
      <c r="OWF44" s="55"/>
      <c r="OWG44" s="55"/>
      <c r="OWH44" s="55"/>
      <c r="OWI44" s="55"/>
      <c r="OWJ44" s="55"/>
      <c r="OWK44" s="55"/>
      <c r="OWL44" s="55"/>
      <c r="OWM44" s="55"/>
      <c r="OWN44" s="55"/>
      <c r="OWO44" s="55"/>
      <c r="OWP44" s="55"/>
      <c r="OWQ44" s="55"/>
      <c r="OWR44" s="55"/>
      <c r="OWS44" s="55"/>
      <c r="OWT44" s="55"/>
      <c r="OWU44" s="55"/>
      <c r="OWV44" s="55"/>
      <c r="OWW44" s="55"/>
      <c r="OWX44" s="55"/>
      <c r="OWY44" s="55"/>
      <c r="OWZ44" s="55"/>
      <c r="OXA44" s="55"/>
      <c r="OXB44" s="55"/>
      <c r="OXC44" s="55"/>
      <c r="OXD44" s="55"/>
      <c r="OXE44" s="55"/>
      <c r="OXF44" s="55"/>
      <c r="OXG44" s="55"/>
      <c r="OXH44" s="55"/>
      <c r="OXI44" s="55"/>
      <c r="OXJ44" s="55"/>
      <c r="OXK44" s="55"/>
      <c r="OXL44" s="55"/>
      <c r="OXM44" s="55"/>
      <c r="OXN44" s="55"/>
      <c r="OXO44" s="55"/>
      <c r="OXP44" s="55"/>
      <c r="OXQ44" s="55"/>
      <c r="OXR44" s="55"/>
      <c r="OXS44" s="55"/>
      <c r="OXT44" s="55"/>
      <c r="OXU44" s="55"/>
      <c r="OXV44" s="55"/>
      <c r="OXW44" s="55"/>
      <c r="OXX44" s="55"/>
      <c r="OXY44" s="55"/>
      <c r="OXZ44" s="55"/>
      <c r="OYA44" s="55"/>
      <c r="OYB44" s="55"/>
      <c r="OYC44" s="55"/>
      <c r="OYD44" s="55"/>
      <c r="OYE44" s="55"/>
      <c r="OYF44" s="55"/>
      <c r="OYG44" s="55"/>
      <c r="OYH44" s="55"/>
      <c r="OYI44" s="55"/>
      <c r="OYJ44" s="55"/>
      <c r="OYK44" s="55"/>
      <c r="OYL44" s="55"/>
      <c r="OYM44" s="55"/>
      <c r="OYN44" s="55"/>
      <c r="OYO44" s="55"/>
      <c r="OYP44" s="55"/>
      <c r="OYQ44" s="55"/>
      <c r="OYR44" s="55"/>
      <c r="OYS44" s="55"/>
      <c r="OYT44" s="55"/>
      <c r="OYU44" s="55"/>
      <c r="OYV44" s="55"/>
      <c r="OYW44" s="55"/>
      <c r="OYX44" s="55"/>
      <c r="OYY44" s="55"/>
      <c r="OYZ44" s="55"/>
      <c r="OZA44" s="55"/>
      <c r="OZB44" s="55"/>
      <c r="OZC44" s="55"/>
      <c r="OZD44" s="55"/>
      <c r="OZE44" s="55"/>
      <c r="OZF44" s="55"/>
      <c r="OZG44" s="55"/>
      <c r="OZH44" s="55"/>
      <c r="OZI44" s="55"/>
      <c r="OZJ44" s="55"/>
      <c r="OZK44" s="55"/>
      <c r="OZL44" s="55"/>
      <c r="OZM44" s="55"/>
      <c r="OZN44" s="55"/>
      <c r="OZO44" s="55"/>
      <c r="OZP44" s="55"/>
      <c r="OZQ44" s="55"/>
      <c r="OZR44" s="55"/>
      <c r="OZS44" s="55"/>
      <c r="OZT44" s="55"/>
      <c r="OZU44" s="55"/>
      <c r="OZV44" s="55"/>
      <c r="OZW44" s="55"/>
      <c r="OZX44" s="55"/>
      <c r="OZY44" s="55"/>
      <c r="OZZ44" s="55"/>
      <c r="PAA44" s="55"/>
      <c r="PAB44" s="55"/>
      <c r="PAC44" s="55"/>
      <c r="PAD44" s="55"/>
      <c r="PAE44" s="55"/>
      <c r="PAF44" s="55"/>
      <c r="PAG44" s="55"/>
      <c r="PAH44" s="55"/>
      <c r="PAI44" s="55"/>
      <c r="PAJ44" s="55"/>
      <c r="PAK44" s="55"/>
      <c r="PAL44" s="55"/>
      <c r="PAM44" s="55"/>
      <c r="PAN44" s="55"/>
      <c r="PAO44" s="55"/>
      <c r="PAP44" s="55"/>
      <c r="PAQ44" s="55"/>
      <c r="PAR44" s="55"/>
      <c r="PAS44" s="55"/>
      <c r="PAT44" s="55"/>
      <c r="PAU44" s="55"/>
      <c r="PAV44" s="55"/>
      <c r="PAW44" s="55"/>
      <c r="PAX44" s="55"/>
      <c r="PAY44" s="55"/>
      <c r="PAZ44" s="55"/>
      <c r="PBA44" s="55"/>
      <c r="PBB44" s="55"/>
      <c r="PBC44" s="55"/>
      <c r="PBD44" s="55"/>
      <c r="PBE44" s="55"/>
      <c r="PBF44" s="55"/>
      <c r="PBG44" s="55"/>
      <c r="PBH44" s="55"/>
      <c r="PBI44" s="55"/>
      <c r="PBJ44" s="55"/>
      <c r="PBK44" s="55"/>
      <c r="PBL44" s="55"/>
      <c r="PBM44" s="55"/>
      <c r="PBN44" s="55"/>
      <c r="PBO44" s="55"/>
      <c r="PBP44" s="55"/>
      <c r="PBQ44" s="55"/>
      <c r="PBR44" s="55"/>
      <c r="PBS44" s="55"/>
      <c r="PBT44" s="55"/>
      <c r="PBU44" s="55"/>
      <c r="PBV44" s="55"/>
      <c r="PBW44" s="55"/>
      <c r="PBX44" s="55"/>
      <c r="PBY44" s="55"/>
      <c r="PBZ44" s="55"/>
      <c r="PCA44" s="55"/>
      <c r="PCB44" s="55"/>
      <c r="PCC44" s="55"/>
      <c r="PCD44" s="55"/>
      <c r="PCE44" s="55"/>
      <c r="PCF44" s="55"/>
      <c r="PCG44" s="55"/>
      <c r="PCH44" s="55"/>
      <c r="PCI44" s="55"/>
      <c r="PCJ44" s="55"/>
      <c r="PCK44" s="55"/>
      <c r="PCL44" s="55"/>
      <c r="PCM44" s="55"/>
      <c r="PCN44" s="55"/>
      <c r="PCO44" s="55"/>
      <c r="PCP44" s="55"/>
      <c r="PCQ44" s="55"/>
      <c r="PCR44" s="55"/>
      <c r="PCS44" s="55"/>
      <c r="PCT44" s="55"/>
      <c r="PCU44" s="55"/>
      <c r="PCV44" s="55"/>
      <c r="PCW44" s="55"/>
      <c r="PCX44" s="55"/>
      <c r="PCY44" s="55"/>
      <c r="PCZ44" s="55"/>
      <c r="PDA44" s="55"/>
      <c r="PDB44" s="55"/>
      <c r="PDC44" s="55"/>
      <c r="PDD44" s="55"/>
      <c r="PDE44" s="55"/>
      <c r="PDF44" s="55"/>
      <c r="PDG44" s="55"/>
      <c r="PDH44" s="55"/>
      <c r="PDI44" s="55"/>
      <c r="PDJ44" s="55"/>
      <c r="PDK44" s="55"/>
      <c r="PDL44" s="55"/>
      <c r="PDM44" s="55"/>
      <c r="PDN44" s="55"/>
      <c r="PDO44" s="55"/>
      <c r="PDP44" s="55"/>
      <c r="PDQ44" s="55"/>
      <c r="PDR44" s="55"/>
      <c r="PDS44" s="55"/>
      <c r="PDT44" s="55"/>
      <c r="PDU44" s="55"/>
      <c r="PDV44" s="55"/>
      <c r="PDW44" s="55"/>
      <c r="PDX44" s="55"/>
      <c r="PDY44" s="55"/>
      <c r="PDZ44" s="55"/>
      <c r="PEA44" s="55"/>
      <c r="PEB44" s="55"/>
      <c r="PEC44" s="55"/>
      <c r="PED44" s="55"/>
      <c r="PEE44" s="55"/>
      <c r="PEF44" s="55"/>
      <c r="PEG44" s="55"/>
      <c r="PEH44" s="55"/>
      <c r="PEI44" s="55"/>
      <c r="PEJ44" s="55"/>
      <c r="PEK44" s="55"/>
      <c r="PEL44" s="55"/>
      <c r="PEM44" s="55"/>
      <c r="PEN44" s="55"/>
      <c r="PEO44" s="55"/>
      <c r="PEP44" s="55"/>
      <c r="PEQ44" s="55"/>
      <c r="PER44" s="55"/>
      <c r="PES44" s="55"/>
      <c r="PET44" s="55"/>
      <c r="PEU44" s="55"/>
      <c r="PEV44" s="55"/>
      <c r="PEW44" s="55"/>
      <c r="PEX44" s="55"/>
      <c r="PEY44" s="55"/>
      <c r="PEZ44" s="55"/>
      <c r="PFA44" s="55"/>
      <c r="PFB44" s="55"/>
      <c r="PFC44" s="55"/>
      <c r="PFD44" s="55"/>
      <c r="PFE44" s="55"/>
      <c r="PFF44" s="55"/>
      <c r="PFG44" s="55"/>
      <c r="PFH44" s="55"/>
      <c r="PFI44" s="55"/>
      <c r="PFJ44" s="55"/>
      <c r="PFK44" s="55"/>
      <c r="PFL44" s="55"/>
      <c r="PFM44" s="55"/>
      <c r="PFN44" s="55"/>
      <c r="PFO44" s="55"/>
      <c r="PFP44" s="55"/>
      <c r="PFQ44" s="55"/>
      <c r="PFR44" s="55"/>
      <c r="PFS44" s="55"/>
      <c r="PFT44" s="55"/>
      <c r="PFU44" s="55"/>
      <c r="PFV44" s="55"/>
      <c r="PFW44" s="55"/>
      <c r="PFX44" s="55"/>
      <c r="PFY44" s="55"/>
      <c r="PFZ44" s="55"/>
      <c r="PGA44" s="55"/>
      <c r="PGB44" s="55"/>
      <c r="PGC44" s="55"/>
      <c r="PGD44" s="55"/>
      <c r="PGE44" s="55"/>
      <c r="PGF44" s="55"/>
      <c r="PGG44" s="55"/>
      <c r="PGH44" s="55"/>
      <c r="PGI44" s="55"/>
      <c r="PGJ44" s="55"/>
      <c r="PGK44" s="55"/>
      <c r="PGL44" s="55"/>
      <c r="PGM44" s="55"/>
      <c r="PGN44" s="55"/>
      <c r="PGO44" s="55"/>
      <c r="PGP44" s="55"/>
      <c r="PGQ44" s="55"/>
      <c r="PGR44" s="55"/>
      <c r="PGS44" s="55"/>
      <c r="PGT44" s="55"/>
      <c r="PGU44" s="55"/>
      <c r="PGV44" s="55"/>
      <c r="PGW44" s="55"/>
      <c r="PGX44" s="55"/>
      <c r="PGY44" s="55"/>
      <c r="PGZ44" s="55"/>
      <c r="PHA44" s="55"/>
      <c r="PHB44" s="55"/>
      <c r="PHC44" s="55"/>
      <c r="PHD44" s="55"/>
      <c r="PHE44" s="55"/>
      <c r="PHF44" s="55"/>
      <c r="PHG44" s="55"/>
      <c r="PHH44" s="55"/>
      <c r="PHI44" s="55"/>
      <c r="PHJ44" s="55"/>
      <c r="PHK44" s="55"/>
      <c r="PHL44" s="55"/>
      <c r="PHM44" s="55"/>
      <c r="PHN44" s="55"/>
      <c r="PHO44" s="55"/>
      <c r="PHP44" s="55"/>
      <c r="PHQ44" s="55"/>
      <c r="PHR44" s="55"/>
      <c r="PHS44" s="55"/>
      <c r="PHT44" s="55"/>
      <c r="PHU44" s="55"/>
      <c r="PHV44" s="55"/>
      <c r="PHW44" s="55"/>
      <c r="PHX44" s="55"/>
      <c r="PHY44" s="55"/>
      <c r="PHZ44" s="55"/>
      <c r="PIA44" s="55"/>
      <c r="PIB44" s="55"/>
      <c r="PIC44" s="55"/>
      <c r="PID44" s="55"/>
      <c r="PIE44" s="55"/>
      <c r="PIF44" s="55"/>
      <c r="PIG44" s="55"/>
      <c r="PIH44" s="55"/>
      <c r="PII44" s="55"/>
      <c r="PIJ44" s="55"/>
      <c r="PIK44" s="55"/>
      <c r="PIL44" s="55"/>
      <c r="PIM44" s="55"/>
      <c r="PIN44" s="55"/>
      <c r="PIO44" s="55"/>
      <c r="PIP44" s="55"/>
      <c r="PIQ44" s="55"/>
      <c r="PIR44" s="55"/>
      <c r="PIS44" s="55"/>
      <c r="PIT44" s="55"/>
      <c r="PIU44" s="55"/>
      <c r="PIV44" s="55"/>
      <c r="PIW44" s="55"/>
      <c r="PIX44" s="55"/>
      <c r="PIY44" s="55"/>
      <c r="PIZ44" s="55"/>
      <c r="PJA44" s="55"/>
      <c r="PJB44" s="55"/>
      <c r="PJC44" s="55"/>
      <c r="PJD44" s="55"/>
      <c r="PJE44" s="55"/>
      <c r="PJF44" s="55"/>
      <c r="PJG44" s="55"/>
      <c r="PJH44" s="55"/>
      <c r="PJI44" s="55"/>
      <c r="PJJ44" s="55"/>
      <c r="PJK44" s="55"/>
      <c r="PJL44" s="55"/>
      <c r="PJM44" s="55"/>
      <c r="PJN44" s="55"/>
      <c r="PJO44" s="55"/>
      <c r="PJP44" s="55"/>
      <c r="PJQ44" s="55"/>
      <c r="PJR44" s="55"/>
      <c r="PJS44" s="55"/>
      <c r="PJT44" s="55"/>
      <c r="PJU44" s="55"/>
      <c r="PJV44" s="55"/>
      <c r="PJW44" s="55"/>
      <c r="PJX44" s="55"/>
      <c r="PJY44" s="55"/>
      <c r="PJZ44" s="55"/>
      <c r="PKA44" s="55"/>
      <c r="PKB44" s="55"/>
      <c r="PKC44" s="55"/>
      <c r="PKD44" s="55"/>
      <c r="PKE44" s="55"/>
      <c r="PKF44" s="55"/>
      <c r="PKG44" s="55"/>
      <c r="PKH44" s="55"/>
      <c r="PKI44" s="55"/>
      <c r="PKJ44" s="55"/>
      <c r="PKK44" s="55"/>
      <c r="PKL44" s="55"/>
      <c r="PKM44" s="55"/>
      <c r="PKN44" s="55"/>
      <c r="PKO44" s="55"/>
      <c r="PKP44" s="55"/>
      <c r="PKQ44" s="55"/>
      <c r="PKR44" s="55"/>
      <c r="PKS44" s="55"/>
      <c r="PKT44" s="55"/>
      <c r="PKU44" s="55"/>
      <c r="PKV44" s="55"/>
      <c r="PKW44" s="55"/>
      <c r="PKX44" s="55"/>
      <c r="PKY44" s="55"/>
      <c r="PKZ44" s="55"/>
      <c r="PLA44" s="55"/>
      <c r="PLB44" s="55"/>
      <c r="PLC44" s="55"/>
      <c r="PLD44" s="55"/>
      <c r="PLE44" s="55"/>
      <c r="PLF44" s="55"/>
      <c r="PLG44" s="55"/>
      <c r="PLH44" s="55"/>
      <c r="PLI44" s="55"/>
      <c r="PLJ44" s="55"/>
      <c r="PLK44" s="55"/>
      <c r="PLL44" s="55"/>
      <c r="PLM44" s="55"/>
      <c r="PLN44" s="55"/>
      <c r="PLO44" s="55"/>
      <c r="PLP44" s="55"/>
      <c r="PLQ44" s="55"/>
      <c r="PLR44" s="55"/>
      <c r="PLS44" s="55"/>
      <c r="PLT44" s="55"/>
      <c r="PLU44" s="55"/>
      <c r="PLV44" s="55"/>
      <c r="PLW44" s="55"/>
      <c r="PLX44" s="55"/>
      <c r="PLY44" s="55"/>
      <c r="PLZ44" s="55"/>
      <c r="PMA44" s="55"/>
      <c r="PMB44" s="55"/>
      <c r="PMC44" s="55"/>
      <c r="PMD44" s="55"/>
      <c r="PME44" s="55"/>
      <c r="PMF44" s="55"/>
      <c r="PMG44" s="55"/>
      <c r="PMH44" s="55"/>
      <c r="PMI44" s="55"/>
      <c r="PMJ44" s="55"/>
      <c r="PMK44" s="55"/>
      <c r="PML44" s="55"/>
      <c r="PMM44" s="55"/>
      <c r="PMN44" s="55"/>
      <c r="PMO44" s="55"/>
      <c r="PMP44" s="55"/>
      <c r="PMQ44" s="55"/>
      <c r="PMR44" s="55"/>
      <c r="PMS44" s="55"/>
      <c r="PMT44" s="55"/>
      <c r="PMU44" s="55"/>
      <c r="PMV44" s="55"/>
      <c r="PMW44" s="55"/>
      <c r="PMX44" s="55"/>
      <c r="PMY44" s="55"/>
      <c r="PMZ44" s="55"/>
      <c r="PNA44" s="55"/>
      <c r="PNB44" s="55"/>
      <c r="PNC44" s="55"/>
      <c r="PND44" s="55"/>
      <c r="PNE44" s="55"/>
      <c r="PNF44" s="55"/>
      <c r="PNG44" s="55"/>
      <c r="PNH44" s="55"/>
      <c r="PNI44" s="55"/>
      <c r="PNJ44" s="55"/>
      <c r="PNK44" s="55"/>
      <c r="PNL44" s="55"/>
      <c r="PNM44" s="55"/>
      <c r="PNN44" s="55"/>
      <c r="PNO44" s="55"/>
      <c r="PNP44" s="55"/>
      <c r="PNQ44" s="55"/>
      <c r="PNR44" s="55"/>
      <c r="PNS44" s="55"/>
      <c r="PNT44" s="55"/>
      <c r="PNU44" s="55"/>
      <c r="PNV44" s="55"/>
      <c r="PNW44" s="55"/>
      <c r="PNX44" s="55"/>
      <c r="PNY44" s="55"/>
      <c r="PNZ44" s="55"/>
      <c r="POA44" s="55"/>
      <c r="POB44" s="55"/>
      <c r="POC44" s="55"/>
      <c r="POD44" s="55"/>
      <c r="POE44" s="55"/>
      <c r="POF44" s="55"/>
      <c r="POG44" s="55"/>
      <c r="POH44" s="55"/>
      <c r="POI44" s="55"/>
      <c r="POJ44" s="55"/>
      <c r="POK44" s="55"/>
      <c r="POL44" s="55"/>
      <c r="POM44" s="55"/>
      <c r="PON44" s="55"/>
      <c r="POO44" s="55"/>
      <c r="POP44" s="55"/>
      <c r="POQ44" s="55"/>
      <c r="POR44" s="55"/>
      <c r="POS44" s="55"/>
      <c r="POT44" s="55"/>
      <c r="POU44" s="55"/>
      <c r="POV44" s="55"/>
      <c r="POW44" s="55"/>
      <c r="POX44" s="55"/>
      <c r="POY44" s="55"/>
      <c r="POZ44" s="55"/>
      <c r="PPA44" s="55"/>
      <c r="PPB44" s="55"/>
      <c r="PPC44" s="55"/>
      <c r="PPD44" s="55"/>
      <c r="PPE44" s="55"/>
      <c r="PPF44" s="55"/>
      <c r="PPG44" s="55"/>
      <c r="PPH44" s="55"/>
      <c r="PPI44" s="55"/>
      <c r="PPJ44" s="55"/>
      <c r="PPK44" s="55"/>
      <c r="PPL44" s="55"/>
      <c r="PPM44" s="55"/>
      <c r="PPN44" s="55"/>
      <c r="PPO44" s="55"/>
      <c r="PPP44" s="55"/>
      <c r="PPQ44" s="55"/>
      <c r="PPR44" s="55"/>
      <c r="PPS44" s="55"/>
      <c r="PPT44" s="55"/>
      <c r="PPU44" s="55"/>
      <c r="PPV44" s="55"/>
      <c r="PPW44" s="55"/>
      <c r="PPX44" s="55"/>
      <c r="PPY44" s="55"/>
      <c r="PPZ44" s="55"/>
      <c r="PQA44" s="55"/>
      <c r="PQB44" s="55"/>
      <c r="PQC44" s="55"/>
      <c r="PQD44" s="55"/>
      <c r="PQE44" s="55"/>
      <c r="PQF44" s="55"/>
      <c r="PQG44" s="55"/>
      <c r="PQH44" s="55"/>
      <c r="PQI44" s="55"/>
      <c r="PQJ44" s="55"/>
      <c r="PQK44" s="55"/>
      <c r="PQL44" s="55"/>
      <c r="PQM44" s="55"/>
      <c r="PQN44" s="55"/>
      <c r="PQO44" s="55"/>
      <c r="PQP44" s="55"/>
      <c r="PQQ44" s="55"/>
      <c r="PQR44" s="55"/>
      <c r="PQS44" s="55"/>
      <c r="PQT44" s="55"/>
      <c r="PQU44" s="55"/>
      <c r="PQV44" s="55"/>
      <c r="PQW44" s="55"/>
      <c r="PQX44" s="55"/>
      <c r="PQY44" s="55"/>
      <c r="PQZ44" s="55"/>
      <c r="PRA44" s="55"/>
      <c r="PRB44" s="55"/>
      <c r="PRC44" s="55"/>
      <c r="PRD44" s="55"/>
      <c r="PRE44" s="55"/>
      <c r="PRF44" s="55"/>
      <c r="PRG44" s="55"/>
      <c r="PRH44" s="55"/>
      <c r="PRI44" s="55"/>
      <c r="PRJ44" s="55"/>
      <c r="PRK44" s="55"/>
      <c r="PRL44" s="55"/>
      <c r="PRM44" s="55"/>
      <c r="PRN44" s="55"/>
      <c r="PRO44" s="55"/>
      <c r="PRP44" s="55"/>
      <c r="PRQ44" s="55"/>
      <c r="PRR44" s="55"/>
      <c r="PRS44" s="55"/>
      <c r="PRT44" s="55"/>
      <c r="PRU44" s="55"/>
      <c r="PRV44" s="55"/>
      <c r="PRW44" s="55"/>
      <c r="PRX44" s="55"/>
      <c r="PRY44" s="55"/>
      <c r="PRZ44" s="55"/>
      <c r="PSA44" s="55"/>
      <c r="PSB44" s="55"/>
      <c r="PSC44" s="55"/>
      <c r="PSD44" s="55"/>
      <c r="PSE44" s="55"/>
      <c r="PSF44" s="55"/>
      <c r="PSG44" s="55"/>
      <c r="PSH44" s="55"/>
      <c r="PSI44" s="55"/>
      <c r="PSJ44" s="55"/>
      <c r="PSK44" s="55"/>
      <c r="PSL44" s="55"/>
      <c r="PSM44" s="55"/>
      <c r="PSN44" s="55"/>
      <c r="PSO44" s="55"/>
      <c r="PSP44" s="55"/>
      <c r="PSQ44" s="55"/>
      <c r="PSR44" s="55"/>
      <c r="PSS44" s="55"/>
      <c r="PST44" s="55"/>
      <c r="PSU44" s="55"/>
      <c r="PSV44" s="55"/>
      <c r="PSW44" s="55"/>
      <c r="PSX44" s="55"/>
      <c r="PSY44" s="55"/>
      <c r="PSZ44" s="55"/>
      <c r="PTA44" s="55"/>
      <c r="PTB44" s="55"/>
      <c r="PTC44" s="55"/>
      <c r="PTD44" s="55"/>
      <c r="PTE44" s="55"/>
      <c r="PTF44" s="55"/>
      <c r="PTG44" s="55"/>
      <c r="PTH44" s="55"/>
      <c r="PTI44" s="55"/>
      <c r="PTJ44" s="55"/>
      <c r="PTK44" s="55"/>
      <c r="PTL44" s="55"/>
      <c r="PTM44" s="55"/>
      <c r="PTN44" s="55"/>
      <c r="PTO44" s="55"/>
      <c r="PTP44" s="55"/>
      <c r="PTQ44" s="55"/>
      <c r="PTR44" s="55"/>
      <c r="PTS44" s="55"/>
      <c r="PTT44" s="55"/>
      <c r="PTU44" s="55"/>
      <c r="PTV44" s="55"/>
      <c r="PTW44" s="55"/>
      <c r="PTX44" s="55"/>
      <c r="PTY44" s="55"/>
      <c r="PTZ44" s="55"/>
      <c r="PUA44" s="55"/>
      <c r="PUB44" s="55"/>
      <c r="PUC44" s="55"/>
      <c r="PUD44" s="55"/>
      <c r="PUE44" s="55"/>
      <c r="PUF44" s="55"/>
      <c r="PUG44" s="55"/>
      <c r="PUH44" s="55"/>
      <c r="PUI44" s="55"/>
      <c r="PUJ44" s="55"/>
      <c r="PUK44" s="55"/>
      <c r="PUL44" s="55"/>
      <c r="PUM44" s="55"/>
      <c r="PUN44" s="55"/>
      <c r="PUO44" s="55"/>
      <c r="PUP44" s="55"/>
      <c r="PUQ44" s="55"/>
      <c r="PUR44" s="55"/>
      <c r="PUS44" s="55"/>
      <c r="PUT44" s="55"/>
      <c r="PUU44" s="55"/>
      <c r="PUV44" s="55"/>
      <c r="PUW44" s="55"/>
      <c r="PUX44" s="55"/>
      <c r="PUY44" s="55"/>
      <c r="PUZ44" s="55"/>
      <c r="PVA44" s="55"/>
      <c r="PVB44" s="55"/>
      <c r="PVC44" s="55"/>
      <c r="PVD44" s="55"/>
      <c r="PVE44" s="55"/>
      <c r="PVF44" s="55"/>
      <c r="PVG44" s="55"/>
      <c r="PVH44" s="55"/>
      <c r="PVI44" s="55"/>
      <c r="PVJ44" s="55"/>
      <c r="PVK44" s="55"/>
      <c r="PVL44" s="55"/>
      <c r="PVM44" s="55"/>
      <c r="PVN44" s="55"/>
      <c r="PVO44" s="55"/>
      <c r="PVP44" s="55"/>
      <c r="PVQ44" s="55"/>
      <c r="PVR44" s="55"/>
      <c r="PVS44" s="55"/>
      <c r="PVT44" s="55"/>
      <c r="PVU44" s="55"/>
      <c r="PVV44" s="55"/>
      <c r="PVW44" s="55"/>
      <c r="PVX44" s="55"/>
      <c r="PVY44" s="55"/>
      <c r="PVZ44" s="55"/>
      <c r="PWA44" s="55"/>
      <c r="PWB44" s="55"/>
      <c r="PWC44" s="55"/>
      <c r="PWD44" s="55"/>
      <c r="PWE44" s="55"/>
      <c r="PWF44" s="55"/>
      <c r="PWG44" s="55"/>
      <c r="PWH44" s="55"/>
      <c r="PWI44" s="55"/>
      <c r="PWJ44" s="55"/>
      <c r="PWK44" s="55"/>
      <c r="PWL44" s="55"/>
      <c r="PWM44" s="55"/>
      <c r="PWN44" s="55"/>
      <c r="PWO44" s="55"/>
      <c r="PWP44" s="55"/>
      <c r="PWQ44" s="55"/>
      <c r="PWR44" s="55"/>
      <c r="PWS44" s="55"/>
      <c r="PWT44" s="55"/>
      <c r="PWU44" s="55"/>
      <c r="PWV44" s="55"/>
      <c r="PWW44" s="55"/>
      <c r="PWX44" s="55"/>
      <c r="PWY44" s="55"/>
      <c r="PWZ44" s="55"/>
      <c r="PXA44" s="55"/>
      <c r="PXB44" s="55"/>
      <c r="PXC44" s="55"/>
      <c r="PXD44" s="55"/>
      <c r="PXE44" s="55"/>
      <c r="PXF44" s="55"/>
      <c r="PXG44" s="55"/>
      <c r="PXH44" s="55"/>
      <c r="PXI44" s="55"/>
      <c r="PXJ44" s="55"/>
      <c r="PXK44" s="55"/>
      <c r="PXL44" s="55"/>
      <c r="PXM44" s="55"/>
      <c r="PXN44" s="55"/>
      <c r="PXO44" s="55"/>
      <c r="PXP44" s="55"/>
      <c r="PXQ44" s="55"/>
      <c r="PXR44" s="55"/>
      <c r="PXS44" s="55"/>
      <c r="PXT44" s="55"/>
      <c r="PXU44" s="55"/>
      <c r="PXV44" s="55"/>
      <c r="PXW44" s="55"/>
      <c r="PXX44" s="55"/>
      <c r="PXY44" s="55"/>
      <c r="PXZ44" s="55"/>
      <c r="PYA44" s="55"/>
      <c r="PYB44" s="55"/>
      <c r="PYC44" s="55"/>
      <c r="PYD44" s="55"/>
      <c r="PYE44" s="55"/>
      <c r="PYF44" s="55"/>
      <c r="PYG44" s="55"/>
      <c r="PYH44" s="55"/>
      <c r="PYI44" s="55"/>
      <c r="PYJ44" s="55"/>
      <c r="PYK44" s="55"/>
      <c r="PYL44" s="55"/>
      <c r="PYM44" s="55"/>
      <c r="PYN44" s="55"/>
      <c r="PYO44" s="55"/>
      <c r="PYP44" s="55"/>
      <c r="PYQ44" s="55"/>
      <c r="PYR44" s="55"/>
      <c r="PYS44" s="55"/>
      <c r="PYT44" s="55"/>
      <c r="PYU44" s="55"/>
      <c r="PYV44" s="55"/>
      <c r="PYW44" s="55"/>
      <c r="PYX44" s="55"/>
      <c r="PYY44" s="55"/>
      <c r="PYZ44" s="55"/>
      <c r="PZA44" s="55"/>
      <c r="PZB44" s="55"/>
      <c r="PZC44" s="55"/>
      <c r="PZD44" s="55"/>
      <c r="PZE44" s="55"/>
      <c r="PZF44" s="55"/>
      <c r="PZG44" s="55"/>
      <c r="PZH44" s="55"/>
      <c r="PZI44" s="55"/>
      <c r="PZJ44" s="55"/>
      <c r="PZK44" s="55"/>
      <c r="PZL44" s="55"/>
      <c r="PZM44" s="55"/>
      <c r="PZN44" s="55"/>
      <c r="PZO44" s="55"/>
      <c r="PZP44" s="55"/>
      <c r="PZQ44" s="55"/>
      <c r="PZR44" s="55"/>
      <c r="PZS44" s="55"/>
      <c r="PZT44" s="55"/>
      <c r="PZU44" s="55"/>
      <c r="PZV44" s="55"/>
      <c r="PZW44" s="55"/>
      <c r="PZX44" s="55"/>
      <c r="PZY44" s="55"/>
      <c r="PZZ44" s="55"/>
      <c r="QAA44" s="55"/>
      <c r="QAB44" s="55"/>
      <c r="QAC44" s="55"/>
      <c r="QAD44" s="55"/>
      <c r="QAE44" s="55"/>
      <c r="QAF44" s="55"/>
      <c r="QAG44" s="55"/>
      <c r="QAH44" s="55"/>
      <c r="QAI44" s="55"/>
      <c r="QAJ44" s="55"/>
      <c r="QAK44" s="55"/>
      <c r="QAL44" s="55"/>
      <c r="QAM44" s="55"/>
      <c r="QAN44" s="55"/>
      <c r="QAO44" s="55"/>
      <c r="QAP44" s="55"/>
      <c r="QAQ44" s="55"/>
      <c r="QAR44" s="55"/>
      <c r="QAS44" s="55"/>
      <c r="QAT44" s="55"/>
      <c r="QAU44" s="55"/>
      <c r="QAV44" s="55"/>
      <c r="QAW44" s="55"/>
      <c r="QAX44" s="55"/>
      <c r="QAY44" s="55"/>
      <c r="QAZ44" s="55"/>
      <c r="QBA44" s="55"/>
      <c r="QBB44" s="55"/>
      <c r="QBC44" s="55"/>
      <c r="QBD44" s="55"/>
      <c r="QBE44" s="55"/>
      <c r="QBF44" s="55"/>
      <c r="QBG44" s="55"/>
      <c r="QBH44" s="55"/>
      <c r="QBI44" s="55"/>
      <c r="QBJ44" s="55"/>
      <c r="QBK44" s="55"/>
      <c r="QBL44" s="55"/>
      <c r="QBM44" s="55"/>
      <c r="QBN44" s="55"/>
      <c r="QBO44" s="55"/>
      <c r="QBP44" s="55"/>
      <c r="QBQ44" s="55"/>
      <c r="QBR44" s="55"/>
      <c r="QBS44" s="55"/>
      <c r="QBT44" s="55"/>
      <c r="QBU44" s="55"/>
      <c r="QBV44" s="55"/>
      <c r="QBW44" s="55"/>
      <c r="QBX44" s="55"/>
      <c r="QBY44" s="55"/>
      <c r="QBZ44" s="55"/>
      <c r="QCA44" s="55"/>
      <c r="QCB44" s="55"/>
      <c r="QCC44" s="55"/>
      <c r="QCD44" s="55"/>
      <c r="QCE44" s="55"/>
      <c r="QCF44" s="55"/>
      <c r="QCG44" s="55"/>
      <c r="QCH44" s="55"/>
      <c r="QCI44" s="55"/>
      <c r="QCJ44" s="55"/>
      <c r="QCK44" s="55"/>
      <c r="QCL44" s="55"/>
      <c r="QCM44" s="55"/>
      <c r="QCN44" s="55"/>
      <c r="QCO44" s="55"/>
      <c r="QCP44" s="55"/>
      <c r="QCQ44" s="55"/>
      <c r="QCR44" s="55"/>
      <c r="QCS44" s="55"/>
      <c r="QCT44" s="55"/>
      <c r="QCU44" s="55"/>
      <c r="QCV44" s="55"/>
      <c r="QCW44" s="55"/>
      <c r="QCX44" s="55"/>
      <c r="QCY44" s="55"/>
      <c r="QCZ44" s="55"/>
      <c r="QDA44" s="55"/>
      <c r="QDB44" s="55"/>
      <c r="QDC44" s="55"/>
      <c r="QDD44" s="55"/>
      <c r="QDE44" s="55"/>
      <c r="QDF44" s="55"/>
      <c r="QDG44" s="55"/>
      <c r="QDH44" s="55"/>
      <c r="QDI44" s="55"/>
      <c r="QDJ44" s="55"/>
      <c r="QDK44" s="55"/>
      <c r="QDL44" s="55"/>
      <c r="QDM44" s="55"/>
      <c r="QDN44" s="55"/>
      <c r="QDO44" s="55"/>
      <c r="QDP44" s="55"/>
      <c r="QDQ44" s="55"/>
      <c r="QDR44" s="55"/>
      <c r="QDS44" s="55"/>
      <c r="QDT44" s="55"/>
      <c r="QDU44" s="55"/>
      <c r="QDV44" s="55"/>
      <c r="QDW44" s="55"/>
      <c r="QDX44" s="55"/>
      <c r="QDY44" s="55"/>
      <c r="QDZ44" s="55"/>
      <c r="QEA44" s="55"/>
      <c r="QEB44" s="55"/>
      <c r="QEC44" s="55"/>
      <c r="QED44" s="55"/>
      <c r="QEE44" s="55"/>
      <c r="QEF44" s="55"/>
      <c r="QEG44" s="55"/>
      <c r="QEH44" s="55"/>
      <c r="QEI44" s="55"/>
      <c r="QEJ44" s="55"/>
      <c r="QEK44" s="55"/>
      <c r="QEL44" s="55"/>
      <c r="QEM44" s="55"/>
      <c r="QEN44" s="55"/>
      <c r="QEO44" s="55"/>
      <c r="QEP44" s="55"/>
      <c r="QEQ44" s="55"/>
      <c r="QER44" s="55"/>
      <c r="QES44" s="55"/>
      <c r="QET44" s="55"/>
      <c r="QEU44" s="55"/>
      <c r="QEV44" s="55"/>
      <c r="QEW44" s="55"/>
      <c r="QEX44" s="55"/>
      <c r="QEY44" s="55"/>
      <c r="QEZ44" s="55"/>
      <c r="QFA44" s="55"/>
      <c r="QFB44" s="55"/>
      <c r="QFC44" s="55"/>
      <c r="QFD44" s="55"/>
      <c r="QFE44" s="55"/>
      <c r="QFF44" s="55"/>
      <c r="QFG44" s="55"/>
      <c r="QFH44" s="55"/>
      <c r="QFI44" s="55"/>
      <c r="QFJ44" s="55"/>
      <c r="QFK44" s="55"/>
      <c r="QFL44" s="55"/>
      <c r="QFM44" s="55"/>
      <c r="QFN44" s="55"/>
      <c r="QFO44" s="55"/>
      <c r="QFP44" s="55"/>
      <c r="QFQ44" s="55"/>
      <c r="QFR44" s="55"/>
      <c r="QFS44" s="55"/>
      <c r="QFT44" s="55"/>
      <c r="QFU44" s="55"/>
      <c r="QFV44" s="55"/>
      <c r="QFW44" s="55"/>
      <c r="QFX44" s="55"/>
      <c r="QFY44" s="55"/>
      <c r="QFZ44" s="55"/>
      <c r="QGA44" s="55"/>
      <c r="QGB44" s="55"/>
      <c r="QGC44" s="55"/>
      <c r="QGD44" s="55"/>
      <c r="QGE44" s="55"/>
      <c r="QGF44" s="55"/>
      <c r="QGG44" s="55"/>
      <c r="QGH44" s="55"/>
      <c r="QGI44" s="55"/>
      <c r="QGJ44" s="55"/>
      <c r="QGK44" s="55"/>
      <c r="QGL44" s="55"/>
      <c r="QGM44" s="55"/>
      <c r="QGN44" s="55"/>
      <c r="QGO44" s="55"/>
      <c r="QGP44" s="55"/>
      <c r="QGQ44" s="55"/>
      <c r="QGR44" s="55"/>
      <c r="QGS44" s="55"/>
      <c r="QGT44" s="55"/>
      <c r="QGU44" s="55"/>
      <c r="QGV44" s="55"/>
      <c r="QGW44" s="55"/>
      <c r="QGX44" s="55"/>
      <c r="QGY44" s="55"/>
      <c r="QGZ44" s="55"/>
      <c r="QHA44" s="55"/>
      <c r="QHB44" s="55"/>
      <c r="QHC44" s="55"/>
      <c r="QHD44" s="55"/>
      <c r="QHE44" s="55"/>
      <c r="QHF44" s="55"/>
      <c r="QHG44" s="55"/>
      <c r="QHH44" s="55"/>
      <c r="QHI44" s="55"/>
      <c r="QHJ44" s="55"/>
      <c r="QHK44" s="55"/>
      <c r="QHL44" s="55"/>
      <c r="QHM44" s="55"/>
      <c r="QHN44" s="55"/>
      <c r="QHO44" s="55"/>
      <c r="QHP44" s="55"/>
      <c r="QHQ44" s="55"/>
      <c r="QHR44" s="55"/>
      <c r="QHS44" s="55"/>
      <c r="QHT44" s="55"/>
      <c r="QHU44" s="55"/>
      <c r="QHV44" s="55"/>
      <c r="QHW44" s="55"/>
      <c r="QHX44" s="55"/>
      <c r="QHY44" s="55"/>
      <c r="QHZ44" s="55"/>
      <c r="QIA44" s="55"/>
      <c r="QIB44" s="55"/>
      <c r="QIC44" s="55"/>
      <c r="QID44" s="55"/>
      <c r="QIE44" s="55"/>
      <c r="QIF44" s="55"/>
      <c r="QIG44" s="55"/>
      <c r="QIH44" s="55"/>
      <c r="QII44" s="55"/>
      <c r="QIJ44" s="55"/>
      <c r="QIK44" s="55"/>
      <c r="QIL44" s="55"/>
      <c r="QIM44" s="55"/>
      <c r="QIN44" s="55"/>
      <c r="QIO44" s="55"/>
      <c r="QIP44" s="55"/>
      <c r="QIQ44" s="55"/>
      <c r="QIR44" s="55"/>
      <c r="QIS44" s="55"/>
      <c r="QIT44" s="55"/>
      <c r="QIU44" s="55"/>
      <c r="QIV44" s="55"/>
      <c r="QIW44" s="55"/>
      <c r="QIX44" s="55"/>
      <c r="QIY44" s="55"/>
      <c r="QIZ44" s="55"/>
      <c r="QJA44" s="55"/>
      <c r="QJB44" s="55"/>
      <c r="QJC44" s="55"/>
      <c r="QJD44" s="55"/>
      <c r="QJE44" s="55"/>
      <c r="QJF44" s="55"/>
      <c r="QJG44" s="55"/>
      <c r="QJH44" s="55"/>
      <c r="QJI44" s="55"/>
      <c r="QJJ44" s="55"/>
      <c r="QJK44" s="55"/>
      <c r="QJL44" s="55"/>
      <c r="QJM44" s="55"/>
      <c r="QJN44" s="55"/>
      <c r="QJO44" s="55"/>
      <c r="QJP44" s="55"/>
      <c r="QJQ44" s="55"/>
      <c r="QJR44" s="55"/>
      <c r="QJS44" s="55"/>
      <c r="QJT44" s="55"/>
      <c r="QJU44" s="55"/>
      <c r="QJV44" s="55"/>
      <c r="QJW44" s="55"/>
      <c r="QJX44" s="55"/>
      <c r="QJY44" s="55"/>
      <c r="QJZ44" s="55"/>
      <c r="QKA44" s="55"/>
      <c r="QKB44" s="55"/>
      <c r="QKC44" s="55"/>
      <c r="QKD44" s="55"/>
      <c r="QKE44" s="55"/>
      <c r="QKF44" s="55"/>
      <c r="QKG44" s="55"/>
      <c r="QKH44" s="55"/>
      <c r="QKI44" s="55"/>
      <c r="QKJ44" s="55"/>
      <c r="QKK44" s="55"/>
      <c r="QKL44" s="55"/>
      <c r="QKM44" s="55"/>
      <c r="QKN44" s="55"/>
      <c r="QKO44" s="55"/>
      <c r="QKP44" s="55"/>
      <c r="QKQ44" s="55"/>
      <c r="QKR44" s="55"/>
      <c r="QKS44" s="55"/>
      <c r="QKT44" s="55"/>
      <c r="QKU44" s="55"/>
      <c r="QKV44" s="55"/>
      <c r="QKW44" s="55"/>
      <c r="QKX44" s="55"/>
      <c r="QKY44" s="55"/>
      <c r="QKZ44" s="55"/>
      <c r="QLA44" s="55"/>
      <c r="QLB44" s="55"/>
      <c r="QLC44" s="55"/>
      <c r="QLD44" s="55"/>
      <c r="QLE44" s="55"/>
      <c r="QLF44" s="55"/>
      <c r="QLG44" s="55"/>
      <c r="QLH44" s="55"/>
      <c r="QLI44" s="55"/>
      <c r="QLJ44" s="55"/>
      <c r="QLK44" s="55"/>
      <c r="QLL44" s="55"/>
      <c r="QLM44" s="55"/>
      <c r="QLN44" s="55"/>
      <c r="QLO44" s="55"/>
      <c r="QLP44" s="55"/>
      <c r="QLQ44" s="55"/>
      <c r="QLR44" s="55"/>
      <c r="QLS44" s="55"/>
      <c r="QLT44" s="55"/>
      <c r="QLU44" s="55"/>
      <c r="QLV44" s="55"/>
      <c r="QLW44" s="55"/>
      <c r="QLX44" s="55"/>
      <c r="QLY44" s="55"/>
      <c r="QLZ44" s="55"/>
      <c r="QMA44" s="55"/>
      <c r="QMB44" s="55"/>
      <c r="QMC44" s="55"/>
      <c r="QMD44" s="55"/>
      <c r="QME44" s="55"/>
      <c r="QMF44" s="55"/>
      <c r="QMG44" s="55"/>
      <c r="QMH44" s="55"/>
      <c r="QMI44" s="55"/>
      <c r="QMJ44" s="55"/>
      <c r="QMK44" s="55"/>
      <c r="QML44" s="55"/>
      <c r="QMM44" s="55"/>
      <c r="QMN44" s="55"/>
      <c r="QMO44" s="55"/>
      <c r="QMP44" s="55"/>
      <c r="QMQ44" s="55"/>
      <c r="QMR44" s="55"/>
      <c r="QMS44" s="55"/>
      <c r="QMT44" s="55"/>
      <c r="QMU44" s="55"/>
      <c r="QMV44" s="55"/>
      <c r="QMW44" s="55"/>
      <c r="QMX44" s="55"/>
      <c r="QMY44" s="55"/>
      <c r="QMZ44" s="55"/>
      <c r="QNA44" s="55"/>
      <c r="QNB44" s="55"/>
      <c r="QNC44" s="55"/>
      <c r="QND44" s="55"/>
      <c r="QNE44" s="55"/>
      <c r="QNF44" s="55"/>
      <c r="QNG44" s="55"/>
      <c r="QNH44" s="55"/>
      <c r="QNI44" s="55"/>
      <c r="QNJ44" s="55"/>
      <c r="QNK44" s="55"/>
      <c r="QNL44" s="55"/>
      <c r="QNM44" s="55"/>
      <c r="QNN44" s="55"/>
      <c r="QNO44" s="55"/>
      <c r="QNP44" s="55"/>
      <c r="QNQ44" s="55"/>
      <c r="QNR44" s="55"/>
      <c r="QNS44" s="55"/>
      <c r="QNT44" s="55"/>
      <c r="QNU44" s="55"/>
      <c r="QNV44" s="55"/>
      <c r="QNW44" s="55"/>
      <c r="QNX44" s="55"/>
      <c r="QNY44" s="55"/>
      <c r="QNZ44" s="55"/>
      <c r="QOA44" s="55"/>
      <c r="QOB44" s="55"/>
      <c r="QOC44" s="55"/>
      <c r="QOD44" s="55"/>
      <c r="QOE44" s="55"/>
      <c r="QOF44" s="55"/>
      <c r="QOG44" s="55"/>
      <c r="QOH44" s="55"/>
      <c r="QOI44" s="55"/>
      <c r="QOJ44" s="55"/>
      <c r="QOK44" s="55"/>
      <c r="QOL44" s="55"/>
      <c r="QOM44" s="55"/>
      <c r="QON44" s="55"/>
      <c r="QOO44" s="55"/>
      <c r="QOP44" s="55"/>
      <c r="QOQ44" s="55"/>
      <c r="QOR44" s="55"/>
      <c r="QOS44" s="55"/>
      <c r="QOT44" s="55"/>
      <c r="QOU44" s="55"/>
      <c r="QOV44" s="55"/>
      <c r="QOW44" s="55"/>
      <c r="QOX44" s="55"/>
      <c r="QOY44" s="55"/>
      <c r="QOZ44" s="55"/>
      <c r="QPA44" s="55"/>
      <c r="QPB44" s="55"/>
      <c r="QPC44" s="55"/>
      <c r="QPD44" s="55"/>
      <c r="QPE44" s="55"/>
      <c r="QPF44" s="55"/>
      <c r="QPG44" s="55"/>
      <c r="QPH44" s="55"/>
      <c r="QPI44" s="55"/>
      <c r="QPJ44" s="55"/>
      <c r="QPK44" s="55"/>
      <c r="QPL44" s="55"/>
      <c r="QPM44" s="55"/>
      <c r="QPN44" s="55"/>
      <c r="QPO44" s="55"/>
      <c r="QPP44" s="55"/>
      <c r="QPQ44" s="55"/>
      <c r="QPR44" s="55"/>
      <c r="QPS44" s="55"/>
      <c r="QPT44" s="55"/>
      <c r="QPU44" s="55"/>
      <c r="QPV44" s="55"/>
      <c r="QPW44" s="55"/>
      <c r="QPX44" s="55"/>
      <c r="QPY44" s="55"/>
      <c r="QPZ44" s="55"/>
      <c r="QQA44" s="55"/>
      <c r="QQB44" s="55"/>
      <c r="QQC44" s="55"/>
      <c r="QQD44" s="55"/>
      <c r="QQE44" s="55"/>
      <c r="QQF44" s="55"/>
      <c r="QQG44" s="55"/>
      <c r="QQH44" s="55"/>
      <c r="QQI44" s="55"/>
      <c r="QQJ44" s="55"/>
      <c r="QQK44" s="55"/>
      <c r="QQL44" s="55"/>
      <c r="QQM44" s="55"/>
      <c r="QQN44" s="55"/>
      <c r="QQO44" s="55"/>
      <c r="QQP44" s="55"/>
      <c r="QQQ44" s="55"/>
      <c r="QQR44" s="55"/>
      <c r="QQS44" s="55"/>
      <c r="QQT44" s="55"/>
      <c r="QQU44" s="55"/>
      <c r="QQV44" s="55"/>
      <c r="QQW44" s="55"/>
      <c r="QQX44" s="55"/>
      <c r="QQY44" s="55"/>
      <c r="QQZ44" s="55"/>
      <c r="QRA44" s="55"/>
      <c r="QRB44" s="55"/>
      <c r="QRC44" s="55"/>
      <c r="QRD44" s="55"/>
      <c r="QRE44" s="55"/>
      <c r="QRF44" s="55"/>
      <c r="QRG44" s="55"/>
      <c r="QRH44" s="55"/>
      <c r="QRI44" s="55"/>
      <c r="QRJ44" s="55"/>
      <c r="QRK44" s="55"/>
      <c r="QRL44" s="55"/>
      <c r="QRM44" s="55"/>
      <c r="QRN44" s="55"/>
      <c r="QRO44" s="55"/>
      <c r="QRP44" s="55"/>
      <c r="QRQ44" s="55"/>
      <c r="QRR44" s="55"/>
      <c r="QRS44" s="55"/>
      <c r="QRT44" s="55"/>
      <c r="QRU44" s="55"/>
      <c r="QRV44" s="55"/>
      <c r="QRW44" s="55"/>
      <c r="QRX44" s="55"/>
      <c r="QRY44" s="55"/>
      <c r="QRZ44" s="55"/>
      <c r="QSA44" s="55"/>
      <c r="QSB44" s="55"/>
      <c r="QSC44" s="55"/>
      <c r="QSD44" s="55"/>
      <c r="QSE44" s="55"/>
      <c r="QSF44" s="55"/>
      <c r="QSG44" s="55"/>
      <c r="QSH44" s="55"/>
      <c r="QSI44" s="55"/>
      <c r="QSJ44" s="55"/>
      <c r="QSK44" s="55"/>
      <c r="QSL44" s="55"/>
      <c r="QSM44" s="55"/>
      <c r="QSN44" s="55"/>
      <c r="QSO44" s="55"/>
      <c r="QSP44" s="55"/>
      <c r="QSQ44" s="55"/>
      <c r="QSR44" s="55"/>
      <c r="QSS44" s="55"/>
      <c r="QST44" s="55"/>
      <c r="QSU44" s="55"/>
      <c r="QSV44" s="55"/>
      <c r="QSW44" s="55"/>
      <c r="QSX44" s="55"/>
      <c r="QSY44" s="55"/>
      <c r="QSZ44" s="55"/>
      <c r="QTA44" s="55"/>
      <c r="QTB44" s="55"/>
      <c r="QTC44" s="55"/>
      <c r="QTD44" s="55"/>
      <c r="QTE44" s="55"/>
      <c r="QTF44" s="55"/>
      <c r="QTG44" s="55"/>
      <c r="QTH44" s="55"/>
      <c r="QTI44" s="55"/>
      <c r="QTJ44" s="55"/>
      <c r="QTK44" s="55"/>
      <c r="QTL44" s="55"/>
      <c r="QTM44" s="55"/>
      <c r="QTN44" s="55"/>
      <c r="QTO44" s="55"/>
      <c r="QTP44" s="55"/>
      <c r="QTQ44" s="55"/>
      <c r="QTR44" s="55"/>
      <c r="QTS44" s="55"/>
      <c r="QTT44" s="55"/>
      <c r="QTU44" s="55"/>
      <c r="QTV44" s="55"/>
      <c r="QTW44" s="55"/>
      <c r="QTX44" s="55"/>
      <c r="QTY44" s="55"/>
      <c r="QTZ44" s="55"/>
      <c r="QUA44" s="55"/>
      <c r="QUB44" s="55"/>
      <c r="QUC44" s="55"/>
      <c r="QUD44" s="55"/>
      <c r="QUE44" s="55"/>
      <c r="QUF44" s="55"/>
      <c r="QUG44" s="55"/>
      <c r="QUH44" s="55"/>
      <c r="QUI44" s="55"/>
      <c r="QUJ44" s="55"/>
      <c r="QUK44" s="55"/>
      <c r="QUL44" s="55"/>
      <c r="QUM44" s="55"/>
      <c r="QUN44" s="55"/>
      <c r="QUO44" s="55"/>
      <c r="QUP44" s="55"/>
      <c r="QUQ44" s="55"/>
      <c r="QUR44" s="55"/>
      <c r="QUS44" s="55"/>
      <c r="QUT44" s="55"/>
      <c r="QUU44" s="55"/>
      <c r="QUV44" s="55"/>
      <c r="QUW44" s="55"/>
      <c r="QUX44" s="55"/>
      <c r="QUY44" s="55"/>
      <c r="QUZ44" s="55"/>
      <c r="QVA44" s="55"/>
      <c r="QVB44" s="55"/>
      <c r="QVC44" s="55"/>
      <c r="QVD44" s="55"/>
      <c r="QVE44" s="55"/>
      <c r="QVF44" s="55"/>
      <c r="QVG44" s="55"/>
      <c r="QVH44" s="55"/>
      <c r="QVI44" s="55"/>
      <c r="QVJ44" s="55"/>
      <c r="QVK44" s="55"/>
      <c r="QVL44" s="55"/>
      <c r="QVM44" s="55"/>
      <c r="QVN44" s="55"/>
      <c r="QVO44" s="55"/>
      <c r="QVP44" s="55"/>
      <c r="QVQ44" s="55"/>
      <c r="QVR44" s="55"/>
      <c r="QVS44" s="55"/>
      <c r="QVT44" s="55"/>
      <c r="QVU44" s="55"/>
      <c r="QVV44" s="55"/>
      <c r="QVW44" s="55"/>
      <c r="QVX44" s="55"/>
      <c r="QVY44" s="55"/>
      <c r="QVZ44" s="55"/>
      <c r="QWA44" s="55"/>
      <c r="QWB44" s="55"/>
      <c r="QWC44" s="55"/>
      <c r="QWD44" s="55"/>
      <c r="QWE44" s="55"/>
      <c r="QWF44" s="55"/>
      <c r="QWG44" s="55"/>
      <c r="QWH44" s="55"/>
      <c r="QWI44" s="55"/>
      <c r="QWJ44" s="55"/>
      <c r="QWK44" s="55"/>
      <c r="QWL44" s="55"/>
      <c r="QWM44" s="55"/>
      <c r="QWN44" s="55"/>
      <c r="QWO44" s="55"/>
      <c r="QWP44" s="55"/>
      <c r="QWQ44" s="55"/>
      <c r="QWR44" s="55"/>
      <c r="QWS44" s="55"/>
      <c r="QWT44" s="55"/>
      <c r="QWU44" s="55"/>
      <c r="QWV44" s="55"/>
      <c r="QWW44" s="55"/>
      <c r="QWX44" s="55"/>
      <c r="QWY44" s="55"/>
      <c r="QWZ44" s="55"/>
      <c r="QXA44" s="55"/>
      <c r="QXB44" s="55"/>
      <c r="QXC44" s="55"/>
      <c r="QXD44" s="55"/>
      <c r="QXE44" s="55"/>
      <c r="QXF44" s="55"/>
      <c r="QXG44" s="55"/>
      <c r="QXH44" s="55"/>
      <c r="QXI44" s="55"/>
      <c r="QXJ44" s="55"/>
      <c r="QXK44" s="55"/>
      <c r="QXL44" s="55"/>
      <c r="QXM44" s="55"/>
      <c r="QXN44" s="55"/>
      <c r="QXO44" s="55"/>
      <c r="QXP44" s="55"/>
      <c r="QXQ44" s="55"/>
      <c r="QXR44" s="55"/>
      <c r="QXS44" s="55"/>
      <c r="QXT44" s="55"/>
      <c r="QXU44" s="55"/>
      <c r="QXV44" s="55"/>
      <c r="QXW44" s="55"/>
      <c r="QXX44" s="55"/>
      <c r="QXY44" s="55"/>
      <c r="QXZ44" s="55"/>
      <c r="QYA44" s="55"/>
      <c r="QYB44" s="55"/>
      <c r="QYC44" s="55"/>
      <c r="QYD44" s="55"/>
      <c r="QYE44" s="55"/>
      <c r="QYF44" s="55"/>
      <c r="QYG44" s="55"/>
      <c r="QYH44" s="55"/>
      <c r="QYI44" s="55"/>
      <c r="QYJ44" s="55"/>
      <c r="QYK44" s="55"/>
      <c r="QYL44" s="55"/>
      <c r="QYM44" s="55"/>
      <c r="QYN44" s="55"/>
      <c r="QYO44" s="55"/>
      <c r="QYP44" s="55"/>
      <c r="QYQ44" s="55"/>
      <c r="QYR44" s="55"/>
      <c r="QYS44" s="55"/>
      <c r="QYT44" s="55"/>
      <c r="QYU44" s="55"/>
      <c r="QYV44" s="55"/>
      <c r="QYW44" s="55"/>
      <c r="QYX44" s="55"/>
      <c r="QYY44" s="55"/>
      <c r="QYZ44" s="55"/>
      <c r="QZA44" s="55"/>
      <c r="QZB44" s="55"/>
      <c r="QZC44" s="55"/>
      <c r="QZD44" s="55"/>
      <c r="QZE44" s="55"/>
      <c r="QZF44" s="55"/>
      <c r="QZG44" s="55"/>
      <c r="QZH44" s="55"/>
      <c r="QZI44" s="55"/>
      <c r="QZJ44" s="55"/>
      <c r="QZK44" s="55"/>
      <c r="QZL44" s="55"/>
      <c r="QZM44" s="55"/>
      <c r="QZN44" s="55"/>
      <c r="QZO44" s="55"/>
      <c r="QZP44" s="55"/>
      <c r="QZQ44" s="55"/>
      <c r="QZR44" s="55"/>
      <c r="QZS44" s="55"/>
      <c r="QZT44" s="55"/>
      <c r="QZU44" s="55"/>
      <c r="QZV44" s="55"/>
      <c r="QZW44" s="55"/>
      <c r="QZX44" s="55"/>
      <c r="QZY44" s="55"/>
      <c r="QZZ44" s="55"/>
      <c r="RAA44" s="55"/>
      <c r="RAB44" s="55"/>
      <c r="RAC44" s="55"/>
      <c r="RAD44" s="55"/>
      <c r="RAE44" s="55"/>
      <c r="RAF44" s="55"/>
      <c r="RAG44" s="55"/>
      <c r="RAH44" s="55"/>
      <c r="RAI44" s="55"/>
      <c r="RAJ44" s="55"/>
      <c r="RAK44" s="55"/>
      <c r="RAL44" s="55"/>
      <c r="RAM44" s="55"/>
      <c r="RAN44" s="55"/>
      <c r="RAO44" s="55"/>
      <c r="RAP44" s="55"/>
      <c r="RAQ44" s="55"/>
      <c r="RAR44" s="55"/>
      <c r="RAS44" s="55"/>
      <c r="RAT44" s="55"/>
      <c r="RAU44" s="55"/>
      <c r="RAV44" s="55"/>
      <c r="RAW44" s="55"/>
      <c r="RAX44" s="55"/>
      <c r="RAY44" s="55"/>
      <c r="RAZ44" s="55"/>
      <c r="RBA44" s="55"/>
      <c r="RBB44" s="55"/>
      <c r="RBC44" s="55"/>
      <c r="RBD44" s="55"/>
      <c r="RBE44" s="55"/>
      <c r="RBF44" s="55"/>
      <c r="RBG44" s="55"/>
      <c r="RBH44" s="55"/>
      <c r="RBI44" s="55"/>
      <c r="RBJ44" s="55"/>
      <c r="RBK44" s="55"/>
      <c r="RBL44" s="55"/>
      <c r="RBM44" s="55"/>
      <c r="RBN44" s="55"/>
      <c r="RBO44" s="55"/>
      <c r="RBP44" s="55"/>
      <c r="RBQ44" s="55"/>
      <c r="RBR44" s="55"/>
      <c r="RBS44" s="55"/>
      <c r="RBT44" s="55"/>
      <c r="RBU44" s="55"/>
      <c r="RBV44" s="55"/>
      <c r="RBW44" s="55"/>
      <c r="RBX44" s="55"/>
      <c r="RBY44" s="55"/>
      <c r="RBZ44" s="55"/>
      <c r="RCA44" s="55"/>
      <c r="RCB44" s="55"/>
      <c r="RCC44" s="55"/>
      <c r="RCD44" s="55"/>
      <c r="RCE44" s="55"/>
      <c r="RCF44" s="55"/>
      <c r="RCG44" s="55"/>
      <c r="RCH44" s="55"/>
      <c r="RCI44" s="55"/>
      <c r="RCJ44" s="55"/>
      <c r="RCK44" s="55"/>
      <c r="RCL44" s="55"/>
      <c r="RCM44" s="55"/>
      <c r="RCN44" s="55"/>
      <c r="RCO44" s="55"/>
      <c r="RCP44" s="55"/>
      <c r="RCQ44" s="55"/>
      <c r="RCR44" s="55"/>
      <c r="RCS44" s="55"/>
      <c r="RCT44" s="55"/>
      <c r="RCU44" s="55"/>
      <c r="RCV44" s="55"/>
      <c r="RCW44" s="55"/>
      <c r="RCX44" s="55"/>
      <c r="RCY44" s="55"/>
      <c r="RCZ44" s="55"/>
      <c r="RDA44" s="55"/>
      <c r="RDB44" s="55"/>
      <c r="RDC44" s="55"/>
      <c r="RDD44" s="55"/>
      <c r="RDE44" s="55"/>
      <c r="RDF44" s="55"/>
      <c r="RDG44" s="55"/>
      <c r="RDH44" s="55"/>
      <c r="RDI44" s="55"/>
      <c r="RDJ44" s="55"/>
      <c r="RDK44" s="55"/>
      <c r="RDL44" s="55"/>
      <c r="RDM44" s="55"/>
      <c r="RDN44" s="55"/>
      <c r="RDO44" s="55"/>
      <c r="RDP44" s="55"/>
      <c r="RDQ44" s="55"/>
      <c r="RDR44" s="55"/>
      <c r="RDS44" s="55"/>
      <c r="RDT44" s="55"/>
      <c r="RDU44" s="55"/>
      <c r="RDV44" s="55"/>
      <c r="RDW44" s="55"/>
      <c r="RDX44" s="55"/>
      <c r="RDY44" s="55"/>
      <c r="RDZ44" s="55"/>
      <c r="REA44" s="55"/>
      <c r="REB44" s="55"/>
      <c r="REC44" s="55"/>
      <c r="RED44" s="55"/>
      <c r="REE44" s="55"/>
      <c r="REF44" s="55"/>
      <c r="REG44" s="55"/>
      <c r="REH44" s="55"/>
      <c r="REI44" s="55"/>
      <c r="REJ44" s="55"/>
      <c r="REK44" s="55"/>
      <c r="REL44" s="55"/>
      <c r="REM44" s="55"/>
      <c r="REN44" s="55"/>
      <c r="REO44" s="55"/>
      <c r="REP44" s="55"/>
      <c r="REQ44" s="55"/>
      <c r="RER44" s="55"/>
      <c r="RES44" s="55"/>
      <c r="RET44" s="55"/>
      <c r="REU44" s="55"/>
      <c r="REV44" s="55"/>
      <c r="REW44" s="55"/>
      <c r="REX44" s="55"/>
      <c r="REY44" s="55"/>
      <c r="REZ44" s="55"/>
      <c r="RFA44" s="55"/>
      <c r="RFB44" s="55"/>
      <c r="RFC44" s="55"/>
      <c r="RFD44" s="55"/>
      <c r="RFE44" s="55"/>
      <c r="RFF44" s="55"/>
      <c r="RFG44" s="55"/>
      <c r="RFH44" s="55"/>
      <c r="RFI44" s="55"/>
      <c r="RFJ44" s="55"/>
      <c r="RFK44" s="55"/>
      <c r="RFL44" s="55"/>
      <c r="RFM44" s="55"/>
      <c r="RFN44" s="55"/>
      <c r="RFO44" s="55"/>
      <c r="RFP44" s="55"/>
      <c r="RFQ44" s="55"/>
      <c r="RFR44" s="55"/>
      <c r="RFS44" s="55"/>
      <c r="RFT44" s="55"/>
      <c r="RFU44" s="55"/>
      <c r="RFV44" s="55"/>
      <c r="RFW44" s="55"/>
      <c r="RFX44" s="55"/>
      <c r="RFY44" s="55"/>
      <c r="RFZ44" s="55"/>
      <c r="RGA44" s="55"/>
      <c r="RGB44" s="55"/>
      <c r="RGC44" s="55"/>
      <c r="RGD44" s="55"/>
      <c r="RGE44" s="55"/>
      <c r="RGF44" s="55"/>
      <c r="RGG44" s="55"/>
      <c r="RGH44" s="55"/>
      <c r="RGI44" s="55"/>
      <c r="RGJ44" s="55"/>
      <c r="RGK44" s="55"/>
      <c r="RGL44" s="55"/>
      <c r="RGM44" s="55"/>
      <c r="RGN44" s="55"/>
      <c r="RGO44" s="55"/>
      <c r="RGP44" s="55"/>
      <c r="RGQ44" s="55"/>
      <c r="RGR44" s="55"/>
      <c r="RGS44" s="55"/>
      <c r="RGT44" s="55"/>
      <c r="RGU44" s="55"/>
      <c r="RGV44" s="55"/>
      <c r="RGW44" s="55"/>
      <c r="RGX44" s="55"/>
      <c r="RGY44" s="55"/>
      <c r="RGZ44" s="55"/>
      <c r="RHA44" s="55"/>
      <c r="RHB44" s="55"/>
      <c r="RHC44" s="55"/>
      <c r="RHD44" s="55"/>
      <c r="RHE44" s="55"/>
      <c r="RHF44" s="55"/>
      <c r="RHG44" s="55"/>
      <c r="RHH44" s="55"/>
      <c r="RHI44" s="55"/>
      <c r="RHJ44" s="55"/>
      <c r="RHK44" s="55"/>
      <c r="RHL44" s="55"/>
      <c r="RHM44" s="55"/>
      <c r="RHN44" s="55"/>
      <c r="RHO44" s="55"/>
      <c r="RHP44" s="55"/>
      <c r="RHQ44" s="55"/>
      <c r="RHR44" s="55"/>
      <c r="RHS44" s="55"/>
      <c r="RHT44" s="55"/>
      <c r="RHU44" s="55"/>
      <c r="RHV44" s="55"/>
      <c r="RHW44" s="55"/>
      <c r="RHX44" s="55"/>
      <c r="RHY44" s="55"/>
      <c r="RHZ44" s="55"/>
      <c r="RIA44" s="55"/>
      <c r="RIB44" s="55"/>
      <c r="RIC44" s="55"/>
      <c r="RID44" s="55"/>
      <c r="RIE44" s="55"/>
      <c r="RIF44" s="55"/>
      <c r="RIG44" s="55"/>
      <c r="RIH44" s="55"/>
      <c r="RII44" s="55"/>
      <c r="RIJ44" s="55"/>
      <c r="RIK44" s="55"/>
      <c r="RIL44" s="55"/>
      <c r="RIM44" s="55"/>
      <c r="RIN44" s="55"/>
      <c r="RIO44" s="55"/>
      <c r="RIP44" s="55"/>
      <c r="RIQ44" s="55"/>
      <c r="RIR44" s="55"/>
      <c r="RIS44" s="55"/>
      <c r="RIT44" s="55"/>
      <c r="RIU44" s="55"/>
      <c r="RIV44" s="55"/>
      <c r="RIW44" s="55"/>
      <c r="RIX44" s="55"/>
      <c r="RIY44" s="55"/>
      <c r="RIZ44" s="55"/>
      <c r="RJA44" s="55"/>
      <c r="RJB44" s="55"/>
      <c r="RJC44" s="55"/>
      <c r="RJD44" s="55"/>
      <c r="RJE44" s="55"/>
      <c r="RJF44" s="55"/>
      <c r="RJG44" s="55"/>
      <c r="RJH44" s="55"/>
      <c r="RJI44" s="55"/>
      <c r="RJJ44" s="55"/>
      <c r="RJK44" s="55"/>
      <c r="RJL44" s="55"/>
      <c r="RJM44" s="55"/>
      <c r="RJN44" s="55"/>
      <c r="RJO44" s="55"/>
      <c r="RJP44" s="55"/>
      <c r="RJQ44" s="55"/>
      <c r="RJR44" s="55"/>
      <c r="RJS44" s="55"/>
      <c r="RJT44" s="55"/>
      <c r="RJU44" s="55"/>
      <c r="RJV44" s="55"/>
      <c r="RJW44" s="55"/>
      <c r="RJX44" s="55"/>
      <c r="RJY44" s="55"/>
      <c r="RJZ44" s="55"/>
      <c r="RKA44" s="55"/>
      <c r="RKB44" s="55"/>
      <c r="RKC44" s="55"/>
      <c r="RKD44" s="55"/>
      <c r="RKE44" s="55"/>
      <c r="RKF44" s="55"/>
      <c r="RKG44" s="55"/>
      <c r="RKH44" s="55"/>
      <c r="RKI44" s="55"/>
      <c r="RKJ44" s="55"/>
      <c r="RKK44" s="55"/>
      <c r="RKL44" s="55"/>
      <c r="RKM44" s="55"/>
      <c r="RKN44" s="55"/>
      <c r="RKO44" s="55"/>
      <c r="RKP44" s="55"/>
      <c r="RKQ44" s="55"/>
      <c r="RKR44" s="55"/>
      <c r="RKS44" s="55"/>
      <c r="RKT44" s="55"/>
      <c r="RKU44" s="55"/>
      <c r="RKV44" s="55"/>
      <c r="RKW44" s="55"/>
      <c r="RKX44" s="55"/>
      <c r="RKY44" s="55"/>
      <c r="RKZ44" s="55"/>
      <c r="RLA44" s="55"/>
      <c r="RLB44" s="55"/>
      <c r="RLC44" s="55"/>
      <c r="RLD44" s="55"/>
      <c r="RLE44" s="55"/>
      <c r="RLF44" s="55"/>
      <c r="RLG44" s="55"/>
      <c r="RLH44" s="55"/>
      <c r="RLI44" s="55"/>
      <c r="RLJ44" s="55"/>
      <c r="RLK44" s="55"/>
      <c r="RLL44" s="55"/>
      <c r="RLM44" s="55"/>
      <c r="RLN44" s="55"/>
      <c r="RLO44" s="55"/>
      <c r="RLP44" s="55"/>
      <c r="RLQ44" s="55"/>
      <c r="RLR44" s="55"/>
      <c r="RLS44" s="55"/>
      <c r="RLT44" s="55"/>
      <c r="RLU44" s="55"/>
      <c r="RLV44" s="55"/>
      <c r="RLW44" s="55"/>
      <c r="RLX44" s="55"/>
      <c r="RLY44" s="55"/>
      <c r="RLZ44" s="55"/>
      <c r="RMA44" s="55"/>
      <c r="RMB44" s="55"/>
      <c r="RMC44" s="55"/>
      <c r="RMD44" s="55"/>
      <c r="RME44" s="55"/>
      <c r="RMF44" s="55"/>
      <c r="RMG44" s="55"/>
      <c r="RMH44" s="55"/>
      <c r="RMI44" s="55"/>
      <c r="RMJ44" s="55"/>
      <c r="RMK44" s="55"/>
      <c r="RML44" s="55"/>
      <c r="RMM44" s="55"/>
      <c r="RMN44" s="55"/>
      <c r="RMO44" s="55"/>
      <c r="RMP44" s="55"/>
      <c r="RMQ44" s="55"/>
      <c r="RMR44" s="55"/>
      <c r="RMS44" s="55"/>
      <c r="RMT44" s="55"/>
      <c r="RMU44" s="55"/>
      <c r="RMV44" s="55"/>
      <c r="RMW44" s="55"/>
      <c r="RMX44" s="55"/>
      <c r="RMY44" s="55"/>
      <c r="RMZ44" s="55"/>
      <c r="RNA44" s="55"/>
      <c r="RNB44" s="55"/>
      <c r="RNC44" s="55"/>
      <c r="RND44" s="55"/>
      <c r="RNE44" s="55"/>
      <c r="RNF44" s="55"/>
      <c r="RNG44" s="55"/>
      <c r="RNH44" s="55"/>
      <c r="RNI44" s="55"/>
      <c r="RNJ44" s="55"/>
      <c r="RNK44" s="55"/>
      <c r="RNL44" s="55"/>
      <c r="RNM44" s="55"/>
      <c r="RNN44" s="55"/>
      <c r="RNO44" s="55"/>
      <c r="RNP44" s="55"/>
      <c r="RNQ44" s="55"/>
      <c r="RNR44" s="55"/>
      <c r="RNS44" s="55"/>
      <c r="RNT44" s="55"/>
      <c r="RNU44" s="55"/>
      <c r="RNV44" s="55"/>
      <c r="RNW44" s="55"/>
      <c r="RNX44" s="55"/>
      <c r="RNY44" s="55"/>
      <c r="RNZ44" s="55"/>
      <c r="ROA44" s="55"/>
      <c r="ROB44" s="55"/>
      <c r="ROC44" s="55"/>
      <c r="ROD44" s="55"/>
      <c r="ROE44" s="55"/>
      <c r="ROF44" s="55"/>
      <c r="ROG44" s="55"/>
      <c r="ROH44" s="55"/>
      <c r="ROI44" s="55"/>
      <c r="ROJ44" s="55"/>
      <c r="ROK44" s="55"/>
      <c r="ROL44" s="55"/>
      <c r="ROM44" s="55"/>
      <c r="RON44" s="55"/>
      <c r="ROO44" s="55"/>
      <c r="ROP44" s="55"/>
      <c r="ROQ44" s="55"/>
      <c r="ROR44" s="55"/>
      <c r="ROS44" s="55"/>
      <c r="ROT44" s="55"/>
      <c r="ROU44" s="55"/>
      <c r="ROV44" s="55"/>
      <c r="ROW44" s="55"/>
      <c r="ROX44" s="55"/>
      <c r="ROY44" s="55"/>
      <c r="ROZ44" s="55"/>
      <c r="RPA44" s="55"/>
      <c r="RPB44" s="55"/>
      <c r="RPC44" s="55"/>
      <c r="RPD44" s="55"/>
      <c r="RPE44" s="55"/>
      <c r="RPF44" s="55"/>
      <c r="RPG44" s="55"/>
      <c r="RPH44" s="55"/>
      <c r="RPI44" s="55"/>
      <c r="RPJ44" s="55"/>
      <c r="RPK44" s="55"/>
      <c r="RPL44" s="55"/>
      <c r="RPM44" s="55"/>
      <c r="RPN44" s="55"/>
      <c r="RPO44" s="55"/>
      <c r="RPP44" s="55"/>
      <c r="RPQ44" s="55"/>
      <c r="RPR44" s="55"/>
      <c r="RPS44" s="55"/>
      <c r="RPT44" s="55"/>
      <c r="RPU44" s="55"/>
      <c r="RPV44" s="55"/>
      <c r="RPW44" s="55"/>
      <c r="RPX44" s="55"/>
      <c r="RPY44" s="55"/>
      <c r="RPZ44" s="55"/>
      <c r="RQA44" s="55"/>
      <c r="RQB44" s="55"/>
      <c r="RQC44" s="55"/>
      <c r="RQD44" s="55"/>
      <c r="RQE44" s="55"/>
      <c r="RQF44" s="55"/>
      <c r="RQG44" s="55"/>
      <c r="RQH44" s="55"/>
      <c r="RQI44" s="55"/>
      <c r="RQJ44" s="55"/>
      <c r="RQK44" s="55"/>
      <c r="RQL44" s="55"/>
      <c r="RQM44" s="55"/>
      <c r="RQN44" s="55"/>
      <c r="RQO44" s="55"/>
      <c r="RQP44" s="55"/>
      <c r="RQQ44" s="55"/>
      <c r="RQR44" s="55"/>
      <c r="RQS44" s="55"/>
      <c r="RQT44" s="55"/>
      <c r="RQU44" s="55"/>
      <c r="RQV44" s="55"/>
      <c r="RQW44" s="55"/>
      <c r="RQX44" s="55"/>
      <c r="RQY44" s="55"/>
      <c r="RQZ44" s="55"/>
      <c r="RRA44" s="55"/>
      <c r="RRB44" s="55"/>
      <c r="RRC44" s="55"/>
      <c r="RRD44" s="55"/>
      <c r="RRE44" s="55"/>
      <c r="RRF44" s="55"/>
      <c r="RRG44" s="55"/>
      <c r="RRH44" s="55"/>
      <c r="RRI44" s="55"/>
      <c r="RRJ44" s="55"/>
      <c r="RRK44" s="55"/>
      <c r="RRL44" s="55"/>
      <c r="RRM44" s="55"/>
      <c r="RRN44" s="55"/>
      <c r="RRO44" s="55"/>
      <c r="RRP44" s="55"/>
      <c r="RRQ44" s="55"/>
      <c r="RRR44" s="55"/>
      <c r="RRS44" s="55"/>
      <c r="RRT44" s="55"/>
      <c r="RRU44" s="55"/>
      <c r="RRV44" s="55"/>
      <c r="RRW44" s="55"/>
      <c r="RRX44" s="55"/>
      <c r="RRY44" s="55"/>
      <c r="RRZ44" s="55"/>
      <c r="RSA44" s="55"/>
      <c r="RSB44" s="55"/>
      <c r="RSC44" s="55"/>
      <c r="RSD44" s="55"/>
      <c r="RSE44" s="55"/>
      <c r="RSF44" s="55"/>
      <c r="RSG44" s="55"/>
      <c r="RSH44" s="55"/>
      <c r="RSI44" s="55"/>
      <c r="RSJ44" s="55"/>
      <c r="RSK44" s="55"/>
      <c r="RSL44" s="55"/>
      <c r="RSM44" s="55"/>
      <c r="RSN44" s="55"/>
      <c r="RSO44" s="55"/>
      <c r="RSP44" s="55"/>
      <c r="RSQ44" s="55"/>
      <c r="RSR44" s="55"/>
      <c r="RSS44" s="55"/>
      <c r="RST44" s="55"/>
      <c r="RSU44" s="55"/>
      <c r="RSV44" s="55"/>
      <c r="RSW44" s="55"/>
      <c r="RSX44" s="55"/>
      <c r="RSY44" s="55"/>
      <c r="RSZ44" s="55"/>
      <c r="RTA44" s="55"/>
      <c r="RTB44" s="55"/>
      <c r="RTC44" s="55"/>
      <c r="RTD44" s="55"/>
      <c r="RTE44" s="55"/>
      <c r="RTF44" s="55"/>
      <c r="RTG44" s="55"/>
      <c r="RTH44" s="55"/>
      <c r="RTI44" s="55"/>
      <c r="RTJ44" s="55"/>
      <c r="RTK44" s="55"/>
      <c r="RTL44" s="55"/>
      <c r="RTM44" s="55"/>
      <c r="RTN44" s="55"/>
      <c r="RTO44" s="55"/>
      <c r="RTP44" s="55"/>
      <c r="RTQ44" s="55"/>
      <c r="RTR44" s="55"/>
      <c r="RTS44" s="55"/>
      <c r="RTT44" s="55"/>
      <c r="RTU44" s="55"/>
      <c r="RTV44" s="55"/>
      <c r="RTW44" s="55"/>
      <c r="RTX44" s="55"/>
      <c r="RTY44" s="55"/>
      <c r="RTZ44" s="55"/>
      <c r="RUA44" s="55"/>
      <c r="RUB44" s="55"/>
      <c r="RUC44" s="55"/>
      <c r="RUD44" s="55"/>
      <c r="RUE44" s="55"/>
      <c r="RUF44" s="55"/>
      <c r="RUG44" s="55"/>
      <c r="RUH44" s="55"/>
      <c r="RUI44" s="55"/>
      <c r="RUJ44" s="55"/>
      <c r="RUK44" s="55"/>
      <c r="RUL44" s="55"/>
      <c r="RUM44" s="55"/>
      <c r="RUN44" s="55"/>
      <c r="RUO44" s="55"/>
      <c r="RUP44" s="55"/>
      <c r="RUQ44" s="55"/>
      <c r="RUR44" s="55"/>
      <c r="RUS44" s="55"/>
      <c r="RUT44" s="55"/>
      <c r="RUU44" s="55"/>
      <c r="RUV44" s="55"/>
      <c r="RUW44" s="55"/>
      <c r="RUX44" s="55"/>
      <c r="RUY44" s="55"/>
      <c r="RUZ44" s="55"/>
      <c r="RVA44" s="55"/>
      <c r="RVB44" s="55"/>
      <c r="RVC44" s="55"/>
      <c r="RVD44" s="55"/>
      <c r="RVE44" s="55"/>
      <c r="RVF44" s="55"/>
      <c r="RVG44" s="55"/>
      <c r="RVH44" s="55"/>
      <c r="RVI44" s="55"/>
      <c r="RVJ44" s="55"/>
      <c r="RVK44" s="55"/>
      <c r="RVL44" s="55"/>
      <c r="RVM44" s="55"/>
      <c r="RVN44" s="55"/>
      <c r="RVO44" s="55"/>
      <c r="RVP44" s="55"/>
      <c r="RVQ44" s="55"/>
      <c r="RVR44" s="55"/>
      <c r="RVS44" s="55"/>
      <c r="RVT44" s="55"/>
      <c r="RVU44" s="55"/>
      <c r="RVV44" s="55"/>
      <c r="RVW44" s="55"/>
      <c r="RVX44" s="55"/>
      <c r="RVY44" s="55"/>
      <c r="RVZ44" s="55"/>
      <c r="RWA44" s="55"/>
      <c r="RWB44" s="55"/>
      <c r="RWC44" s="55"/>
      <c r="RWD44" s="55"/>
      <c r="RWE44" s="55"/>
      <c r="RWF44" s="55"/>
      <c r="RWG44" s="55"/>
      <c r="RWH44" s="55"/>
      <c r="RWI44" s="55"/>
      <c r="RWJ44" s="55"/>
      <c r="RWK44" s="55"/>
      <c r="RWL44" s="55"/>
      <c r="RWM44" s="55"/>
      <c r="RWN44" s="55"/>
      <c r="RWO44" s="55"/>
      <c r="RWP44" s="55"/>
      <c r="RWQ44" s="55"/>
      <c r="RWR44" s="55"/>
      <c r="RWS44" s="55"/>
      <c r="RWT44" s="55"/>
      <c r="RWU44" s="55"/>
      <c r="RWV44" s="55"/>
      <c r="RWW44" s="55"/>
      <c r="RWX44" s="55"/>
      <c r="RWY44" s="55"/>
      <c r="RWZ44" s="55"/>
      <c r="RXA44" s="55"/>
      <c r="RXB44" s="55"/>
      <c r="RXC44" s="55"/>
      <c r="RXD44" s="55"/>
      <c r="RXE44" s="55"/>
      <c r="RXF44" s="55"/>
      <c r="RXG44" s="55"/>
      <c r="RXH44" s="55"/>
      <c r="RXI44" s="55"/>
      <c r="RXJ44" s="55"/>
      <c r="RXK44" s="55"/>
      <c r="RXL44" s="55"/>
      <c r="RXM44" s="55"/>
      <c r="RXN44" s="55"/>
      <c r="RXO44" s="55"/>
      <c r="RXP44" s="55"/>
      <c r="RXQ44" s="55"/>
      <c r="RXR44" s="55"/>
      <c r="RXS44" s="55"/>
      <c r="RXT44" s="55"/>
      <c r="RXU44" s="55"/>
      <c r="RXV44" s="55"/>
      <c r="RXW44" s="55"/>
      <c r="RXX44" s="55"/>
      <c r="RXY44" s="55"/>
      <c r="RXZ44" s="55"/>
      <c r="RYA44" s="55"/>
      <c r="RYB44" s="55"/>
      <c r="RYC44" s="55"/>
      <c r="RYD44" s="55"/>
      <c r="RYE44" s="55"/>
      <c r="RYF44" s="55"/>
      <c r="RYG44" s="55"/>
      <c r="RYH44" s="55"/>
      <c r="RYI44" s="55"/>
      <c r="RYJ44" s="55"/>
      <c r="RYK44" s="55"/>
      <c r="RYL44" s="55"/>
      <c r="RYM44" s="55"/>
      <c r="RYN44" s="55"/>
      <c r="RYO44" s="55"/>
      <c r="RYP44" s="55"/>
      <c r="RYQ44" s="55"/>
      <c r="RYR44" s="55"/>
      <c r="RYS44" s="55"/>
      <c r="RYT44" s="55"/>
      <c r="RYU44" s="55"/>
      <c r="RYV44" s="55"/>
      <c r="RYW44" s="55"/>
      <c r="RYX44" s="55"/>
      <c r="RYY44" s="55"/>
      <c r="RYZ44" s="55"/>
      <c r="RZA44" s="55"/>
      <c r="RZB44" s="55"/>
      <c r="RZC44" s="55"/>
      <c r="RZD44" s="55"/>
      <c r="RZE44" s="55"/>
      <c r="RZF44" s="55"/>
      <c r="RZG44" s="55"/>
      <c r="RZH44" s="55"/>
      <c r="RZI44" s="55"/>
      <c r="RZJ44" s="55"/>
      <c r="RZK44" s="55"/>
      <c r="RZL44" s="55"/>
      <c r="RZM44" s="55"/>
      <c r="RZN44" s="55"/>
      <c r="RZO44" s="55"/>
      <c r="RZP44" s="55"/>
      <c r="RZQ44" s="55"/>
      <c r="RZR44" s="55"/>
      <c r="RZS44" s="55"/>
      <c r="RZT44" s="55"/>
      <c r="RZU44" s="55"/>
      <c r="RZV44" s="55"/>
      <c r="RZW44" s="55"/>
      <c r="RZX44" s="55"/>
      <c r="RZY44" s="55"/>
      <c r="RZZ44" s="55"/>
      <c r="SAA44" s="55"/>
      <c r="SAB44" s="55"/>
      <c r="SAC44" s="55"/>
      <c r="SAD44" s="55"/>
      <c r="SAE44" s="55"/>
      <c r="SAF44" s="55"/>
      <c r="SAG44" s="55"/>
      <c r="SAH44" s="55"/>
      <c r="SAI44" s="55"/>
      <c r="SAJ44" s="55"/>
      <c r="SAK44" s="55"/>
      <c r="SAL44" s="55"/>
      <c r="SAM44" s="55"/>
      <c r="SAN44" s="55"/>
      <c r="SAO44" s="55"/>
      <c r="SAP44" s="55"/>
      <c r="SAQ44" s="55"/>
      <c r="SAR44" s="55"/>
      <c r="SAS44" s="55"/>
      <c r="SAT44" s="55"/>
      <c r="SAU44" s="55"/>
      <c r="SAV44" s="55"/>
      <c r="SAW44" s="55"/>
      <c r="SAX44" s="55"/>
      <c r="SAY44" s="55"/>
      <c r="SAZ44" s="55"/>
      <c r="SBA44" s="55"/>
      <c r="SBB44" s="55"/>
      <c r="SBC44" s="55"/>
      <c r="SBD44" s="55"/>
      <c r="SBE44" s="55"/>
      <c r="SBF44" s="55"/>
      <c r="SBG44" s="55"/>
      <c r="SBH44" s="55"/>
      <c r="SBI44" s="55"/>
      <c r="SBJ44" s="55"/>
      <c r="SBK44" s="55"/>
      <c r="SBL44" s="55"/>
      <c r="SBM44" s="55"/>
      <c r="SBN44" s="55"/>
      <c r="SBO44" s="55"/>
      <c r="SBP44" s="55"/>
      <c r="SBQ44" s="55"/>
      <c r="SBR44" s="55"/>
      <c r="SBS44" s="55"/>
      <c r="SBT44" s="55"/>
      <c r="SBU44" s="55"/>
      <c r="SBV44" s="55"/>
      <c r="SBW44" s="55"/>
      <c r="SBX44" s="55"/>
      <c r="SBY44" s="55"/>
      <c r="SBZ44" s="55"/>
      <c r="SCA44" s="55"/>
      <c r="SCB44" s="55"/>
      <c r="SCC44" s="55"/>
      <c r="SCD44" s="55"/>
      <c r="SCE44" s="55"/>
      <c r="SCF44" s="55"/>
      <c r="SCG44" s="55"/>
      <c r="SCH44" s="55"/>
      <c r="SCI44" s="55"/>
      <c r="SCJ44" s="55"/>
      <c r="SCK44" s="55"/>
      <c r="SCL44" s="55"/>
      <c r="SCM44" s="55"/>
      <c r="SCN44" s="55"/>
      <c r="SCO44" s="55"/>
      <c r="SCP44" s="55"/>
      <c r="SCQ44" s="55"/>
      <c r="SCR44" s="55"/>
      <c r="SCS44" s="55"/>
      <c r="SCT44" s="55"/>
      <c r="SCU44" s="55"/>
      <c r="SCV44" s="55"/>
      <c r="SCW44" s="55"/>
      <c r="SCX44" s="55"/>
      <c r="SCY44" s="55"/>
      <c r="SCZ44" s="55"/>
      <c r="SDA44" s="55"/>
      <c r="SDB44" s="55"/>
      <c r="SDC44" s="55"/>
      <c r="SDD44" s="55"/>
      <c r="SDE44" s="55"/>
      <c r="SDF44" s="55"/>
      <c r="SDG44" s="55"/>
      <c r="SDH44" s="55"/>
      <c r="SDI44" s="55"/>
      <c r="SDJ44" s="55"/>
      <c r="SDK44" s="55"/>
      <c r="SDL44" s="55"/>
      <c r="SDM44" s="55"/>
      <c r="SDN44" s="55"/>
      <c r="SDO44" s="55"/>
      <c r="SDP44" s="55"/>
      <c r="SDQ44" s="55"/>
      <c r="SDR44" s="55"/>
      <c r="SDS44" s="55"/>
      <c r="SDT44" s="55"/>
      <c r="SDU44" s="55"/>
      <c r="SDV44" s="55"/>
      <c r="SDW44" s="55"/>
      <c r="SDX44" s="55"/>
      <c r="SDY44" s="55"/>
      <c r="SDZ44" s="55"/>
      <c r="SEA44" s="55"/>
      <c r="SEB44" s="55"/>
      <c r="SEC44" s="55"/>
      <c r="SED44" s="55"/>
      <c r="SEE44" s="55"/>
      <c r="SEF44" s="55"/>
      <c r="SEG44" s="55"/>
      <c r="SEH44" s="55"/>
      <c r="SEI44" s="55"/>
      <c r="SEJ44" s="55"/>
      <c r="SEK44" s="55"/>
      <c r="SEL44" s="55"/>
      <c r="SEM44" s="55"/>
      <c r="SEN44" s="55"/>
      <c r="SEO44" s="55"/>
      <c r="SEP44" s="55"/>
      <c r="SEQ44" s="55"/>
      <c r="SER44" s="55"/>
      <c r="SES44" s="55"/>
      <c r="SET44" s="55"/>
      <c r="SEU44" s="55"/>
      <c r="SEV44" s="55"/>
      <c r="SEW44" s="55"/>
      <c r="SEX44" s="55"/>
      <c r="SEY44" s="55"/>
      <c r="SEZ44" s="55"/>
      <c r="SFA44" s="55"/>
      <c r="SFB44" s="55"/>
      <c r="SFC44" s="55"/>
      <c r="SFD44" s="55"/>
      <c r="SFE44" s="55"/>
      <c r="SFF44" s="55"/>
      <c r="SFG44" s="55"/>
      <c r="SFH44" s="55"/>
      <c r="SFI44" s="55"/>
      <c r="SFJ44" s="55"/>
      <c r="SFK44" s="55"/>
      <c r="SFL44" s="55"/>
      <c r="SFM44" s="55"/>
      <c r="SFN44" s="55"/>
      <c r="SFO44" s="55"/>
      <c r="SFP44" s="55"/>
      <c r="SFQ44" s="55"/>
      <c r="SFR44" s="55"/>
      <c r="SFS44" s="55"/>
      <c r="SFT44" s="55"/>
      <c r="SFU44" s="55"/>
      <c r="SFV44" s="55"/>
      <c r="SFW44" s="55"/>
      <c r="SFX44" s="55"/>
      <c r="SFY44" s="55"/>
      <c r="SFZ44" s="55"/>
      <c r="SGA44" s="55"/>
      <c r="SGB44" s="55"/>
      <c r="SGC44" s="55"/>
      <c r="SGD44" s="55"/>
      <c r="SGE44" s="55"/>
      <c r="SGF44" s="55"/>
      <c r="SGG44" s="55"/>
      <c r="SGH44" s="55"/>
      <c r="SGI44" s="55"/>
      <c r="SGJ44" s="55"/>
      <c r="SGK44" s="55"/>
      <c r="SGL44" s="55"/>
      <c r="SGM44" s="55"/>
      <c r="SGN44" s="55"/>
      <c r="SGO44" s="55"/>
      <c r="SGP44" s="55"/>
      <c r="SGQ44" s="55"/>
      <c r="SGR44" s="55"/>
      <c r="SGS44" s="55"/>
      <c r="SGT44" s="55"/>
      <c r="SGU44" s="55"/>
      <c r="SGV44" s="55"/>
      <c r="SGW44" s="55"/>
      <c r="SGX44" s="55"/>
      <c r="SGY44" s="55"/>
      <c r="SGZ44" s="55"/>
      <c r="SHA44" s="55"/>
      <c r="SHB44" s="55"/>
      <c r="SHC44" s="55"/>
      <c r="SHD44" s="55"/>
      <c r="SHE44" s="55"/>
      <c r="SHF44" s="55"/>
      <c r="SHG44" s="55"/>
      <c r="SHH44" s="55"/>
      <c r="SHI44" s="55"/>
      <c r="SHJ44" s="55"/>
      <c r="SHK44" s="55"/>
      <c r="SHL44" s="55"/>
      <c r="SHM44" s="55"/>
      <c r="SHN44" s="55"/>
      <c r="SHO44" s="55"/>
      <c r="SHP44" s="55"/>
      <c r="SHQ44" s="55"/>
      <c r="SHR44" s="55"/>
      <c r="SHS44" s="55"/>
      <c r="SHT44" s="55"/>
      <c r="SHU44" s="55"/>
      <c r="SHV44" s="55"/>
      <c r="SHW44" s="55"/>
      <c r="SHX44" s="55"/>
      <c r="SHY44" s="55"/>
      <c r="SHZ44" s="55"/>
      <c r="SIA44" s="55"/>
      <c r="SIB44" s="55"/>
      <c r="SIC44" s="55"/>
      <c r="SID44" s="55"/>
      <c r="SIE44" s="55"/>
      <c r="SIF44" s="55"/>
      <c r="SIG44" s="55"/>
      <c r="SIH44" s="55"/>
      <c r="SII44" s="55"/>
      <c r="SIJ44" s="55"/>
      <c r="SIK44" s="55"/>
      <c r="SIL44" s="55"/>
      <c r="SIM44" s="55"/>
      <c r="SIN44" s="55"/>
      <c r="SIO44" s="55"/>
      <c r="SIP44" s="55"/>
      <c r="SIQ44" s="55"/>
      <c r="SIR44" s="55"/>
      <c r="SIS44" s="55"/>
      <c r="SIT44" s="55"/>
      <c r="SIU44" s="55"/>
      <c r="SIV44" s="55"/>
      <c r="SIW44" s="55"/>
      <c r="SIX44" s="55"/>
      <c r="SIY44" s="55"/>
      <c r="SIZ44" s="55"/>
      <c r="SJA44" s="55"/>
      <c r="SJB44" s="55"/>
      <c r="SJC44" s="55"/>
      <c r="SJD44" s="55"/>
      <c r="SJE44" s="55"/>
      <c r="SJF44" s="55"/>
      <c r="SJG44" s="55"/>
      <c r="SJH44" s="55"/>
      <c r="SJI44" s="55"/>
      <c r="SJJ44" s="55"/>
      <c r="SJK44" s="55"/>
      <c r="SJL44" s="55"/>
      <c r="SJM44" s="55"/>
      <c r="SJN44" s="55"/>
      <c r="SJO44" s="55"/>
      <c r="SJP44" s="55"/>
      <c r="SJQ44" s="55"/>
      <c r="SJR44" s="55"/>
      <c r="SJS44" s="55"/>
      <c r="SJT44" s="55"/>
      <c r="SJU44" s="55"/>
      <c r="SJV44" s="55"/>
      <c r="SJW44" s="55"/>
      <c r="SJX44" s="55"/>
      <c r="SJY44" s="55"/>
      <c r="SJZ44" s="55"/>
      <c r="SKA44" s="55"/>
      <c r="SKB44" s="55"/>
      <c r="SKC44" s="55"/>
      <c r="SKD44" s="55"/>
      <c r="SKE44" s="55"/>
      <c r="SKF44" s="55"/>
      <c r="SKG44" s="55"/>
      <c r="SKH44" s="55"/>
      <c r="SKI44" s="55"/>
      <c r="SKJ44" s="55"/>
      <c r="SKK44" s="55"/>
      <c r="SKL44" s="55"/>
      <c r="SKM44" s="55"/>
      <c r="SKN44" s="55"/>
      <c r="SKO44" s="55"/>
      <c r="SKP44" s="55"/>
      <c r="SKQ44" s="55"/>
      <c r="SKR44" s="55"/>
      <c r="SKS44" s="55"/>
      <c r="SKT44" s="55"/>
      <c r="SKU44" s="55"/>
      <c r="SKV44" s="55"/>
      <c r="SKW44" s="55"/>
      <c r="SKX44" s="55"/>
      <c r="SKY44" s="55"/>
      <c r="SKZ44" s="55"/>
      <c r="SLA44" s="55"/>
      <c r="SLB44" s="55"/>
      <c r="SLC44" s="55"/>
      <c r="SLD44" s="55"/>
      <c r="SLE44" s="55"/>
      <c r="SLF44" s="55"/>
      <c r="SLG44" s="55"/>
      <c r="SLH44" s="55"/>
      <c r="SLI44" s="55"/>
      <c r="SLJ44" s="55"/>
      <c r="SLK44" s="55"/>
      <c r="SLL44" s="55"/>
      <c r="SLM44" s="55"/>
      <c r="SLN44" s="55"/>
      <c r="SLO44" s="55"/>
      <c r="SLP44" s="55"/>
      <c r="SLQ44" s="55"/>
      <c r="SLR44" s="55"/>
      <c r="SLS44" s="55"/>
      <c r="SLT44" s="55"/>
      <c r="SLU44" s="55"/>
      <c r="SLV44" s="55"/>
      <c r="SLW44" s="55"/>
      <c r="SLX44" s="55"/>
      <c r="SLY44" s="55"/>
      <c r="SLZ44" s="55"/>
      <c r="SMA44" s="55"/>
      <c r="SMB44" s="55"/>
      <c r="SMC44" s="55"/>
      <c r="SMD44" s="55"/>
      <c r="SME44" s="55"/>
      <c r="SMF44" s="55"/>
      <c r="SMG44" s="55"/>
      <c r="SMH44" s="55"/>
      <c r="SMI44" s="55"/>
      <c r="SMJ44" s="55"/>
      <c r="SMK44" s="55"/>
      <c r="SML44" s="55"/>
      <c r="SMM44" s="55"/>
      <c r="SMN44" s="55"/>
      <c r="SMO44" s="55"/>
      <c r="SMP44" s="55"/>
      <c r="SMQ44" s="55"/>
      <c r="SMR44" s="55"/>
      <c r="SMS44" s="55"/>
      <c r="SMT44" s="55"/>
      <c r="SMU44" s="55"/>
      <c r="SMV44" s="55"/>
      <c r="SMW44" s="55"/>
      <c r="SMX44" s="55"/>
      <c r="SMY44" s="55"/>
      <c r="SMZ44" s="55"/>
      <c r="SNA44" s="55"/>
      <c r="SNB44" s="55"/>
      <c r="SNC44" s="55"/>
      <c r="SND44" s="55"/>
      <c r="SNE44" s="55"/>
      <c r="SNF44" s="55"/>
      <c r="SNG44" s="55"/>
      <c r="SNH44" s="55"/>
      <c r="SNI44" s="55"/>
      <c r="SNJ44" s="55"/>
      <c r="SNK44" s="55"/>
      <c r="SNL44" s="55"/>
      <c r="SNM44" s="55"/>
      <c r="SNN44" s="55"/>
      <c r="SNO44" s="55"/>
      <c r="SNP44" s="55"/>
      <c r="SNQ44" s="55"/>
      <c r="SNR44" s="55"/>
      <c r="SNS44" s="55"/>
      <c r="SNT44" s="55"/>
      <c r="SNU44" s="55"/>
      <c r="SNV44" s="55"/>
      <c r="SNW44" s="55"/>
      <c r="SNX44" s="55"/>
      <c r="SNY44" s="55"/>
      <c r="SNZ44" s="55"/>
      <c r="SOA44" s="55"/>
      <c r="SOB44" s="55"/>
      <c r="SOC44" s="55"/>
      <c r="SOD44" s="55"/>
      <c r="SOE44" s="55"/>
      <c r="SOF44" s="55"/>
      <c r="SOG44" s="55"/>
      <c r="SOH44" s="55"/>
      <c r="SOI44" s="55"/>
      <c r="SOJ44" s="55"/>
      <c r="SOK44" s="55"/>
      <c r="SOL44" s="55"/>
      <c r="SOM44" s="55"/>
      <c r="SON44" s="55"/>
      <c r="SOO44" s="55"/>
      <c r="SOP44" s="55"/>
      <c r="SOQ44" s="55"/>
      <c r="SOR44" s="55"/>
      <c r="SOS44" s="55"/>
      <c r="SOT44" s="55"/>
      <c r="SOU44" s="55"/>
      <c r="SOV44" s="55"/>
      <c r="SOW44" s="55"/>
      <c r="SOX44" s="55"/>
      <c r="SOY44" s="55"/>
      <c r="SOZ44" s="55"/>
      <c r="SPA44" s="55"/>
      <c r="SPB44" s="55"/>
      <c r="SPC44" s="55"/>
      <c r="SPD44" s="55"/>
      <c r="SPE44" s="55"/>
      <c r="SPF44" s="55"/>
      <c r="SPG44" s="55"/>
      <c r="SPH44" s="55"/>
      <c r="SPI44" s="55"/>
      <c r="SPJ44" s="55"/>
      <c r="SPK44" s="55"/>
      <c r="SPL44" s="55"/>
      <c r="SPM44" s="55"/>
      <c r="SPN44" s="55"/>
      <c r="SPO44" s="55"/>
      <c r="SPP44" s="55"/>
      <c r="SPQ44" s="55"/>
      <c r="SPR44" s="55"/>
      <c r="SPS44" s="55"/>
      <c r="SPT44" s="55"/>
      <c r="SPU44" s="55"/>
      <c r="SPV44" s="55"/>
      <c r="SPW44" s="55"/>
      <c r="SPX44" s="55"/>
      <c r="SPY44" s="55"/>
      <c r="SPZ44" s="55"/>
      <c r="SQA44" s="55"/>
      <c r="SQB44" s="55"/>
      <c r="SQC44" s="55"/>
      <c r="SQD44" s="55"/>
      <c r="SQE44" s="55"/>
      <c r="SQF44" s="55"/>
      <c r="SQG44" s="55"/>
      <c r="SQH44" s="55"/>
      <c r="SQI44" s="55"/>
      <c r="SQJ44" s="55"/>
      <c r="SQK44" s="55"/>
      <c r="SQL44" s="55"/>
      <c r="SQM44" s="55"/>
      <c r="SQN44" s="55"/>
      <c r="SQO44" s="55"/>
      <c r="SQP44" s="55"/>
      <c r="SQQ44" s="55"/>
      <c r="SQR44" s="55"/>
      <c r="SQS44" s="55"/>
      <c r="SQT44" s="55"/>
      <c r="SQU44" s="55"/>
      <c r="SQV44" s="55"/>
      <c r="SQW44" s="55"/>
      <c r="SQX44" s="55"/>
      <c r="SQY44" s="55"/>
      <c r="SQZ44" s="55"/>
      <c r="SRA44" s="55"/>
      <c r="SRB44" s="55"/>
      <c r="SRC44" s="55"/>
      <c r="SRD44" s="55"/>
      <c r="SRE44" s="55"/>
      <c r="SRF44" s="55"/>
      <c r="SRG44" s="55"/>
      <c r="SRH44" s="55"/>
      <c r="SRI44" s="55"/>
      <c r="SRJ44" s="55"/>
      <c r="SRK44" s="55"/>
      <c r="SRL44" s="55"/>
      <c r="SRM44" s="55"/>
      <c r="SRN44" s="55"/>
      <c r="SRO44" s="55"/>
      <c r="SRP44" s="55"/>
      <c r="SRQ44" s="55"/>
      <c r="SRR44" s="55"/>
      <c r="SRS44" s="55"/>
      <c r="SRT44" s="55"/>
      <c r="SRU44" s="55"/>
      <c r="SRV44" s="55"/>
      <c r="SRW44" s="55"/>
      <c r="SRX44" s="55"/>
      <c r="SRY44" s="55"/>
      <c r="SRZ44" s="55"/>
      <c r="SSA44" s="55"/>
      <c r="SSB44" s="55"/>
      <c r="SSC44" s="55"/>
      <c r="SSD44" s="55"/>
      <c r="SSE44" s="55"/>
      <c r="SSF44" s="55"/>
      <c r="SSG44" s="55"/>
      <c r="SSH44" s="55"/>
      <c r="SSI44" s="55"/>
      <c r="SSJ44" s="55"/>
      <c r="SSK44" s="55"/>
      <c r="SSL44" s="55"/>
      <c r="SSM44" s="55"/>
      <c r="SSN44" s="55"/>
      <c r="SSO44" s="55"/>
      <c r="SSP44" s="55"/>
      <c r="SSQ44" s="55"/>
      <c r="SSR44" s="55"/>
      <c r="SSS44" s="55"/>
      <c r="SST44" s="55"/>
      <c r="SSU44" s="55"/>
      <c r="SSV44" s="55"/>
      <c r="SSW44" s="55"/>
      <c r="SSX44" s="55"/>
      <c r="SSY44" s="55"/>
      <c r="SSZ44" s="55"/>
      <c r="STA44" s="55"/>
      <c r="STB44" s="55"/>
      <c r="STC44" s="55"/>
      <c r="STD44" s="55"/>
      <c r="STE44" s="55"/>
      <c r="STF44" s="55"/>
      <c r="STG44" s="55"/>
      <c r="STH44" s="55"/>
      <c r="STI44" s="55"/>
      <c r="STJ44" s="55"/>
      <c r="STK44" s="55"/>
      <c r="STL44" s="55"/>
      <c r="STM44" s="55"/>
      <c r="STN44" s="55"/>
      <c r="STO44" s="55"/>
      <c r="STP44" s="55"/>
      <c r="STQ44" s="55"/>
      <c r="STR44" s="55"/>
      <c r="STS44" s="55"/>
      <c r="STT44" s="55"/>
      <c r="STU44" s="55"/>
      <c r="STV44" s="55"/>
      <c r="STW44" s="55"/>
      <c r="STX44" s="55"/>
      <c r="STY44" s="55"/>
      <c r="STZ44" s="55"/>
      <c r="SUA44" s="55"/>
      <c r="SUB44" s="55"/>
      <c r="SUC44" s="55"/>
      <c r="SUD44" s="55"/>
      <c r="SUE44" s="55"/>
      <c r="SUF44" s="55"/>
      <c r="SUG44" s="55"/>
      <c r="SUH44" s="55"/>
      <c r="SUI44" s="55"/>
      <c r="SUJ44" s="55"/>
      <c r="SUK44" s="55"/>
      <c r="SUL44" s="55"/>
      <c r="SUM44" s="55"/>
      <c r="SUN44" s="55"/>
      <c r="SUO44" s="55"/>
      <c r="SUP44" s="55"/>
      <c r="SUQ44" s="55"/>
      <c r="SUR44" s="55"/>
      <c r="SUS44" s="55"/>
      <c r="SUT44" s="55"/>
      <c r="SUU44" s="55"/>
      <c r="SUV44" s="55"/>
      <c r="SUW44" s="55"/>
      <c r="SUX44" s="55"/>
      <c r="SUY44" s="55"/>
      <c r="SUZ44" s="55"/>
      <c r="SVA44" s="55"/>
      <c r="SVB44" s="55"/>
      <c r="SVC44" s="55"/>
      <c r="SVD44" s="55"/>
      <c r="SVE44" s="55"/>
      <c r="SVF44" s="55"/>
      <c r="SVG44" s="55"/>
      <c r="SVH44" s="55"/>
      <c r="SVI44" s="55"/>
      <c r="SVJ44" s="55"/>
      <c r="SVK44" s="55"/>
      <c r="SVL44" s="55"/>
      <c r="SVM44" s="55"/>
      <c r="SVN44" s="55"/>
      <c r="SVO44" s="55"/>
      <c r="SVP44" s="55"/>
      <c r="SVQ44" s="55"/>
      <c r="SVR44" s="55"/>
      <c r="SVS44" s="55"/>
      <c r="SVT44" s="55"/>
      <c r="SVU44" s="55"/>
      <c r="SVV44" s="55"/>
      <c r="SVW44" s="55"/>
      <c r="SVX44" s="55"/>
      <c r="SVY44" s="55"/>
      <c r="SVZ44" s="55"/>
      <c r="SWA44" s="55"/>
      <c r="SWB44" s="55"/>
      <c r="SWC44" s="55"/>
      <c r="SWD44" s="55"/>
      <c r="SWE44" s="55"/>
      <c r="SWF44" s="55"/>
      <c r="SWG44" s="55"/>
      <c r="SWH44" s="55"/>
      <c r="SWI44" s="55"/>
      <c r="SWJ44" s="55"/>
      <c r="SWK44" s="55"/>
      <c r="SWL44" s="55"/>
      <c r="SWM44" s="55"/>
      <c r="SWN44" s="55"/>
      <c r="SWO44" s="55"/>
      <c r="SWP44" s="55"/>
      <c r="SWQ44" s="55"/>
      <c r="SWR44" s="55"/>
      <c r="SWS44" s="55"/>
      <c r="SWT44" s="55"/>
      <c r="SWU44" s="55"/>
      <c r="SWV44" s="55"/>
      <c r="SWW44" s="55"/>
      <c r="SWX44" s="55"/>
      <c r="SWY44" s="55"/>
      <c r="SWZ44" s="55"/>
      <c r="SXA44" s="55"/>
      <c r="SXB44" s="55"/>
      <c r="SXC44" s="55"/>
      <c r="SXD44" s="55"/>
      <c r="SXE44" s="55"/>
      <c r="SXF44" s="55"/>
      <c r="SXG44" s="55"/>
      <c r="SXH44" s="55"/>
      <c r="SXI44" s="55"/>
      <c r="SXJ44" s="55"/>
      <c r="SXK44" s="55"/>
      <c r="SXL44" s="55"/>
      <c r="SXM44" s="55"/>
      <c r="SXN44" s="55"/>
      <c r="SXO44" s="55"/>
      <c r="SXP44" s="55"/>
      <c r="SXQ44" s="55"/>
      <c r="SXR44" s="55"/>
      <c r="SXS44" s="55"/>
      <c r="SXT44" s="55"/>
      <c r="SXU44" s="55"/>
      <c r="SXV44" s="55"/>
      <c r="SXW44" s="55"/>
      <c r="SXX44" s="55"/>
      <c r="SXY44" s="55"/>
      <c r="SXZ44" s="55"/>
      <c r="SYA44" s="55"/>
      <c r="SYB44" s="55"/>
      <c r="SYC44" s="55"/>
      <c r="SYD44" s="55"/>
      <c r="SYE44" s="55"/>
      <c r="SYF44" s="55"/>
      <c r="SYG44" s="55"/>
      <c r="SYH44" s="55"/>
      <c r="SYI44" s="55"/>
      <c r="SYJ44" s="55"/>
      <c r="SYK44" s="55"/>
      <c r="SYL44" s="55"/>
      <c r="SYM44" s="55"/>
      <c r="SYN44" s="55"/>
      <c r="SYO44" s="55"/>
      <c r="SYP44" s="55"/>
      <c r="SYQ44" s="55"/>
      <c r="SYR44" s="55"/>
      <c r="SYS44" s="55"/>
      <c r="SYT44" s="55"/>
      <c r="SYU44" s="55"/>
      <c r="SYV44" s="55"/>
      <c r="SYW44" s="55"/>
      <c r="SYX44" s="55"/>
      <c r="SYY44" s="55"/>
      <c r="SYZ44" s="55"/>
      <c r="SZA44" s="55"/>
      <c r="SZB44" s="55"/>
      <c r="SZC44" s="55"/>
      <c r="SZD44" s="55"/>
      <c r="SZE44" s="55"/>
      <c r="SZF44" s="55"/>
      <c r="SZG44" s="55"/>
      <c r="SZH44" s="55"/>
      <c r="SZI44" s="55"/>
      <c r="SZJ44" s="55"/>
      <c r="SZK44" s="55"/>
      <c r="SZL44" s="55"/>
      <c r="SZM44" s="55"/>
      <c r="SZN44" s="55"/>
      <c r="SZO44" s="55"/>
      <c r="SZP44" s="55"/>
      <c r="SZQ44" s="55"/>
      <c r="SZR44" s="55"/>
      <c r="SZS44" s="55"/>
      <c r="SZT44" s="55"/>
      <c r="SZU44" s="55"/>
      <c r="SZV44" s="55"/>
      <c r="SZW44" s="55"/>
      <c r="SZX44" s="55"/>
      <c r="SZY44" s="55"/>
      <c r="SZZ44" s="55"/>
      <c r="TAA44" s="55"/>
      <c r="TAB44" s="55"/>
      <c r="TAC44" s="55"/>
      <c r="TAD44" s="55"/>
      <c r="TAE44" s="55"/>
      <c r="TAF44" s="55"/>
      <c r="TAG44" s="55"/>
      <c r="TAH44" s="55"/>
      <c r="TAI44" s="55"/>
      <c r="TAJ44" s="55"/>
      <c r="TAK44" s="55"/>
      <c r="TAL44" s="55"/>
      <c r="TAM44" s="55"/>
      <c r="TAN44" s="55"/>
      <c r="TAO44" s="55"/>
      <c r="TAP44" s="55"/>
      <c r="TAQ44" s="55"/>
      <c r="TAR44" s="55"/>
      <c r="TAS44" s="55"/>
      <c r="TAT44" s="55"/>
      <c r="TAU44" s="55"/>
      <c r="TAV44" s="55"/>
      <c r="TAW44" s="55"/>
      <c r="TAX44" s="55"/>
      <c r="TAY44" s="55"/>
      <c r="TAZ44" s="55"/>
      <c r="TBA44" s="55"/>
      <c r="TBB44" s="55"/>
      <c r="TBC44" s="55"/>
      <c r="TBD44" s="55"/>
      <c r="TBE44" s="55"/>
      <c r="TBF44" s="55"/>
      <c r="TBG44" s="55"/>
      <c r="TBH44" s="55"/>
      <c r="TBI44" s="55"/>
      <c r="TBJ44" s="55"/>
      <c r="TBK44" s="55"/>
      <c r="TBL44" s="55"/>
      <c r="TBM44" s="55"/>
      <c r="TBN44" s="55"/>
      <c r="TBO44" s="55"/>
      <c r="TBP44" s="55"/>
      <c r="TBQ44" s="55"/>
      <c r="TBR44" s="55"/>
      <c r="TBS44" s="55"/>
      <c r="TBT44" s="55"/>
      <c r="TBU44" s="55"/>
      <c r="TBV44" s="55"/>
      <c r="TBW44" s="55"/>
      <c r="TBX44" s="55"/>
      <c r="TBY44" s="55"/>
      <c r="TBZ44" s="55"/>
      <c r="TCA44" s="55"/>
      <c r="TCB44" s="55"/>
      <c r="TCC44" s="55"/>
      <c r="TCD44" s="55"/>
      <c r="TCE44" s="55"/>
      <c r="TCF44" s="55"/>
      <c r="TCG44" s="55"/>
      <c r="TCH44" s="55"/>
      <c r="TCI44" s="55"/>
      <c r="TCJ44" s="55"/>
      <c r="TCK44" s="55"/>
      <c r="TCL44" s="55"/>
      <c r="TCM44" s="55"/>
      <c r="TCN44" s="55"/>
      <c r="TCO44" s="55"/>
      <c r="TCP44" s="55"/>
      <c r="TCQ44" s="55"/>
      <c r="TCR44" s="55"/>
      <c r="TCS44" s="55"/>
      <c r="TCT44" s="55"/>
      <c r="TCU44" s="55"/>
      <c r="TCV44" s="55"/>
      <c r="TCW44" s="55"/>
      <c r="TCX44" s="55"/>
      <c r="TCY44" s="55"/>
      <c r="TCZ44" s="55"/>
      <c r="TDA44" s="55"/>
      <c r="TDB44" s="55"/>
      <c r="TDC44" s="55"/>
      <c r="TDD44" s="55"/>
      <c r="TDE44" s="55"/>
      <c r="TDF44" s="55"/>
      <c r="TDG44" s="55"/>
      <c r="TDH44" s="55"/>
      <c r="TDI44" s="55"/>
      <c r="TDJ44" s="55"/>
      <c r="TDK44" s="55"/>
      <c r="TDL44" s="55"/>
      <c r="TDM44" s="55"/>
      <c r="TDN44" s="55"/>
      <c r="TDO44" s="55"/>
      <c r="TDP44" s="55"/>
      <c r="TDQ44" s="55"/>
      <c r="TDR44" s="55"/>
      <c r="TDS44" s="55"/>
      <c r="TDT44" s="55"/>
      <c r="TDU44" s="55"/>
      <c r="TDV44" s="55"/>
      <c r="TDW44" s="55"/>
      <c r="TDX44" s="55"/>
      <c r="TDY44" s="55"/>
      <c r="TDZ44" s="55"/>
      <c r="TEA44" s="55"/>
      <c r="TEB44" s="55"/>
      <c r="TEC44" s="55"/>
      <c r="TED44" s="55"/>
      <c r="TEE44" s="55"/>
      <c r="TEF44" s="55"/>
      <c r="TEG44" s="55"/>
      <c r="TEH44" s="55"/>
      <c r="TEI44" s="55"/>
      <c r="TEJ44" s="55"/>
      <c r="TEK44" s="55"/>
      <c r="TEL44" s="55"/>
      <c r="TEM44" s="55"/>
      <c r="TEN44" s="55"/>
      <c r="TEO44" s="55"/>
      <c r="TEP44" s="55"/>
      <c r="TEQ44" s="55"/>
      <c r="TER44" s="55"/>
      <c r="TES44" s="55"/>
      <c r="TET44" s="55"/>
      <c r="TEU44" s="55"/>
      <c r="TEV44" s="55"/>
      <c r="TEW44" s="55"/>
      <c r="TEX44" s="55"/>
      <c r="TEY44" s="55"/>
      <c r="TEZ44" s="55"/>
      <c r="TFA44" s="55"/>
      <c r="TFB44" s="55"/>
      <c r="TFC44" s="55"/>
      <c r="TFD44" s="55"/>
      <c r="TFE44" s="55"/>
      <c r="TFF44" s="55"/>
      <c r="TFG44" s="55"/>
      <c r="TFH44" s="55"/>
      <c r="TFI44" s="55"/>
      <c r="TFJ44" s="55"/>
      <c r="TFK44" s="55"/>
      <c r="TFL44" s="55"/>
      <c r="TFM44" s="55"/>
      <c r="TFN44" s="55"/>
      <c r="TFO44" s="55"/>
      <c r="TFP44" s="55"/>
      <c r="TFQ44" s="55"/>
      <c r="TFR44" s="55"/>
      <c r="TFS44" s="55"/>
      <c r="TFT44" s="55"/>
      <c r="TFU44" s="55"/>
      <c r="TFV44" s="55"/>
      <c r="TFW44" s="55"/>
      <c r="TFX44" s="55"/>
      <c r="TFY44" s="55"/>
      <c r="TFZ44" s="55"/>
      <c r="TGA44" s="55"/>
      <c r="TGB44" s="55"/>
      <c r="TGC44" s="55"/>
      <c r="TGD44" s="55"/>
      <c r="TGE44" s="55"/>
      <c r="TGF44" s="55"/>
      <c r="TGG44" s="55"/>
      <c r="TGH44" s="55"/>
      <c r="TGI44" s="55"/>
      <c r="TGJ44" s="55"/>
      <c r="TGK44" s="55"/>
      <c r="TGL44" s="55"/>
      <c r="TGM44" s="55"/>
      <c r="TGN44" s="55"/>
      <c r="TGO44" s="55"/>
      <c r="TGP44" s="55"/>
      <c r="TGQ44" s="55"/>
      <c r="TGR44" s="55"/>
      <c r="TGS44" s="55"/>
      <c r="TGT44" s="55"/>
      <c r="TGU44" s="55"/>
      <c r="TGV44" s="55"/>
      <c r="TGW44" s="55"/>
      <c r="TGX44" s="55"/>
      <c r="TGY44" s="55"/>
      <c r="TGZ44" s="55"/>
      <c r="THA44" s="55"/>
      <c r="THB44" s="55"/>
      <c r="THC44" s="55"/>
      <c r="THD44" s="55"/>
      <c r="THE44" s="55"/>
      <c r="THF44" s="55"/>
      <c r="THG44" s="55"/>
      <c r="THH44" s="55"/>
      <c r="THI44" s="55"/>
      <c r="THJ44" s="55"/>
      <c r="THK44" s="55"/>
      <c r="THL44" s="55"/>
      <c r="THM44" s="55"/>
      <c r="THN44" s="55"/>
      <c r="THO44" s="55"/>
      <c r="THP44" s="55"/>
      <c r="THQ44" s="55"/>
      <c r="THR44" s="55"/>
      <c r="THS44" s="55"/>
      <c r="THT44" s="55"/>
      <c r="THU44" s="55"/>
      <c r="THV44" s="55"/>
      <c r="THW44" s="55"/>
      <c r="THX44" s="55"/>
      <c r="THY44" s="55"/>
      <c r="THZ44" s="55"/>
      <c r="TIA44" s="55"/>
      <c r="TIB44" s="55"/>
      <c r="TIC44" s="55"/>
      <c r="TID44" s="55"/>
      <c r="TIE44" s="55"/>
      <c r="TIF44" s="55"/>
      <c r="TIG44" s="55"/>
      <c r="TIH44" s="55"/>
      <c r="TII44" s="55"/>
      <c r="TIJ44" s="55"/>
      <c r="TIK44" s="55"/>
      <c r="TIL44" s="55"/>
      <c r="TIM44" s="55"/>
      <c r="TIN44" s="55"/>
      <c r="TIO44" s="55"/>
      <c r="TIP44" s="55"/>
      <c r="TIQ44" s="55"/>
      <c r="TIR44" s="55"/>
      <c r="TIS44" s="55"/>
      <c r="TIT44" s="55"/>
      <c r="TIU44" s="55"/>
      <c r="TIV44" s="55"/>
      <c r="TIW44" s="55"/>
      <c r="TIX44" s="55"/>
      <c r="TIY44" s="55"/>
      <c r="TIZ44" s="55"/>
      <c r="TJA44" s="55"/>
      <c r="TJB44" s="55"/>
      <c r="TJC44" s="55"/>
      <c r="TJD44" s="55"/>
      <c r="TJE44" s="55"/>
      <c r="TJF44" s="55"/>
      <c r="TJG44" s="55"/>
      <c r="TJH44" s="55"/>
      <c r="TJI44" s="55"/>
      <c r="TJJ44" s="55"/>
      <c r="TJK44" s="55"/>
      <c r="TJL44" s="55"/>
      <c r="TJM44" s="55"/>
      <c r="TJN44" s="55"/>
      <c r="TJO44" s="55"/>
      <c r="TJP44" s="55"/>
      <c r="TJQ44" s="55"/>
      <c r="TJR44" s="55"/>
      <c r="TJS44" s="55"/>
      <c r="TJT44" s="55"/>
      <c r="TJU44" s="55"/>
      <c r="TJV44" s="55"/>
      <c r="TJW44" s="55"/>
      <c r="TJX44" s="55"/>
      <c r="TJY44" s="55"/>
      <c r="TJZ44" s="55"/>
      <c r="TKA44" s="55"/>
      <c r="TKB44" s="55"/>
      <c r="TKC44" s="55"/>
      <c r="TKD44" s="55"/>
      <c r="TKE44" s="55"/>
      <c r="TKF44" s="55"/>
      <c r="TKG44" s="55"/>
      <c r="TKH44" s="55"/>
      <c r="TKI44" s="55"/>
      <c r="TKJ44" s="55"/>
      <c r="TKK44" s="55"/>
      <c r="TKL44" s="55"/>
      <c r="TKM44" s="55"/>
      <c r="TKN44" s="55"/>
      <c r="TKO44" s="55"/>
      <c r="TKP44" s="55"/>
      <c r="TKQ44" s="55"/>
      <c r="TKR44" s="55"/>
      <c r="TKS44" s="55"/>
      <c r="TKT44" s="55"/>
      <c r="TKU44" s="55"/>
      <c r="TKV44" s="55"/>
      <c r="TKW44" s="55"/>
      <c r="TKX44" s="55"/>
      <c r="TKY44" s="55"/>
      <c r="TKZ44" s="55"/>
      <c r="TLA44" s="55"/>
      <c r="TLB44" s="55"/>
      <c r="TLC44" s="55"/>
      <c r="TLD44" s="55"/>
      <c r="TLE44" s="55"/>
      <c r="TLF44" s="55"/>
      <c r="TLG44" s="55"/>
      <c r="TLH44" s="55"/>
      <c r="TLI44" s="55"/>
      <c r="TLJ44" s="55"/>
      <c r="TLK44" s="55"/>
      <c r="TLL44" s="55"/>
      <c r="TLM44" s="55"/>
      <c r="TLN44" s="55"/>
      <c r="TLO44" s="55"/>
      <c r="TLP44" s="55"/>
      <c r="TLQ44" s="55"/>
      <c r="TLR44" s="55"/>
      <c r="TLS44" s="55"/>
      <c r="TLT44" s="55"/>
      <c r="TLU44" s="55"/>
      <c r="TLV44" s="55"/>
      <c r="TLW44" s="55"/>
      <c r="TLX44" s="55"/>
      <c r="TLY44" s="55"/>
      <c r="TLZ44" s="55"/>
      <c r="TMA44" s="55"/>
      <c r="TMB44" s="55"/>
      <c r="TMC44" s="55"/>
      <c r="TMD44" s="55"/>
      <c r="TME44" s="55"/>
      <c r="TMF44" s="55"/>
      <c r="TMG44" s="55"/>
      <c r="TMH44" s="55"/>
      <c r="TMI44" s="55"/>
      <c r="TMJ44" s="55"/>
      <c r="TMK44" s="55"/>
      <c r="TML44" s="55"/>
      <c r="TMM44" s="55"/>
      <c r="TMN44" s="55"/>
      <c r="TMO44" s="55"/>
      <c r="TMP44" s="55"/>
      <c r="TMQ44" s="55"/>
      <c r="TMR44" s="55"/>
      <c r="TMS44" s="55"/>
      <c r="TMT44" s="55"/>
      <c r="TMU44" s="55"/>
      <c r="TMV44" s="55"/>
      <c r="TMW44" s="55"/>
      <c r="TMX44" s="55"/>
      <c r="TMY44" s="55"/>
      <c r="TMZ44" s="55"/>
      <c r="TNA44" s="55"/>
      <c r="TNB44" s="55"/>
      <c r="TNC44" s="55"/>
      <c r="TND44" s="55"/>
      <c r="TNE44" s="55"/>
      <c r="TNF44" s="55"/>
      <c r="TNG44" s="55"/>
      <c r="TNH44" s="55"/>
      <c r="TNI44" s="55"/>
      <c r="TNJ44" s="55"/>
      <c r="TNK44" s="55"/>
      <c r="TNL44" s="55"/>
      <c r="TNM44" s="55"/>
      <c r="TNN44" s="55"/>
      <c r="TNO44" s="55"/>
      <c r="TNP44" s="55"/>
      <c r="TNQ44" s="55"/>
      <c r="TNR44" s="55"/>
      <c r="TNS44" s="55"/>
      <c r="TNT44" s="55"/>
      <c r="TNU44" s="55"/>
      <c r="TNV44" s="55"/>
      <c r="TNW44" s="55"/>
      <c r="TNX44" s="55"/>
      <c r="TNY44" s="55"/>
      <c r="TNZ44" s="55"/>
      <c r="TOA44" s="55"/>
      <c r="TOB44" s="55"/>
      <c r="TOC44" s="55"/>
      <c r="TOD44" s="55"/>
      <c r="TOE44" s="55"/>
      <c r="TOF44" s="55"/>
      <c r="TOG44" s="55"/>
      <c r="TOH44" s="55"/>
      <c r="TOI44" s="55"/>
      <c r="TOJ44" s="55"/>
      <c r="TOK44" s="55"/>
      <c r="TOL44" s="55"/>
      <c r="TOM44" s="55"/>
      <c r="TON44" s="55"/>
      <c r="TOO44" s="55"/>
      <c r="TOP44" s="55"/>
      <c r="TOQ44" s="55"/>
      <c r="TOR44" s="55"/>
      <c r="TOS44" s="55"/>
      <c r="TOT44" s="55"/>
      <c r="TOU44" s="55"/>
      <c r="TOV44" s="55"/>
      <c r="TOW44" s="55"/>
      <c r="TOX44" s="55"/>
      <c r="TOY44" s="55"/>
      <c r="TOZ44" s="55"/>
      <c r="TPA44" s="55"/>
      <c r="TPB44" s="55"/>
      <c r="TPC44" s="55"/>
      <c r="TPD44" s="55"/>
      <c r="TPE44" s="55"/>
      <c r="TPF44" s="55"/>
      <c r="TPG44" s="55"/>
      <c r="TPH44" s="55"/>
      <c r="TPI44" s="55"/>
      <c r="TPJ44" s="55"/>
      <c r="TPK44" s="55"/>
      <c r="TPL44" s="55"/>
      <c r="TPM44" s="55"/>
      <c r="TPN44" s="55"/>
      <c r="TPO44" s="55"/>
      <c r="TPP44" s="55"/>
      <c r="TPQ44" s="55"/>
      <c r="TPR44" s="55"/>
      <c r="TPS44" s="55"/>
      <c r="TPT44" s="55"/>
      <c r="TPU44" s="55"/>
      <c r="TPV44" s="55"/>
      <c r="TPW44" s="55"/>
      <c r="TPX44" s="55"/>
      <c r="TPY44" s="55"/>
      <c r="TPZ44" s="55"/>
      <c r="TQA44" s="55"/>
      <c r="TQB44" s="55"/>
      <c r="TQC44" s="55"/>
      <c r="TQD44" s="55"/>
      <c r="TQE44" s="55"/>
      <c r="TQF44" s="55"/>
      <c r="TQG44" s="55"/>
      <c r="TQH44" s="55"/>
      <c r="TQI44" s="55"/>
      <c r="TQJ44" s="55"/>
      <c r="TQK44" s="55"/>
      <c r="TQL44" s="55"/>
      <c r="TQM44" s="55"/>
      <c r="TQN44" s="55"/>
      <c r="TQO44" s="55"/>
      <c r="TQP44" s="55"/>
      <c r="TQQ44" s="55"/>
      <c r="TQR44" s="55"/>
      <c r="TQS44" s="55"/>
      <c r="TQT44" s="55"/>
      <c r="TQU44" s="55"/>
      <c r="TQV44" s="55"/>
      <c r="TQW44" s="55"/>
      <c r="TQX44" s="55"/>
      <c r="TQY44" s="55"/>
      <c r="TQZ44" s="55"/>
      <c r="TRA44" s="55"/>
      <c r="TRB44" s="55"/>
      <c r="TRC44" s="55"/>
      <c r="TRD44" s="55"/>
      <c r="TRE44" s="55"/>
      <c r="TRF44" s="55"/>
      <c r="TRG44" s="55"/>
      <c r="TRH44" s="55"/>
      <c r="TRI44" s="55"/>
      <c r="TRJ44" s="55"/>
      <c r="TRK44" s="55"/>
      <c r="TRL44" s="55"/>
      <c r="TRM44" s="55"/>
      <c r="TRN44" s="55"/>
      <c r="TRO44" s="55"/>
      <c r="TRP44" s="55"/>
      <c r="TRQ44" s="55"/>
      <c r="TRR44" s="55"/>
      <c r="TRS44" s="55"/>
      <c r="TRT44" s="55"/>
      <c r="TRU44" s="55"/>
      <c r="TRV44" s="55"/>
      <c r="TRW44" s="55"/>
      <c r="TRX44" s="55"/>
      <c r="TRY44" s="55"/>
      <c r="TRZ44" s="55"/>
      <c r="TSA44" s="55"/>
      <c r="TSB44" s="55"/>
      <c r="TSC44" s="55"/>
      <c r="TSD44" s="55"/>
      <c r="TSE44" s="55"/>
      <c r="TSF44" s="55"/>
      <c r="TSG44" s="55"/>
      <c r="TSH44" s="55"/>
      <c r="TSI44" s="55"/>
      <c r="TSJ44" s="55"/>
      <c r="TSK44" s="55"/>
      <c r="TSL44" s="55"/>
      <c r="TSM44" s="55"/>
      <c r="TSN44" s="55"/>
      <c r="TSO44" s="55"/>
      <c r="TSP44" s="55"/>
      <c r="TSQ44" s="55"/>
      <c r="TSR44" s="55"/>
      <c r="TSS44" s="55"/>
      <c r="TST44" s="55"/>
      <c r="TSU44" s="55"/>
      <c r="TSV44" s="55"/>
      <c r="TSW44" s="55"/>
      <c r="TSX44" s="55"/>
      <c r="TSY44" s="55"/>
      <c r="TSZ44" s="55"/>
      <c r="TTA44" s="55"/>
      <c r="TTB44" s="55"/>
      <c r="TTC44" s="55"/>
      <c r="TTD44" s="55"/>
      <c r="TTE44" s="55"/>
      <c r="TTF44" s="55"/>
      <c r="TTG44" s="55"/>
      <c r="TTH44" s="55"/>
      <c r="TTI44" s="55"/>
      <c r="TTJ44" s="55"/>
      <c r="TTK44" s="55"/>
      <c r="TTL44" s="55"/>
      <c r="TTM44" s="55"/>
      <c r="TTN44" s="55"/>
      <c r="TTO44" s="55"/>
      <c r="TTP44" s="55"/>
      <c r="TTQ44" s="55"/>
      <c r="TTR44" s="55"/>
      <c r="TTS44" s="55"/>
      <c r="TTT44" s="55"/>
      <c r="TTU44" s="55"/>
      <c r="TTV44" s="55"/>
      <c r="TTW44" s="55"/>
      <c r="TTX44" s="55"/>
      <c r="TTY44" s="55"/>
      <c r="TTZ44" s="55"/>
      <c r="TUA44" s="55"/>
      <c r="TUB44" s="55"/>
      <c r="TUC44" s="55"/>
      <c r="TUD44" s="55"/>
      <c r="TUE44" s="55"/>
      <c r="TUF44" s="55"/>
      <c r="TUG44" s="55"/>
      <c r="TUH44" s="55"/>
      <c r="TUI44" s="55"/>
      <c r="TUJ44" s="55"/>
      <c r="TUK44" s="55"/>
      <c r="TUL44" s="55"/>
      <c r="TUM44" s="55"/>
      <c r="TUN44" s="55"/>
      <c r="TUO44" s="55"/>
      <c r="TUP44" s="55"/>
      <c r="TUQ44" s="55"/>
      <c r="TUR44" s="55"/>
      <c r="TUS44" s="55"/>
      <c r="TUT44" s="55"/>
      <c r="TUU44" s="55"/>
      <c r="TUV44" s="55"/>
      <c r="TUW44" s="55"/>
      <c r="TUX44" s="55"/>
      <c r="TUY44" s="55"/>
      <c r="TUZ44" s="55"/>
      <c r="TVA44" s="55"/>
      <c r="TVB44" s="55"/>
      <c r="TVC44" s="55"/>
      <c r="TVD44" s="55"/>
      <c r="TVE44" s="55"/>
      <c r="TVF44" s="55"/>
      <c r="TVG44" s="55"/>
      <c r="TVH44" s="55"/>
      <c r="TVI44" s="55"/>
      <c r="TVJ44" s="55"/>
      <c r="TVK44" s="55"/>
      <c r="TVL44" s="55"/>
      <c r="TVM44" s="55"/>
      <c r="TVN44" s="55"/>
      <c r="TVO44" s="55"/>
      <c r="TVP44" s="55"/>
      <c r="TVQ44" s="55"/>
      <c r="TVR44" s="55"/>
      <c r="TVS44" s="55"/>
      <c r="TVT44" s="55"/>
      <c r="TVU44" s="55"/>
      <c r="TVV44" s="55"/>
      <c r="TVW44" s="55"/>
      <c r="TVX44" s="55"/>
      <c r="TVY44" s="55"/>
      <c r="TVZ44" s="55"/>
      <c r="TWA44" s="55"/>
      <c r="TWB44" s="55"/>
      <c r="TWC44" s="55"/>
      <c r="TWD44" s="55"/>
      <c r="TWE44" s="55"/>
      <c r="TWF44" s="55"/>
      <c r="TWG44" s="55"/>
      <c r="TWH44" s="55"/>
      <c r="TWI44" s="55"/>
      <c r="TWJ44" s="55"/>
      <c r="TWK44" s="55"/>
      <c r="TWL44" s="55"/>
      <c r="TWM44" s="55"/>
      <c r="TWN44" s="55"/>
      <c r="TWO44" s="55"/>
      <c r="TWP44" s="55"/>
      <c r="TWQ44" s="55"/>
      <c r="TWR44" s="55"/>
      <c r="TWS44" s="55"/>
      <c r="TWT44" s="55"/>
      <c r="TWU44" s="55"/>
      <c r="TWV44" s="55"/>
      <c r="TWW44" s="55"/>
      <c r="TWX44" s="55"/>
      <c r="TWY44" s="55"/>
      <c r="TWZ44" s="55"/>
      <c r="TXA44" s="55"/>
      <c r="TXB44" s="55"/>
      <c r="TXC44" s="55"/>
      <c r="TXD44" s="55"/>
      <c r="TXE44" s="55"/>
      <c r="TXF44" s="55"/>
      <c r="TXG44" s="55"/>
      <c r="TXH44" s="55"/>
      <c r="TXI44" s="55"/>
      <c r="TXJ44" s="55"/>
      <c r="TXK44" s="55"/>
      <c r="TXL44" s="55"/>
      <c r="TXM44" s="55"/>
      <c r="TXN44" s="55"/>
      <c r="TXO44" s="55"/>
      <c r="TXP44" s="55"/>
      <c r="TXQ44" s="55"/>
      <c r="TXR44" s="55"/>
      <c r="TXS44" s="55"/>
      <c r="TXT44" s="55"/>
      <c r="TXU44" s="55"/>
      <c r="TXV44" s="55"/>
      <c r="TXW44" s="55"/>
      <c r="TXX44" s="55"/>
      <c r="TXY44" s="55"/>
      <c r="TXZ44" s="55"/>
      <c r="TYA44" s="55"/>
      <c r="TYB44" s="55"/>
      <c r="TYC44" s="55"/>
      <c r="TYD44" s="55"/>
      <c r="TYE44" s="55"/>
      <c r="TYF44" s="55"/>
      <c r="TYG44" s="55"/>
      <c r="TYH44" s="55"/>
      <c r="TYI44" s="55"/>
      <c r="TYJ44" s="55"/>
      <c r="TYK44" s="55"/>
      <c r="TYL44" s="55"/>
      <c r="TYM44" s="55"/>
      <c r="TYN44" s="55"/>
      <c r="TYO44" s="55"/>
      <c r="TYP44" s="55"/>
      <c r="TYQ44" s="55"/>
      <c r="TYR44" s="55"/>
      <c r="TYS44" s="55"/>
      <c r="TYT44" s="55"/>
      <c r="TYU44" s="55"/>
      <c r="TYV44" s="55"/>
      <c r="TYW44" s="55"/>
      <c r="TYX44" s="55"/>
      <c r="TYY44" s="55"/>
      <c r="TYZ44" s="55"/>
      <c r="TZA44" s="55"/>
      <c r="TZB44" s="55"/>
      <c r="TZC44" s="55"/>
      <c r="TZD44" s="55"/>
      <c r="TZE44" s="55"/>
      <c r="TZF44" s="55"/>
      <c r="TZG44" s="55"/>
      <c r="TZH44" s="55"/>
      <c r="TZI44" s="55"/>
      <c r="TZJ44" s="55"/>
      <c r="TZK44" s="55"/>
      <c r="TZL44" s="55"/>
      <c r="TZM44" s="55"/>
      <c r="TZN44" s="55"/>
      <c r="TZO44" s="55"/>
      <c r="TZP44" s="55"/>
      <c r="TZQ44" s="55"/>
      <c r="TZR44" s="55"/>
      <c r="TZS44" s="55"/>
      <c r="TZT44" s="55"/>
      <c r="TZU44" s="55"/>
      <c r="TZV44" s="55"/>
      <c r="TZW44" s="55"/>
      <c r="TZX44" s="55"/>
      <c r="TZY44" s="55"/>
      <c r="TZZ44" s="55"/>
      <c r="UAA44" s="55"/>
      <c r="UAB44" s="55"/>
      <c r="UAC44" s="55"/>
      <c r="UAD44" s="55"/>
      <c r="UAE44" s="55"/>
      <c r="UAF44" s="55"/>
      <c r="UAG44" s="55"/>
      <c r="UAH44" s="55"/>
      <c r="UAI44" s="55"/>
      <c r="UAJ44" s="55"/>
      <c r="UAK44" s="55"/>
      <c r="UAL44" s="55"/>
      <c r="UAM44" s="55"/>
      <c r="UAN44" s="55"/>
      <c r="UAO44" s="55"/>
      <c r="UAP44" s="55"/>
      <c r="UAQ44" s="55"/>
      <c r="UAR44" s="55"/>
      <c r="UAS44" s="55"/>
      <c r="UAT44" s="55"/>
      <c r="UAU44" s="55"/>
      <c r="UAV44" s="55"/>
      <c r="UAW44" s="55"/>
      <c r="UAX44" s="55"/>
      <c r="UAY44" s="55"/>
      <c r="UAZ44" s="55"/>
      <c r="UBA44" s="55"/>
      <c r="UBB44" s="55"/>
      <c r="UBC44" s="55"/>
      <c r="UBD44" s="55"/>
      <c r="UBE44" s="55"/>
      <c r="UBF44" s="55"/>
      <c r="UBG44" s="55"/>
      <c r="UBH44" s="55"/>
      <c r="UBI44" s="55"/>
      <c r="UBJ44" s="55"/>
      <c r="UBK44" s="55"/>
      <c r="UBL44" s="55"/>
      <c r="UBM44" s="55"/>
      <c r="UBN44" s="55"/>
      <c r="UBO44" s="55"/>
      <c r="UBP44" s="55"/>
      <c r="UBQ44" s="55"/>
      <c r="UBR44" s="55"/>
      <c r="UBS44" s="55"/>
      <c r="UBT44" s="55"/>
      <c r="UBU44" s="55"/>
      <c r="UBV44" s="55"/>
      <c r="UBW44" s="55"/>
      <c r="UBX44" s="55"/>
      <c r="UBY44" s="55"/>
      <c r="UBZ44" s="55"/>
      <c r="UCA44" s="55"/>
      <c r="UCB44" s="55"/>
      <c r="UCC44" s="55"/>
      <c r="UCD44" s="55"/>
      <c r="UCE44" s="55"/>
      <c r="UCF44" s="55"/>
      <c r="UCG44" s="55"/>
      <c r="UCH44" s="55"/>
      <c r="UCI44" s="55"/>
      <c r="UCJ44" s="55"/>
      <c r="UCK44" s="55"/>
      <c r="UCL44" s="55"/>
      <c r="UCM44" s="55"/>
      <c r="UCN44" s="55"/>
      <c r="UCO44" s="55"/>
      <c r="UCP44" s="55"/>
      <c r="UCQ44" s="55"/>
      <c r="UCR44" s="55"/>
      <c r="UCS44" s="55"/>
      <c r="UCT44" s="55"/>
      <c r="UCU44" s="55"/>
      <c r="UCV44" s="55"/>
      <c r="UCW44" s="55"/>
      <c r="UCX44" s="55"/>
      <c r="UCY44" s="55"/>
      <c r="UCZ44" s="55"/>
      <c r="UDA44" s="55"/>
      <c r="UDB44" s="55"/>
      <c r="UDC44" s="55"/>
      <c r="UDD44" s="55"/>
      <c r="UDE44" s="55"/>
      <c r="UDF44" s="55"/>
      <c r="UDG44" s="55"/>
      <c r="UDH44" s="55"/>
      <c r="UDI44" s="55"/>
      <c r="UDJ44" s="55"/>
      <c r="UDK44" s="55"/>
      <c r="UDL44" s="55"/>
      <c r="UDM44" s="55"/>
      <c r="UDN44" s="55"/>
      <c r="UDO44" s="55"/>
      <c r="UDP44" s="55"/>
      <c r="UDQ44" s="55"/>
      <c r="UDR44" s="55"/>
      <c r="UDS44" s="55"/>
      <c r="UDT44" s="55"/>
      <c r="UDU44" s="55"/>
      <c r="UDV44" s="55"/>
      <c r="UDW44" s="55"/>
      <c r="UDX44" s="55"/>
      <c r="UDY44" s="55"/>
      <c r="UDZ44" s="55"/>
      <c r="UEA44" s="55"/>
      <c r="UEB44" s="55"/>
      <c r="UEC44" s="55"/>
      <c r="UED44" s="55"/>
      <c r="UEE44" s="55"/>
      <c r="UEF44" s="55"/>
      <c r="UEG44" s="55"/>
      <c r="UEH44" s="55"/>
      <c r="UEI44" s="55"/>
      <c r="UEJ44" s="55"/>
      <c r="UEK44" s="55"/>
      <c r="UEL44" s="55"/>
      <c r="UEM44" s="55"/>
      <c r="UEN44" s="55"/>
      <c r="UEO44" s="55"/>
      <c r="UEP44" s="55"/>
      <c r="UEQ44" s="55"/>
      <c r="UER44" s="55"/>
      <c r="UES44" s="55"/>
      <c r="UET44" s="55"/>
      <c r="UEU44" s="55"/>
      <c r="UEV44" s="55"/>
      <c r="UEW44" s="55"/>
      <c r="UEX44" s="55"/>
      <c r="UEY44" s="55"/>
      <c r="UEZ44" s="55"/>
      <c r="UFA44" s="55"/>
      <c r="UFB44" s="55"/>
      <c r="UFC44" s="55"/>
      <c r="UFD44" s="55"/>
      <c r="UFE44" s="55"/>
      <c r="UFF44" s="55"/>
      <c r="UFG44" s="55"/>
      <c r="UFH44" s="55"/>
      <c r="UFI44" s="55"/>
      <c r="UFJ44" s="55"/>
      <c r="UFK44" s="55"/>
      <c r="UFL44" s="55"/>
      <c r="UFM44" s="55"/>
      <c r="UFN44" s="55"/>
      <c r="UFO44" s="55"/>
      <c r="UFP44" s="55"/>
      <c r="UFQ44" s="55"/>
      <c r="UFR44" s="55"/>
      <c r="UFS44" s="55"/>
      <c r="UFT44" s="55"/>
      <c r="UFU44" s="55"/>
      <c r="UFV44" s="55"/>
      <c r="UFW44" s="55"/>
      <c r="UFX44" s="55"/>
      <c r="UFY44" s="55"/>
      <c r="UFZ44" s="55"/>
      <c r="UGA44" s="55"/>
      <c r="UGB44" s="55"/>
      <c r="UGC44" s="55"/>
      <c r="UGD44" s="55"/>
      <c r="UGE44" s="55"/>
      <c r="UGF44" s="55"/>
      <c r="UGG44" s="55"/>
      <c r="UGH44" s="55"/>
      <c r="UGI44" s="55"/>
      <c r="UGJ44" s="55"/>
      <c r="UGK44" s="55"/>
      <c r="UGL44" s="55"/>
      <c r="UGM44" s="55"/>
      <c r="UGN44" s="55"/>
      <c r="UGO44" s="55"/>
      <c r="UGP44" s="55"/>
      <c r="UGQ44" s="55"/>
      <c r="UGR44" s="55"/>
      <c r="UGS44" s="55"/>
      <c r="UGT44" s="55"/>
      <c r="UGU44" s="55"/>
      <c r="UGV44" s="55"/>
      <c r="UGW44" s="55"/>
      <c r="UGX44" s="55"/>
      <c r="UGY44" s="55"/>
      <c r="UGZ44" s="55"/>
      <c r="UHA44" s="55"/>
      <c r="UHB44" s="55"/>
      <c r="UHC44" s="55"/>
      <c r="UHD44" s="55"/>
      <c r="UHE44" s="55"/>
      <c r="UHF44" s="55"/>
      <c r="UHG44" s="55"/>
      <c r="UHH44" s="55"/>
      <c r="UHI44" s="55"/>
      <c r="UHJ44" s="55"/>
      <c r="UHK44" s="55"/>
      <c r="UHL44" s="55"/>
      <c r="UHM44" s="55"/>
      <c r="UHN44" s="55"/>
      <c r="UHO44" s="55"/>
      <c r="UHP44" s="55"/>
      <c r="UHQ44" s="55"/>
      <c r="UHR44" s="55"/>
      <c r="UHS44" s="55"/>
      <c r="UHT44" s="55"/>
      <c r="UHU44" s="55"/>
      <c r="UHV44" s="55"/>
      <c r="UHW44" s="55"/>
      <c r="UHX44" s="55"/>
      <c r="UHY44" s="55"/>
      <c r="UHZ44" s="55"/>
      <c r="UIA44" s="55"/>
      <c r="UIB44" s="55"/>
      <c r="UIC44" s="55"/>
      <c r="UID44" s="55"/>
      <c r="UIE44" s="55"/>
      <c r="UIF44" s="55"/>
      <c r="UIG44" s="55"/>
      <c r="UIH44" s="55"/>
      <c r="UII44" s="55"/>
      <c r="UIJ44" s="55"/>
      <c r="UIK44" s="55"/>
      <c r="UIL44" s="55"/>
      <c r="UIM44" s="55"/>
      <c r="UIN44" s="55"/>
      <c r="UIO44" s="55"/>
      <c r="UIP44" s="55"/>
      <c r="UIQ44" s="55"/>
      <c r="UIR44" s="55"/>
      <c r="UIS44" s="55"/>
      <c r="UIT44" s="55"/>
      <c r="UIU44" s="55"/>
      <c r="UIV44" s="55"/>
      <c r="UIW44" s="55"/>
      <c r="UIX44" s="55"/>
      <c r="UIY44" s="55"/>
      <c r="UIZ44" s="55"/>
      <c r="UJA44" s="55"/>
      <c r="UJB44" s="55"/>
      <c r="UJC44" s="55"/>
      <c r="UJD44" s="55"/>
      <c r="UJE44" s="55"/>
      <c r="UJF44" s="55"/>
      <c r="UJG44" s="55"/>
      <c r="UJH44" s="55"/>
      <c r="UJI44" s="55"/>
      <c r="UJJ44" s="55"/>
      <c r="UJK44" s="55"/>
      <c r="UJL44" s="55"/>
      <c r="UJM44" s="55"/>
      <c r="UJN44" s="55"/>
      <c r="UJO44" s="55"/>
      <c r="UJP44" s="55"/>
      <c r="UJQ44" s="55"/>
      <c r="UJR44" s="55"/>
      <c r="UJS44" s="55"/>
      <c r="UJT44" s="55"/>
      <c r="UJU44" s="55"/>
      <c r="UJV44" s="55"/>
      <c r="UJW44" s="55"/>
      <c r="UJX44" s="55"/>
      <c r="UJY44" s="55"/>
      <c r="UJZ44" s="55"/>
      <c r="UKA44" s="55"/>
      <c r="UKB44" s="55"/>
      <c r="UKC44" s="55"/>
      <c r="UKD44" s="55"/>
      <c r="UKE44" s="55"/>
      <c r="UKF44" s="55"/>
      <c r="UKG44" s="55"/>
      <c r="UKH44" s="55"/>
      <c r="UKI44" s="55"/>
      <c r="UKJ44" s="55"/>
      <c r="UKK44" s="55"/>
      <c r="UKL44" s="55"/>
      <c r="UKM44" s="55"/>
      <c r="UKN44" s="55"/>
      <c r="UKO44" s="55"/>
      <c r="UKP44" s="55"/>
      <c r="UKQ44" s="55"/>
      <c r="UKR44" s="55"/>
      <c r="UKS44" s="55"/>
      <c r="UKT44" s="55"/>
      <c r="UKU44" s="55"/>
      <c r="UKV44" s="55"/>
      <c r="UKW44" s="55"/>
      <c r="UKX44" s="55"/>
      <c r="UKY44" s="55"/>
      <c r="UKZ44" s="55"/>
      <c r="ULA44" s="55"/>
      <c r="ULB44" s="55"/>
      <c r="ULC44" s="55"/>
      <c r="ULD44" s="55"/>
      <c r="ULE44" s="55"/>
      <c r="ULF44" s="55"/>
      <c r="ULG44" s="55"/>
      <c r="ULH44" s="55"/>
      <c r="ULI44" s="55"/>
      <c r="ULJ44" s="55"/>
      <c r="ULK44" s="55"/>
      <c r="ULL44" s="55"/>
      <c r="ULM44" s="55"/>
      <c r="ULN44" s="55"/>
      <c r="ULO44" s="55"/>
      <c r="ULP44" s="55"/>
      <c r="ULQ44" s="55"/>
      <c r="ULR44" s="55"/>
      <c r="ULS44" s="55"/>
      <c r="ULT44" s="55"/>
      <c r="ULU44" s="55"/>
      <c r="ULV44" s="55"/>
      <c r="ULW44" s="55"/>
      <c r="ULX44" s="55"/>
      <c r="ULY44" s="55"/>
      <c r="ULZ44" s="55"/>
      <c r="UMA44" s="55"/>
      <c r="UMB44" s="55"/>
      <c r="UMC44" s="55"/>
      <c r="UMD44" s="55"/>
      <c r="UME44" s="55"/>
      <c r="UMF44" s="55"/>
      <c r="UMG44" s="55"/>
      <c r="UMH44" s="55"/>
      <c r="UMI44" s="55"/>
      <c r="UMJ44" s="55"/>
      <c r="UMK44" s="55"/>
      <c r="UML44" s="55"/>
      <c r="UMM44" s="55"/>
      <c r="UMN44" s="55"/>
      <c r="UMO44" s="55"/>
      <c r="UMP44" s="55"/>
      <c r="UMQ44" s="55"/>
      <c r="UMR44" s="55"/>
      <c r="UMS44" s="55"/>
      <c r="UMT44" s="55"/>
      <c r="UMU44" s="55"/>
      <c r="UMV44" s="55"/>
      <c r="UMW44" s="55"/>
      <c r="UMX44" s="55"/>
      <c r="UMY44" s="55"/>
      <c r="UMZ44" s="55"/>
      <c r="UNA44" s="55"/>
      <c r="UNB44" s="55"/>
      <c r="UNC44" s="55"/>
      <c r="UND44" s="55"/>
      <c r="UNE44" s="55"/>
      <c r="UNF44" s="55"/>
      <c r="UNG44" s="55"/>
      <c r="UNH44" s="55"/>
      <c r="UNI44" s="55"/>
      <c r="UNJ44" s="55"/>
      <c r="UNK44" s="55"/>
      <c r="UNL44" s="55"/>
      <c r="UNM44" s="55"/>
      <c r="UNN44" s="55"/>
      <c r="UNO44" s="55"/>
      <c r="UNP44" s="55"/>
      <c r="UNQ44" s="55"/>
      <c r="UNR44" s="55"/>
      <c r="UNS44" s="55"/>
      <c r="UNT44" s="55"/>
      <c r="UNU44" s="55"/>
      <c r="UNV44" s="55"/>
      <c r="UNW44" s="55"/>
      <c r="UNX44" s="55"/>
      <c r="UNY44" s="55"/>
      <c r="UNZ44" s="55"/>
      <c r="UOA44" s="55"/>
      <c r="UOB44" s="55"/>
      <c r="UOC44" s="55"/>
      <c r="UOD44" s="55"/>
      <c r="UOE44" s="55"/>
      <c r="UOF44" s="55"/>
      <c r="UOG44" s="55"/>
      <c r="UOH44" s="55"/>
      <c r="UOI44" s="55"/>
      <c r="UOJ44" s="55"/>
      <c r="UOK44" s="55"/>
      <c r="UOL44" s="55"/>
      <c r="UOM44" s="55"/>
      <c r="UON44" s="55"/>
      <c r="UOO44" s="55"/>
      <c r="UOP44" s="55"/>
      <c r="UOQ44" s="55"/>
      <c r="UOR44" s="55"/>
      <c r="UOS44" s="55"/>
      <c r="UOT44" s="55"/>
      <c r="UOU44" s="55"/>
      <c r="UOV44" s="55"/>
      <c r="UOW44" s="55"/>
      <c r="UOX44" s="55"/>
      <c r="UOY44" s="55"/>
      <c r="UOZ44" s="55"/>
      <c r="UPA44" s="55"/>
      <c r="UPB44" s="55"/>
      <c r="UPC44" s="55"/>
      <c r="UPD44" s="55"/>
      <c r="UPE44" s="55"/>
      <c r="UPF44" s="55"/>
      <c r="UPG44" s="55"/>
      <c r="UPH44" s="55"/>
      <c r="UPI44" s="55"/>
      <c r="UPJ44" s="55"/>
      <c r="UPK44" s="55"/>
      <c r="UPL44" s="55"/>
      <c r="UPM44" s="55"/>
      <c r="UPN44" s="55"/>
      <c r="UPO44" s="55"/>
      <c r="UPP44" s="55"/>
      <c r="UPQ44" s="55"/>
      <c r="UPR44" s="55"/>
      <c r="UPS44" s="55"/>
      <c r="UPT44" s="55"/>
      <c r="UPU44" s="55"/>
      <c r="UPV44" s="55"/>
      <c r="UPW44" s="55"/>
      <c r="UPX44" s="55"/>
      <c r="UPY44" s="55"/>
      <c r="UPZ44" s="55"/>
      <c r="UQA44" s="55"/>
      <c r="UQB44" s="55"/>
      <c r="UQC44" s="55"/>
      <c r="UQD44" s="55"/>
      <c r="UQE44" s="55"/>
      <c r="UQF44" s="55"/>
      <c r="UQG44" s="55"/>
      <c r="UQH44" s="55"/>
      <c r="UQI44" s="55"/>
      <c r="UQJ44" s="55"/>
      <c r="UQK44" s="55"/>
      <c r="UQL44" s="55"/>
      <c r="UQM44" s="55"/>
      <c r="UQN44" s="55"/>
      <c r="UQO44" s="55"/>
      <c r="UQP44" s="55"/>
      <c r="UQQ44" s="55"/>
      <c r="UQR44" s="55"/>
      <c r="UQS44" s="55"/>
      <c r="UQT44" s="55"/>
      <c r="UQU44" s="55"/>
      <c r="UQV44" s="55"/>
      <c r="UQW44" s="55"/>
      <c r="UQX44" s="55"/>
      <c r="UQY44" s="55"/>
      <c r="UQZ44" s="55"/>
      <c r="URA44" s="55"/>
      <c r="URB44" s="55"/>
      <c r="URC44" s="55"/>
      <c r="URD44" s="55"/>
      <c r="URE44" s="55"/>
      <c r="URF44" s="55"/>
      <c r="URG44" s="55"/>
      <c r="URH44" s="55"/>
      <c r="URI44" s="55"/>
      <c r="URJ44" s="55"/>
      <c r="URK44" s="55"/>
      <c r="URL44" s="55"/>
      <c r="URM44" s="55"/>
      <c r="URN44" s="55"/>
      <c r="URO44" s="55"/>
      <c r="URP44" s="55"/>
      <c r="URQ44" s="55"/>
      <c r="URR44" s="55"/>
      <c r="URS44" s="55"/>
      <c r="URT44" s="55"/>
      <c r="URU44" s="55"/>
      <c r="URV44" s="55"/>
      <c r="URW44" s="55"/>
      <c r="URX44" s="55"/>
      <c r="URY44" s="55"/>
      <c r="URZ44" s="55"/>
      <c r="USA44" s="55"/>
      <c r="USB44" s="55"/>
      <c r="USC44" s="55"/>
      <c r="USD44" s="55"/>
      <c r="USE44" s="55"/>
      <c r="USF44" s="55"/>
      <c r="USG44" s="55"/>
      <c r="USH44" s="55"/>
      <c r="USI44" s="55"/>
      <c r="USJ44" s="55"/>
      <c r="USK44" s="55"/>
      <c r="USL44" s="55"/>
      <c r="USM44" s="55"/>
      <c r="USN44" s="55"/>
      <c r="USO44" s="55"/>
      <c r="USP44" s="55"/>
      <c r="USQ44" s="55"/>
      <c r="USR44" s="55"/>
      <c r="USS44" s="55"/>
      <c r="UST44" s="55"/>
      <c r="USU44" s="55"/>
      <c r="USV44" s="55"/>
      <c r="USW44" s="55"/>
      <c r="USX44" s="55"/>
      <c r="USY44" s="55"/>
      <c r="USZ44" s="55"/>
      <c r="UTA44" s="55"/>
      <c r="UTB44" s="55"/>
      <c r="UTC44" s="55"/>
      <c r="UTD44" s="55"/>
      <c r="UTE44" s="55"/>
      <c r="UTF44" s="55"/>
      <c r="UTG44" s="55"/>
      <c r="UTH44" s="55"/>
      <c r="UTI44" s="55"/>
      <c r="UTJ44" s="55"/>
      <c r="UTK44" s="55"/>
      <c r="UTL44" s="55"/>
      <c r="UTM44" s="55"/>
      <c r="UTN44" s="55"/>
      <c r="UTO44" s="55"/>
      <c r="UTP44" s="55"/>
      <c r="UTQ44" s="55"/>
      <c r="UTR44" s="55"/>
      <c r="UTS44" s="55"/>
      <c r="UTT44" s="55"/>
      <c r="UTU44" s="55"/>
      <c r="UTV44" s="55"/>
      <c r="UTW44" s="55"/>
      <c r="UTX44" s="55"/>
      <c r="UTY44" s="55"/>
      <c r="UTZ44" s="55"/>
      <c r="UUA44" s="55"/>
      <c r="UUB44" s="55"/>
      <c r="UUC44" s="55"/>
      <c r="UUD44" s="55"/>
      <c r="UUE44" s="55"/>
      <c r="UUF44" s="55"/>
      <c r="UUG44" s="55"/>
      <c r="UUH44" s="55"/>
      <c r="UUI44" s="55"/>
      <c r="UUJ44" s="55"/>
      <c r="UUK44" s="55"/>
      <c r="UUL44" s="55"/>
      <c r="UUM44" s="55"/>
      <c r="UUN44" s="55"/>
      <c r="UUO44" s="55"/>
      <c r="UUP44" s="55"/>
      <c r="UUQ44" s="55"/>
      <c r="UUR44" s="55"/>
      <c r="UUS44" s="55"/>
      <c r="UUT44" s="55"/>
      <c r="UUU44" s="55"/>
      <c r="UUV44" s="55"/>
      <c r="UUW44" s="55"/>
      <c r="UUX44" s="55"/>
      <c r="UUY44" s="55"/>
      <c r="UUZ44" s="55"/>
      <c r="UVA44" s="55"/>
      <c r="UVB44" s="55"/>
      <c r="UVC44" s="55"/>
      <c r="UVD44" s="55"/>
      <c r="UVE44" s="55"/>
      <c r="UVF44" s="55"/>
      <c r="UVG44" s="55"/>
      <c r="UVH44" s="55"/>
      <c r="UVI44" s="55"/>
      <c r="UVJ44" s="55"/>
      <c r="UVK44" s="55"/>
      <c r="UVL44" s="55"/>
      <c r="UVM44" s="55"/>
      <c r="UVN44" s="55"/>
      <c r="UVO44" s="55"/>
      <c r="UVP44" s="55"/>
      <c r="UVQ44" s="55"/>
      <c r="UVR44" s="55"/>
      <c r="UVS44" s="55"/>
      <c r="UVT44" s="55"/>
      <c r="UVU44" s="55"/>
      <c r="UVV44" s="55"/>
      <c r="UVW44" s="55"/>
      <c r="UVX44" s="55"/>
      <c r="UVY44" s="55"/>
      <c r="UVZ44" s="55"/>
      <c r="UWA44" s="55"/>
      <c r="UWB44" s="55"/>
      <c r="UWC44" s="55"/>
      <c r="UWD44" s="55"/>
      <c r="UWE44" s="55"/>
      <c r="UWF44" s="55"/>
      <c r="UWG44" s="55"/>
      <c r="UWH44" s="55"/>
      <c r="UWI44" s="55"/>
      <c r="UWJ44" s="55"/>
      <c r="UWK44" s="55"/>
      <c r="UWL44" s="55"/>
      <c r="UWM44" s="55"/>
      <c r="UWN44" s="55"/>
      <c r="UWO44" s="55"/>
      <c r="UWP44" s="55"/>
      <c r="UWQ44" s="55"/>
      <c r="UWR44" s="55"/>
      <c r="UWS44" s="55"/>
      <c r="UWT44" s="55"/>
      <c r="UWU44" s="55"/>
      <c r="UWV44" s="55"/>
      <c r="UWW44" s="55"/>
      <c r="UWX44" s="55"/>
      <c r="UWY44" s="55"/>
      <c r="UWZ44" s="55"/>
      <c r="UXA44" s="55"/>
      <c r="UXB44" s="55"/>
      <c r="UXC44" s="55"/>
      <c r="UXD44" s="55"/>
      <c r="UXE44" s="55"/>
      <c r="UXF44" s="55"/>
      <c r="UXG44" s="55"/>
      <c r="UXH44" s="55"/>
      <c r="UXI44" s="55"/>
      <c r="UXJ44" s="55"/>
      <c r="UXK44" s="55"/>
      <c r="UXL44" s="55"/>
      <c r="UXM44" s="55"/>
      <c r="UXN44" s="55"/>
      <c r="UXO44" s="55"/>
      <c r="UXP44" s="55"/>
      <c r="UXQ44" s="55"/>
      <c r="UXR44" s="55"/>
      <c r="UXS44" s="55"/>
      <c r="UXT44" s="55"/>
      <c r="UXU44" s="55"/>
      <c r="UXV44" s="55"/>
      <c r="UXW44" s="55"/>
      <c r="UXX44" s="55"/>
      <c r="UXY44" s="55"/>
      <c r="UXZ44" s="55"/>
      <c r="UYA44" s="55"/>
      <c r="UYB44" s="55"/>
      <c r="UYC44" s="55"/>
      <c r="UYD44" s="55"/>
      <c r="UYE44" s="55"/>
      <c r="UYF44" s="55"/>
      <c r="UYG44" s="55"/>
      <c r="UYH44" s="55"/>
      <c r="UYI44" s="55"/>
      <c r="UYJ44" s="55"/>
      <c r="UYK44" s="55"/>
      <c r="UYL44" s="55"/>
      <c r="UYM44" s="55"/>
      <c r="UYN44" s="55"/>
      <c r="UYO44" s="55"/>
      <c r="UYP44" s="55"/>
      <c r="UYQ44" s="55"/>
      <c r="UYR44" s="55"/>
      <c r="UYS44" s="55"/>
      <c r="UYT44" s="55"/>
      <c r="UYU44" s="55"/>
      <c r="UYV44" s="55"/>
      <c r="UYW44" s="55"/>
      <c r="UYX44" s="55"/>
      <c r="UYY44" s="55"/>
      <c r="UYZ44" s="55"/>
      <c r="UZA44" s="55"/>
      <c r="UZB44" s="55"/>
      <c r="UZC44" s="55"/>
      <c r="UZD44" s="55"/>
      <c r="UZE44" s="55"/>
      <c r="UZF44" s="55"/>
      <c r="UZG44" s="55"/>
      <c r="UZH44" s="55"/>
      <c r="UZI44" s="55"/>
      <c r="UZJ44" s="55"/>
      <c r="UZK44" s="55"/>
      <c r="UZL44" s="55"/>
      <c r="UZM44" s="55"/>
      <c r="UZN44" s="55"/>
      <c r="UZO44" s="55"/>
      <c r="UZP44" s="55"/>
      <c r="UZQ44" s="55"/>
      <c r="UZR44" s="55"/>
      <c r="UZS44" s="55"/>
      <c r="UZT44" s="55"/>
      <c r="UZU44" s="55"/>
      <c r="UZV44" s="55"/>
      <c r="UZW44" s="55"/>
      <c r="UZX44" s="55"/>
      <c r="UZY44" s="55"/>
      <c r="UZZ44" s="55"/>
      <c r="VAA44" s="55"/>
      <c r="VAB44" s="55"/>
      <c r="VAC44" s="55"/>
      <c r="VAD44" s="55"/>
      <c r="VAE44" s="55"/>
      <c r="VAF44" s="55"/>
      <c r="VAG44" s="55"/>
      <c r="VAH44" s="55"/>
      <c r="VAI44" s="55"/>
      <c r="VAJ44" s="55"/>
      <c r="VAK44" s="55"/>
      <c r="VAL44" s="55"/>
      <c r="VAM44" s="55"/>
      <c r="VAN44" s="55"/>
      <c r="VAO44" s="55"/>
      <c r="VAP44" s="55"/>
      <c r="VAQ44" s="55"/>
      <c r="VAR44" s="55"/>
      <c r="VAS44" s="55"/>
      <c r="VAT44" s="55"/>
      <c r="VAU44" s="55"/>
      <c r="VAV44" s="55"/>
      <c r="VAW44" s="55"/>
      <c r="VAX44" s="55"/>
      <c r="VAY44" s="55"/>
      <c r="VAZ44" s="55"/>
      <c r="VBA44" s="55"/>
      <c r="VBB44" s="55"/>
      <c r="VBC44" s="55"/>
      <c r="VBD44" s="55"/>
      <c r="VBE44" s="55"/>
      <c r="VBF44" s="55"/>
      <c r="VBG44" s="55"/>
      <c r="VBH44" s="55"/>
      <c r="VBI44" s="55"/>
      <c r="VBJ44" s="55"/>
      <c r="VBK44" s="55"/>
      <c r="VBL44" s="55"/>
      <c r="VBM44" s="55"/>
      <c r="VBN44" s="55"/>
      <c r="VBO44" s="55"/>
      <c r="VBP44" s="55"/>
      <c r="VBQ44" s="55"/>
      <c r="VBR44" s="55"/>
      <c r="VBS44" s="55"/>
      <c r="VBT44" s="55"/>
      <c r="VBU44" s="55"/>
      <c r="VBV44" s="55"/>
      <c r="VBW44" s="55"/>
      <c r="VBX44" s="55"/>
      <c r="VBY44" s="55"/>
      <c r="VBZ44" s="55"/>
      <c r="VCA44" s="55"/>
      <c r="VCB44" s="55"/>
      <c r="VCC44" s="55"/>
      <c r="VCD44" s="55"/>
      <c r="VCE44" s="55"/>
      <c r="VCF44" s="55"/>
      <c r="VCG44" s="55"/>
      <c r="VCH44" s="55"/>
      <c r="VCI44" s="55"/>
      <c r="VCJ44" s="55"/>
      <c r="VCK44" s="55"/>
      <c r="VCL44" s="55"/>
      <c r="VCM44" s="55"/>
      <c r="VCN44" s="55"/>
      <c r="VCO44" s="55"/>
      <c r="VCP44" s="55"/>
      <c r="VCQ44" s="55"/>
      <c r="VCR44" s="55"/>
      <c r="VCS44" s="55"/>
      <c r="VCT44" s="55"/>
      <c r="VCU44" s="55"/>
      <c r="VCV44" s="55"/>
      <c r="VCW44" s="55"/>
      <c r="VCX44" s="55"/>
      <c r="VCY44" s="55"/>
      <c r="VCZ44" s="55"/>
      <c r="VDA44" s="55"/>
      <c r="VDB44" s="55"/>
      <c r="VDC44" s="55"/>
      <c r="VDD44" s="55"/>
      <c r="VDE44" s="55"/>
      <c r="VDF44" s="55"/>
      <c r="VDG44" s="55"/>
      <c r="VDH44" s="55"/>
      <c r="VDI44" s="55"/>
      <c r="VDJ44" s="55"/>
      <c r="VDK44" s="55"/>
      <c r="VDL44" s="55"/>
      <c r="VDM44" s="55"/>
      <c r="VDN44" s="55"/>
      <c r="VDO44" s="55"/>
      <c r="VDP44" s="55"/>
      <c r="VDQ44" s="55"/>
      <c r="VDR44" s="55"/>
      <c r="VDS44" s="55"/>
      <c r="VDT44" s="55"/>
      <c r="VDU44" s="55"/>
      <c r="VDV44" s="55"/>
      <c r="VDW44" s="55"/>
      <c r="VDX44" s="55"/>
      <c r="VDY44" s="55"/>
      <c r="VDZ44" s="55"/>
      <c r="VEA44" s="55"/>
      <c r="VEB44" s="55"/>
      <c r="VEC44" s="55"/>
      <c r="VED44" s="55"/>
      <c r="VEE44" s="55"/>
      <c r="VEF44" s="55"/>
      <c r="VEG44" s="55"/>
      <c r="VEH44" s="55"/>
      <c r="VEI44" s="55"/>
      <c r="VEJ44" s="55"/>
      <c r="VEK44" s="55"/>
      <c r="VEL44" s="55"/>
      <c r="VEM44" s="55"/>
      <c r="VEN44" s="55"/>
      <c r="VEO44" s="55"/>
      <c r="VEP44" s="55"/>
      <c r="VEQ44" s="55"/>
      <c r="VER44" s="55"/>
      <c r="VES44" s="55"/>
      <c r="VET44" s="55"/>
      <c r="VEU44" s="55"/>
      <c r="VEV44" s="55"/>
      <c r="VEW44" s="55"/>
      <c r="VEX44" s="55"/>
      <c r="VEY44" s="55"/>
      <c r="VEZ44" s="55"/>
      <c r="VFA44" s="55"/>
      <c r="VFB44" s="55"/>
      <c r="VFC44" s="55"/>
      <c r="VFD44" s="55"/>
      <c r="VFE44" s="55"/>
      <c r="VFF44" s="55"/>
      <c r="VFG44" s="55"/>
      <c r="VFH44" s="55"/>
      <c r="VFI44" s="55"/>
      <c r="VFJ44" s="55"/>
      <c r="VFK44" s="55"/>
      <c r="VFL44" s="55"/>
      <c r="VFM44" s="55"/>
      <c r="VFN44" s="55"/>
      <c r="VFO44" s="55"/>
      <c r="VFP44" s="55"/>
      <c r="VFQ44" s="55"/>
      <c r="VFR44" s="55"/>
      <c r="VFS44" s="55"/>
      <c r="VFT44" s="55"/>
      <c r="VFU44" s="55"/>
      <c r="VFV44" s="55"/>
      <c r="VFW44" s="55"/>
      <c r="VFX44" s="55"/>
      <c r="VFY44" s="55"/>
      <c r="VFZ44" s="55"/>
      <c r="VGA44" s="55"/>
      <c r="VGB44" s="55"/>
      <c r="VGC44" s="55"/>
      <c r="VGD44" s="55"/>
      <c r="VGE44" s="55"/>
      <c r="VGF44" s="55"/>
      <c r="VGG44" s="55"/>
      <c r="VGH44" s="55"/>
      <c r="VGI44" s="55"/>
      <c r="VGJ44" s="55"/>
      <c r="VGK44" s="55"/>
      <c r="VGL44" s="55"/>
      <c r="VGM44" s="55"/>
      <c r="VGN44" s="55"/>
      <c r="VGO44" s="55"/>
      <c r="VGP44" s="55"/>
      <c r="VGQ44" s="55"/>
      <c r="VGR44" s="55"/>
      <c r="VGS44" s="55"/>
      <c r="VGT44" s="55"/>
      <c r="VGU44" s="55"/>
      <c r="VGV44" s="55"/>
      <c r="VGW44" s="55"/>
      <c r="VGX44" s="55"/>
      <c r="VGY44" s="55"/>
      <c r="VGZ44" s="55"/>
      <c r="VHA44" s="55"/>
      <c r="VHB44" s="55"/>
      <c r="VHC44" s="55"/>
      <c r="VHD44" s="55"/>
      <c r="VHE44" s="55"/>
      <c r="VHF44" s="55"/>
      <c r="VHG44" s="55"/>
      <c r="VHH44" s="55"/>
      <c r="VHI44" s="55"/>
      <c r="VHJ44" s="55"/>
      <c r="VHK44" s="55"/>
      <c r="VHL44" s="55"/>
      <c r="VHM44" s="55"/>
      <c r="VHN44" s="55"/>
      <c r="VHO44" s="55"/>
      <c r="VHP44" s="55"/>
      <c r="VHQ44" s="55"/>
      <c r="VHR44" s="55"/>
      <c r="VHS44" s="55"/>
      <c r="VHT44" s="55"/>
      <c r="VHU44" s="55"/>
      <c r="VHV44" s="55"/>
      <c r="VHW44" s="55"/>
      <c r="VHX44" s="55"/>
      <c r="VHY44" s="55"/>
      <c r="VHZ44" s="55"/>
      <c r="VIA44" s="55"/>
      <c r="VIB44" s="55"/>
      <c r="VIC44" s="55"/>
      <c r="VID44" s="55"/>
      <c r="VIE44" s="55"/>
      <c r="VIF44" s="55"/>
      <c r="VIG44" s="55"/>
      <c r="VIH44" s="55"/>
      <c r="VII44" s="55"/>
      <c r="VIJ44" s="55"/>
      <c r="VIK44" s="55"/>
      <c r="VIL44" s="55"/>
      <c r="VIM44" s="55"/>
      <c r="VIN44" s="55"/>
      <c r="VIO44" s="55"/>
      <c r="VIP44" s="55"/>
      <c r="VIQ44" s="55"/>
      <c r="VIR44" s="55"/>
      <c r="VIS44" s="55"/>
      <c r="VIT44" s="55"/>
      <c r="VIU44" s="55"/>
      <c r="VIV44" s="55"/>
      <c r="VIW44" s="55"/>
      <c r="VIX44" s="55"/>
      <c r="VIY44" s="55"/>
      <c r="VIZ44" s="55"/>
      <c r="VJA44" s="55"/>
      <c r="VJB44" s="55"/>
      <c r="VJC44" s="55"/>
      <c r="VJD44" s="55"/>
      <c r="VJE44" s="55"/>
      <c r="VJF44" s="55"/>
      <c r="VJG44" s="55"/>
      <c r="VJH44" s="55"/>
      <c r="VJI44" s="55"/>
      <c r="VJJ44" s="55"/>
      <c r="VJK44" s="55"/>
      <c r="VJL44" s="55"/>
      <c r="VJM44" s="55"/>
      <c r="VJN44" s="55"/>
      <c r="VJO44" s="55"/>
      <c r="VJP44" s="55"/>
      <c r="VJQ44" s="55"/>
      <c r="VJR44" s="55"/>
      <c r="VJS44" s="55"/>
      <c r="VJT44" s="55"/>
      <c r="VJU44" s="55"/>
      <c r="VJV44" s="55"/>
      <c r="VJW44" s="55"/>
      <c r="VJX44" s="55"/>
      <c r="VJY44" s="55"/>
      <c r="VJZ44" s="55"/>
      <c r="VKA44" s="55"/>
      <c r="VKB44" s="55"/>
      <c r="VKC44" s="55"/>
      <c r="VKD44" s="55"/>
      <c r="VKE44" s="55"/>
      <c r="VKF44" s="55"/>
      <c r="VKG44" s="55"/>
      <c r="VKH44" s="55"/>
      <c r="VKI44" s="55"/>
      <c r="VKJ44" s="55"/>
      <c r="VKK44" s="55"/>
      <c r="VKL44" s="55"/>
      <c r="VKM44" s="55"/>
      <c r="VKN44" s="55"/>
      <c r="VKO44" s="55"/>
      <c r="VKP44" s="55"/>
      <c r="VKQ44" s="55"/>
      <c r="VKR44" s="55"/>
      <c r="VKS44" s="55"/>
      <c r="VKT44" s="55"/>
      <c r="VKU44" s="55"/>
      <c r="VKV44" s="55"/>
      <c r="VKW44" s="55"/>
      <c r="VKX44" s="55"/>
      <c r="VKY44" s="55"/>
      <c r="VKZ44" s="55"/>
      <c r="VLA44" s="55"/>
      <c r="VLB44" s="55"/>
      <c r="VLC44" s="55"/>
      <c r="VLD44" s="55"/>
      <c r="VLE44" s="55"/>
      <c r="VLF44" s="55"/>
      <c r="VLG44" s="55"/>
      <c r="VLH44" s="55"/>
      <c r="VLI44" s="55"/>
      <c r="VLJ44" s="55"/>
      <c r="VLK44" s="55"/>
      <c r="VLL44" s="55"/>
      <c r="VLM44" s="55"/>
      <c r="VLN44" s="55"/>
      <c r="VLO44" s="55"/>
      <c r="VLP44" s="55"/>
      <c r="VLQ44" s="55"/>
      <c r="VLR44" s="55"/>
      <c r="VLS44" s="55"/>
      <c r="VLT44" s="55"/>
      <c r="VLU44" s="55"/>
      <c r="VLV44" s="55"/>
      <c r="VLW44" s="55"/>
      <c r="VLX44" s="55"/>
      <c r="VLY44" s="55"/>
      <c r="VLZ44" s="55"/>
      <c r="VMA44" s="55"/>
      <c r="VMB44" s="55"/>
      <c r="VMC44" s="55"/>
      <c r="VMD44" s="55"/>
      <c r="VME44" s="55"/>
      <c r="VMF44" s="55"/>
      <c r="VMG44" s="55"/>
      <c r="VMH44" s="55"/>
      <c r="VMI44" s="55"/>
      <c r="VMJ44" s="55"/>
      <c r="VMK44" s="55"/>
      <c r="VML44" s="55"/>
      <c r="VMM44" s="55"/>
      <c r="VMN44" s="55"/>
      <c r="VMO44" s="55"/>
      <c r="VMP44" s="55"/>
      <c r="VMQ44" s="55"/>
      <c r="VMR44" s="55"/>
      <c r="VMS44" s="55"/>
      <c r="VMT44" s="55"/>
      <c r="VMU44" s="55"/>
      <c r="VMV44" s="55"/>
      <c r="VMW44" s="55"/>
      <c r="VMX44" s="55"/>
      <c r="VMY44" s="55"/>
      <c r="VMZ44" s="55"/>
      <c r="VNA44" s="55"/>
      <c r="VNB44" s="55"/>
      <c r="VNC44" s="55"/>
      <c r="VND44" s="55"/>
      <c r="VNE44" s="55"/>
      <c r="VNF44" s="55"/>
      <c r="VNG44" s="55"/>
      <c r="VNH44" s="55"/>
      <c r="VNI44" s="55"/>
      <c r="VNJ44" s="55"/>
      <c r="VNK44" s="55"/>
      <c r="VNL44" s="55"/>
      <c r="VNM44" s="55"/>
      <c r="VNN44" s="55"/>
      <c r="VNO44" s="55"/>
      <c r="VNP44" s="55"/>
      <c r="VNQ44" s="55"/>
      <c r="VNR44" s="55"/>
      <c r="VNS44" s="55"/>
      <c r="VNT44" s="55"/>
      <c r="VNU44" s="55"/>
      <c r="VNV44" s="55"/>
      <c r="VNW44" s="55"/>
      <c r="VNX44" s="55"/>
      <c r="VNY44" s="55"/>
      <c r="VNZ44" s="55"/>
      <c r="VOA44" s="55"/>
      <c r="VOB44" s="55"/>
      <c r="VOC44" s="55"/>
      <c r="VOD44" s="55"/>
      <c r="VOE44" s="55"/>
      <c r="VOF44" s="55"/>
      <c r="VOG44" s="55"/>
      <c r="VOH44" s="55"/>
      <c r="VOI44" s="55"/>
      <c r="VOJ44" s="55"/>
      <c r="VOK44" s="55"/>
      <c r="VOL44" s="55"/>
      <c r="VOM44" s="55"/>
      <c r="VON44" s="55"/>
      <c r="VOO44" s="55"/>
      <c r="VOP44" s="55"/>
      <c r="VOQ44" s="55"/>
      <c r="VOR44" s="55"/>
      <c r="VOS44" s="55"/>
      <c r="VOT44" s="55"/>
      <c r="VOU44" s="55"/>
      <c r="VOV44" s="55"/>
      <c r="VOW44" s="55"/>
      <c r="VOX44" s="55"/>
      <c r="VOY44" s="55"/>
      <c r="VOZ44" s="55"/>
      <c r="VPA44" s="55"/>
      <c r="VPB44" s="55"/>
      <c r="VPC44" s="55"/>
      <c r="VPD44" s="55"/>
      <c r="VPE44" s="55"/>
      <c r="VPF44" s="55"/>
      <c r="VPG44" s="55"/>
      <c r="VPH44" s="55"/>
      <c r="VPI44" s="55"/>
      <c r="VPJ44" s="55"/>
      <c r="VPK44" s="55"/>
      <c r="VPL44" s="55"/>
      <c r="VPM44" s="55"/>
      <c r="VPN44" s="55"/>
      <c r="VPO44" s="55"/>
      <c r="VPP44" s="55"/>
      <c r="VPQ44" s="55"/>
      <c r="VPR44" s="55"/>
      <c r="VPS44" s="55"/>
      <c r="VPT44" s="55"/>
      <c r="VPU44" s="55"/>
      <c r="VPV44" s="55"/>
      <c r="VPW44" s="55"/>
      <c r="VPX44" s="55"/>
      <c r="VPY44" s="55"/>
      <c r="VPZ44" s="55"/>
      <c r="VQA44" s="55"/>
      <c r="VQB44" s="55"/>
      <c r="VQC44" s="55"/>
      <c r="VQD44" s="55"/>
      <c r="VQE44" s="55"/>
      <c r="VQF44" s="55"/>
      <c r="VQG44" s="55"/>
      <c r="VQH44" s="55"/>
      <c r="VQI44" s="55"/>
      <c r="VQJ44" s="55"/>
      <c r="VQK44" s="55"/>
      <c r="VQL44" s="55"/>
      <c r="VQM44" s="55"/>
      <c r="VQN44" s="55"/>
      <c r="VQO44" s="55"/>
      <c r="VQP44" s="55"/>
      <c r="VQQ44" s="55"/>
      <c r="VQR44" s="55"/>
      <c r="VQS44" s="55"/>
      <c r="VQT44" s="55"/>
      <c r="VQU44" s="55"/>
      <c r="VQV44" s="55"/>
      <c r="VQW44" s="55"/>
      <c r="VQX44" s="55"/>
      <c r="VQY44" s="55"/>
      <c r="VQZ44" s="55"/>
      <c r="VRA44" s="55"/>
      <c r="VRB44" s="55"/>
      <c r="VRC44" s="55"/>
      <c r="VRD44" s="55"/>
      <c r="VRE44" s="55"/>
      <c r="VRF44" s="55"/>
      <c r="VRG44" s="55"/>
      <c r="VRH44" s="55"/>
      <c r="VRI44" s="55"/>
      <c r="VRJ44" s="55"/>
      <c r="VRK44" s="55"/>
      <c r="VRL44" s="55"/>
      <c r="VRM44" s="55"/>
      <c r="VRN44" s="55"/>
      <c r="VRO44" s="55"/>
      <c r="VRP44" s="55"/>
      <c r="VRQ44" s="55"/>
      <c r="VRR44" s="55"/>
      <c r="VRS44" s="55"/>
      <c r="VRT44" s="55"/>
      <c r="VRU44" s="55"/>
      <c r="VRV44" s="55"/>
      <c r="VRW44" s="55"/>
      <c r="VRX44" s="55"/>
      <c r="VRY44" s="55"/>
      <c r="VRZ44" s="55"/>
      <c r="VSA44" s="55"/>
      <c r="VSB44" s="55"/>
      <c r="VSC44" s="55"/>
      <c r="VSD44" s="55"/>
      <c r="VSE44" s="55"/>
      <c r="VSF44" s="55"/>
      <c r="VSG44" s="55"/>
      <c r="VSH44" s="55"/>
      <c r="VSI44" s="55"/>
      <c r="VSJ44" s="55"/>
      <c r="VSK44" s="55"/>
      <c r="VSL44" s="55"/>
      <c r="VSM44" s="55"/>
      <c r="VSN44" s="55"/>
      <c r="VSO44" s="55"/>
      <c r="VSP44" s="55"/>
      <c r="VSQ44" s="55"/>
      <c r="VSR44" s="55"/>
      <c r="VSS44" s="55"/>
      <c r="VST44" s="55"/>
      <c r="VSU44" s="55"/>
      <c r="VSV44" s="55"/>
      <c r="VSW44" s="55"/>
      <c r="VSX44" s="55"/>
      <c r="VSY44" s="55"/>
      <c r="VSZ44" s="55"/>
      <c r="VTA44" s="55"/>
      <c r="VTB44" s="55"/>
      <c r="VTC44" s="55"/>
      <c r="VTD44" s="55"/>
      <c r="VTE44" s="55"/>
      <c r="VTF44" s="55"/>
      <c r="VTG44" s="55"/>
      <c r="VTH44" s="55"/>
      <c r="VTI44" s="55"/>
      <c r="VTJ44" s="55"/>
      <c r="VTK44" s="55"/>
      <c r="VTL44" s="55"/>
      <c r="VTM44" s="55"/>
      <c r="VTN44" s="55"/>
      <c r="VTO44" s="55"/>
      <c r="VTP44" s="55"/>
      <c r="VTQ44" s="55"/>
      <c r="VTR44" s="55"/>
      <c r="VTS44" s="55"/>
      <c r="VTT44" s="55"/>
      <c r="VTU44" s="55"/>
      <c r="VTV44" s="55"/>
      <c r="VTW44" s="55"/>
      <c r="VTX44" s="55"/>
      <c r="VTY44" s="55"/>
      <c r="VTZ44" s="55"/>
      <c r="VUA44" s="55"/>
      <c r="VUB44" s="55"/>
      <c r="VUC44" s="55"/>
      <c r="VUD44" s="55"/>
      <c r="VUE44" s="55"/>
      <c r="VUF44" s="55"/>
      <c r="VUG44" s="55"/>
      <c r="VUH44" s="55"/>
      <c r="VUI44" s="55"/>
      <c r="VUJ44" s="55"/>
      <c r="VUK44" s="55"/>
      <c r="VUL44" s="55"/>
      <c r="VUM44" s="55"/>
      <c r="VUN44" s="55"/>
      <c r="VUO44" s="55"/>
      <c r="VUP44" s="55"/>
      <c r="VUQ44" s="55"/>
      <c r="VUR44" s="55"/>
      <c r="VUS44" s="55"/>
      <c r="VUT44" s="55"/>
      <c r="VUU44" s="55"/>
      <c r="VUV44" s="55"/>
      <c r="VUW44" s="55"/>
      <c r="VUX44" s="55"/>
      <c r="VUY44" s="55"/>
      <c r="VUZ44" s="55"/>
      <c r="VVA44" s="55"/>
      <c r="VVB44" s="55"/>
      <c r="VVC44" s="55"/>
      <c r="VVD44" s="55"/>
      <c r="VVE44" s="55"/>
      <c r="VVF44" s="55"/>
      <c r="VVG44" s="55"/>
      <c r="VVH44" s="55"/>
      <c r="VVI44" s="55"/>
      <c r="VVJ44" s="55"/>
      <c r="VVK44" s="55"/>
      <c r="VVL44" s="55"/>
      <c r="VVM44" s="55"/>
      <c r="VVN44" s="55"/>
      <c r="VVO44" s="55"/>
      <c r="VVP44" s="55"/>
      <c r="VVQ44" s="55"/>
      <c r="VVR44" s="55"/>
      <c r="VVS44" s="55"/>
      <c r="VVT44" s="55"/>
      <c r="VVU44" s="55"/>
      <c r="VVV44" s="55"/>
      <c r="VVW44" s="55"/>
      <c r="VVX44" s="55"/>
      <c r="VVY44" s="55"/>
      <c r="VVZ44" s="55"/>
      <c r="VWA44" s="55"/>
      <c r="VWB44" s="55"/>
      <c r="VWC44" s="55"/>
      <c r="VWD44" s="55"/>
      <c r="VWE44" s="55"/>
      <c r="VWF44" s="55"/>
      <c r="VWG44" s="55"/>
      <c r="VWH44" s="55"/>
      <c r="VWI44" s="55"/>
      <c r="VWJ44" s="55"/>
      <c r="VWK44" s="55"/>
      <c r="VWL44" s="55"/>
      <c r="VWM44" s="55"/>
      <c r="VWN44" s="55"/>
      <c r="VWO44" s="55"/>
      <c r="VWP44" s="55"/>
      <c r="VWQ44" s="55"/>
      <c r="VWR44" s="55"/>
      <c r="VWS44" s="55"/>
      <c r="VWT44" s="55"/>
      <c r="VWU44" s="55"/>
      <c r="VWV44" s="55"/>
      <c r="VWW44" s="55"/>
      <c r="VWX44" s="55"/>
      <c r="VWY44" s="55"/>
      <c r="VWZ44" s="55"/>
      <c r="VXA44" s="55"/>
      <c r="VXB44" s="55"/>
      <c r="VXC44" s="55"/>
      <c r="VXD44" s="55"/>
      <c r="VXE44" s="55"/>
      <c r="VXF44" s="55"/>
      <c r="VXG44" s="55"/>
      <c r="VXH44" s="55"/>
      <c r="VXI44" s="55"/>
      <c r="VXJ44" s="55"/>
      <c r="VXK44" s="55"/>
      <c r="VXL44" s="55"/>
      <c r="VXM44" s="55"/>
      <c r="VXN44" s="55"/>
      <c r="VXO44" s="55"/>
      <c r="VXP44" s="55"/>
      <c r="VXQ44" s="55"/>
      <c r="VXR44" s="55"/>
      <c r="VXS44" s="55"/>
      <c r="VXT44" s="55"/>
      <c r="VXU44" s="55"/>
      <c r="VXV44" s="55"/>
      <c r="VXW44" s="55"/>
      <c r="VXX44" s="55"/>
      <c r="VXY44" s="55"/>
      <c r="VXZ44" s="55"/>
      <c r="VYA44" s="55"/>
      <c r="VYB44" s="55"/>
      <c r="VYC44" s="55"/>
      <c r="VYD44" s="55"/>
      <c r="VYE44" s="55"/>
      <c r="VYF44" s="55"/>
      <c r="VYG44" s="55"/>
      <c r="VYH44" s="55"/>
      <c r="VYI44" s="55"/>
      <c r="VYJ44" s="55"/>
      <c r="VYK44" s="55"/>
      <c r="VYL44" s="55"/>
      <c r="VYM44" s="55"/>
      <c r="VYN44" s="55"/>
      <c r="VYO44" s="55"/>
      <c r="VYP44" s="55"/>
      <c r="VYQ44" s="55"/>
      <c r="VYR44" s="55"/>
      <c r="VYS44" s="55"/>
      <c r="VYT44" s="55"/>
      <c r="VYU44" s="55"/>
      <c r="VYV44" s="55"/>
      <c r="VYW44" s="55"/>
      <c r="VYX44" s="55"/>
      <c r="VYY44" s="55"/>
      <c r="VYZ44" s="55"/>
      <c r="VZA44" s="55"/>
      <c r="VZB44" s="55"/>
      <c r="VZC44" s="55"/>
      <c r="VZD44" s="55"/>
      <c r="VZE44" s="55"/>
      <c r="VZF44" s="55"/>
      <c r="VZG44" s="55"/>
      <c r="VZH44" s="55"/>
      <c r="VZI44" s="55"/>
      <c r="VZJ44" s="55"/>
      <c r="VZK44" s="55"/>
      <c r="VZL44" s="55"/>
      <c r="VZM44" s="55"/>
      <c r="VZN44" s="55"/>
      <c r="VZO44" s="55"/>
      <c r="VZP44" s="55"/>
      <c r="VZQ44" s="55"/>
      <c r="VZR44" s="55"/>
      <c r="VZS44" s="55"/>
      <c r="VZT44" s="55"/>
      <c r="VZU44" s="55"/>
      <c r="VZV44" s="55"/>
      <c r="VZW44" s="55"/>
      <c r="VZX44" s="55"/>
      <c r="VZY44" s="55"/>
      <c r="VZZ44" s="55"/>
      <c r="WAA44" s="55"/>
      <c r="WAB44" s="55"/>
      <c r="WAC44" s="55"/>
      <c r="WAD44" s="55"/>
      <c r="WAE44" s="55"/>
      <c r="WAF44" s="55"/>
      <c r="WAG44" s="55"/>
      <c r="WAH44" s="55"/>
      <c r="WAI44" s="55"/>
      <c r="WAJ44" s="55"/>
      <c r="WAK44" s="55"/>
      <c r="WAL44" s="55"/>
      <c r="WAM44" s="55"/>
      <c r="WAN44" s="55"/>
      <c r="WAO44" s="55"/>
      <c r="WAP44" s="55"/>
      <c r="WAQ44" s="55"/>
      <c r="WAR44" s="55"/>
      <c r="WAS44" s="55"/>
      <c r="WAT44" s="55"/>
      <c r="WAU44" s="55"/>
      <c r="WAV44" s="55"/>
      <c r="WAW44" s="55"/>
      <c r="WAX44" s="55"/>
      <c r="WAY44" s="55"/>
      <c r="WAZ44" s="55"/>
      <c r="WBA44" s="55"/>
      <c r="WBB44" s="55"/>
      <c r="WBC44" s="55"/>
      <c r="WBD44" s="55"/>
      <c r="WBE44" s="55"/>
      <c r="WBF44" s="55"/>
      <c r="WBG44" s="55"/>
      <c r="WBH44" s="55"/>
      <c r="WBI44" s="55"/>
      <c r="WBJ44" s="55"/>
      <c r="WBK44" s="55"/>
      <c r="WBL44" s="55"/>
      <c r="WBM44" s="55"/>
      <c r="WBN44" s="55"/>
      <c r="WBO44" s="55"/>
      <c r="WBP44" s="55"/>
      <c r="WBQ44" s="55"/>
      <c r="WBR44" s="55"/>
      <c r="WBS44" s="55"/>
      <c r="WBT44" s="55"/>
      <c r="WBU44" s="55"/>
      <c r="WBV44" s="55"/>
      <c r="WBW44" s="55"/>
      <c r="WBX44" s="55"/>
      <c r="WBY44" s="55"/>
      <c r="WBZ44" s="55"/>
      <c r="WCA44" s="55"/>
      <c r="WCB44" s="55"/>
      <c r="WCC44" s="55"/>
      <c r="WCD44" s="55"/>
      <c r="WCE44" s="55"/>
      <c r="WCF44" s="55"/>
      <c r="WCG44" s="55"/>
      <c r="WCH44" s="55"/>
      <c r="WCI44" s="55"/>
      <c r="WCJ44" s="55"/>
      <c r="WCK44" s="55"/>
      <c r="WCL44" s="55"/>
      <c r="WCM44" s="55"/>
      <c r="WCN44" s="55"/>
      <c r="WCO44" s="55"/>
      <c r="WCP44" s="55"/>
      <c r="WCQ44" s="55"/>
      <c r="WCR44" s="55"/>
      <c r="WCS44" s="55"/>
      <c r="WCT44" s="55"/>
      <c r="WCU44" s="55"/>
      <c r="WCV44" s="55"/>
      <c r="WCW44" s="55"/>
      <c r="WCX44" s="55"/>
      <c r="WCY44" s="55"/>
      <c r="WCZ44" s="55"/>
      <c r="WDA44" s="55"/>
      <c r="WDB44" s="55"/>
      <c r="WDC44" s="55"/>
      <c r="WDD44" s="55"/>
      <c r="WDE44" s="55"/>
      <c r="WDF44" s="55"/>
      <c r="WDG44" s="55"/>
      <c r="WDH44" s="55"/>
      <c r="WDI44" s="55"/>
      <c r="WDJ44" s="55"/>
      <c r="WDK44" s="55"/>
      <c r="WDL44" s="55"/>
      <c r="WDM44" s="55"/>
      <c r="WDN44" s="55"/>
      <c r="WDO44" s="55"/>
      <c r="WDP44" s="55"/>
      <c r="WDQ44" s="55"/>
      <c r="WDR44" s="55"/>
      <c r="WDS44" s="55"/>
      <c r="WDT44" s="55"/>
      <c r="WDU44" s="55"/>
      <c r="WDV44" s="55"/>
      <c r="WDW44" s="55"/>
      <c r="WDX44" s="55"/>
      <c r="WDY44" s="55"/>
      <c r="WDZ44" s="55"/>
      <c r="WEA44" s="55"/>
      <c r="WEB44" s="55"/>
      <c r="WEC44" s="55"/>
      <c r="WED44" s="55"/>
      <c r="WEE44" s="55"/>
      <c r="WEF44" s="55"/>
      <c r="WEG44" s="55"/>
      <c r="WEH44" s="55"/>
      <c r="WEI44" s="55"/>
      <c r="WEJ44" s="55"/>
      <c r="WEK44" s="55"/>
      <c r="WEL44" s="55"/>
      <c r="WEM44" s="55"/>
      <c r="WEN44" s="55"/>
      <c r="WEO44" s="55"/>
      <c r="WEP44" s="55"/>
      <c r="WEQ44" s="55"/>
      <c r="WER44" s="55"/>
      <c r="WES44" s="55"/>
      <c r="WET44" s="55"/>
      <c r="WEU44" s="55"/>
      <c r="WEV44" s="55"/>
      <c r="WEW44" s="55"/>
      <c r="WEX44" s="55"/>
      <c r="WEY44" s="55"/>
      <c r="WEZ44" s="55"/>
      <c r="WFA44" s="55"/>
      <c r="WFB44" s="55"/>
      <c r="WFC44" s="55"/>
      <c r="WFD44" s="55"/>
      <c r="WFE44" s="55"/>
      <c r="WFF44" s="55"/>
      <c r="WFG44" s="55"/>
      <c r="WFH44" s="55"/>
      <c r="WFI44" s="55"/>
      <c r="WFJ44" s="55"/>
      <c r="WFK44" s="55"/>
      <c r="WFL44" s="55"/>
      <c r="WFM44" s="55"/>
      <c r="WFN44" s="55"/>
      <c r="WFO44" s="55"/>
      <c r="WFP44" s="55"/>
      <c r="WFQ44" s="55"/>
      <c r="WFR44" s="55"/>
      <c r="WFS44" s="55"/>
      <c r="WFT44" s="55"/>
      <c r="WFU44" s="55"/>
      <c r="WFV44" s="55"/>
      <c r="WFW44" s="55"/>
      <c r="WFX44" s="55"/>
      <c r="WFY44" s="55"/>
      <c r="WFZ44" s="55"/>
      <c r="WGA44" s="55"/>
      <c r="WGB44" s="55"/>
      <c r="WGC44" s="55"/>
      <c r="WGD44" s="55"/>
      <c r="WGE44" s="55"/>
      <c r="WGF44" s="55"/>
      <c r="WGG44" s="55"/>
      <c r="WGH44" s="55"/>
      <c r="WGI44" s="55"/>
      <c r="WGJ44" s="55"/>
      <c r="WGK44" s="55"/>
      <c r="WGL44" s="55"/>
      <c r="WGM44" s="55"/>
      <c r="WGN44" s="55"/>
      <c r="WGO44" s="55"/>
      <c r="WGP44" s="55"/>
      <c r="WGQ44" s="55"/>
      <c r="WGR44" s="55"/>
      <c r="WGS44" s="55"/>
      <c r="WGT44" s="55"/>
      <c r="WGU44" s="55"/>
      <c r="WGV44" s="55"/>
      <c r="WGW44" s="55"/>
      <c r="WGX44" s="55"/>
      <c r="WGY44" s="55"/>
      <c r="WGZ44" s="55"/>
      <c r="WHA44" s="55"/>
      <c r="WHB44" s="55"/>
      <c r="WHC44" s="55"/>
      <c r="WHD44" s="55"/>
      <c r="WHE44" s="55"/>
      <c r="WHF44" s="55"/>
      <c r="WHG44" s="55"/>
      <c r="WHH44" s="55"/>
      <c r="WHI44" s="55"/>
      <c r="WHJ44" s="55"/>
      <c r="WHK44" s="55"/>
      <c r="WHL44" s="55"/>
      <c r="WHM44" s="55"/>
      <c r="WHN44" s="55"/>
      <c r="WHO44" s="55"/>
      <c r="WHP44" s="55"/>
      <c r="WHQ44" s="55"/>
      <c r="WHR44" s="55"/>
      <c r="WHS44" s="55"/>
      <c r="WHT44" s="55"/>
      <c r="WHU44" s="55"/>
      <c r="WHV44" s="55"/>
      <c r="WHW44" s="55"/>
      <c r="WHX44" s="55"/>
      <c r="WHY44" s="55"/>
      <c r="WHZ44" s="55"/>
      <c r="WIA44" s="55"/>
      <c r="WIB44" s="55"/>
      <c r="WIC44" s="55"/>
      <c r="WID44" s="55"/>
      <c r="WIE44" s="55"/>
      <c r="WIF44" s="55"/>
      <c r="WIG44" s="55"/>
      <c r="WIH44" s="55"/>
      <c r="WII44" s="55"/>
      <c r="WIJ44" s="55"/>
      <c r="WIK44" s="55"/>
      <c r="WIL44" s="55"/>
      <c r="WIM44" s="55"/>
      <c r="WIN44" s="55"/>
      <c r="WIO44" s="55"/>
      <c r="WIP44" s="55"/>
      <c r="WIQ44" s="55"/>
      <c r="WIR44" s="55"/>
      <c r="WIS44" s="55"/>
      <c r="WIT44" s="55"/>
      <c r="WIU44" s="55"/>
      <c r="WIV44" s="55"/>
      <c r="WIW44" s="55"/>
      <c r="WIX44" s="55"/>
      <c r="WIY44" s="55"/>
      <c r="WIZ44" s="55"/>
      <c r="WJA44" s="55"/>
      <c r="WJB44" s="55"/>
      <c r="WJC44" s="55"/>
      <c r="WJD44" s="55"/>
      <c r="WJE44" s="55"/>
      <c r="WJF44" s="55"/>
      <c r="WJG44" s="55"/>
      <c r="WJH44" s="55"/>
      <c r="WJI44" s="55"/>
      <c r="WJJ44" s="55"/>
      <c r="WJK44" s="55"/>
      <c r="WJL44" s="55"/>
      <c r="WJM44" s="55"/>
      <c r="WJN44" s="55"/>
      <c r="WJO44" s="55"/>
      <c r="WJP44" s="55"/>
      <c r="WJQ44" s="55"/>
      <c r="WJR44" s="55"/>
      <c r="WJS44" s="55"/>
      <c r="WJT44" s="55"/>
      <c r="WJU44" s="55"/>
      <c r="WJV44" s="55"/>
      <c r="WJW44" s="55"/>
      <c r="WJX44" s="55"/>
      <c r="WJY44" s="55"/>
      <c r="WJZ44" s="55"/>
      <c r="WKA44" s="55"/>
      <c r="WKB44" s="55"/>
      <c r="WKC44" s="55"/>
      <c r="WKD44" s="55"/>
      <c r="WKE44" s="55"/>
      <c r="WKF44" s="55"/>
      <c r="WKG44" s="55"/>
      <c r="WKH44" s="55"/>
      <c r="WKI44" s="55"/>
      <c r="WKJ44" s="55"/>
      <c r="WKK44" s="55"/>
      <c r="WKL44" s="55"/>
      <c r="WKM44" s="55"/>
      <c r="WKN44" s="55"/>
      <c r="WKO44" s="55"/>
      <c r="WKP44" s="55"/>
      <c r="WKQ44" s="55"/>
      <c r="WKR44" s="55"/>
      <c r="WKS44" s="55"/>
      <c r="WKT44" s="55"/>
      <c r="WKU44" s="55"/>
      <c r="WKV44" s="55"/>
      <c r="WKW44" s="55"/>
      <c r="WKX44" s="55"/>
      <c r="WKY44" s="55"/>
      <c r="WKZ44" s="55"/>
      <c r="WLA44" s="55"/>
      <c r="WLB44" s="55"/>
      <c r="WLC44" s="55"/>
      <c r="WLD44" s="55"/>
      <c r="WLE44" s="55"/>
      <c r="WLF44" s="55"/>
      <c r="WLG44" s="55"/>
      <c r="WLH44" s="55"/>
      <c r="WLI44" s="55"/>
      <c r="WLJ44" s="55"/>
      <c r="WLK44" s="55"/>
      <c r="WLL44" s="55"/>
      <c r="WLM44" s="55"/>
      <c r="WLN44" s="55"/>
      <c r="WLO44" s="55"/>
      <c r="WLP44" s="55"/>
      <c r="WLQ44" s="55"/>
      <c r="WLR44" s="55"/>
      <c r="WLS44" s="55"/>
      <c r="WLT44" s="55"/>
      <c r="WLU44" s="55"/>
      <c r="WLV44" s="55"/>
      <c r="WLW44" s="55"/>
      <c r="WLX44" s="55"/>
      <c r="WLY44" s="55"/>
      <c r="WLZ44" s="55"/>
      <c r="WMA44" s="55"/>
      <c r="WMB44" s="55"/>
      <c r="WMC44" s="55"/>
      <c r="WMD44" s="55"/>
      <c r="WME44" s="55"/>
      <c r="WMF44" s="55"/>
      <c r="WMG44" s="55"/>
      <c r="WMH44" s="55"/>
      <c r="WMI44" s="55"/>
      <c r="WMJ44" s="55"/>
      <c r="WMK44" s="55"/>
      <c r="WML44" s="55"/>
      <c r="WMM44" s="55"/>
      <c r="WMN44" s="55"/>
      <c r="WMO44" s="55"/>
      <c r="WMP44" s="55"/>
      <c r="WMQ44" s="55"/>
      <c r="WMR44" s="55"/>
      <c r="WMS44" s="55"/>
      <c r="WMT44" s="55"/>
      <c r="WMU44" s="55"/>
      <c r="WMV44" s="55"/>
      <c r="WMW44" s="55"/>
      <c r="WMX44" s="55"/>
      <c r="WMY44" s="55"/>
      <c r="WMZ44" s="55"/>
      <c r="WNA44" s="55"/>
      <c r="WNB44" s="55"/>
      <c r="WNC44" s="55"/>
      <c r="WND44" s="55"/>
      <c r="WNE44" s="55"/>
      <c r="WNF44" s="55"/>
      <c r="WNG44" s="55"/>
      <c r="WNH44" s="55"/>
      <c r="WNI44" s="55"/>
      <c r="WNJ44" s="55"/>
      <c r="WNK44" s="55"/>
      <c r="WNL44" s="55"/>
      <c r="WNM44" s="55"/>
      <c r="WNN44" s="55"/>
      <c r="WNO44" s="55"/>
      <c r="WNP44" s="55"/>
      <c r="WNQ44" s="55"/>
      <c r="WNR44" s="55"/>
      <c r="WNS44" s="55"/>
      <c r="WNT44" s="55"/>
      <c r="WNU44" s="55"/>
      <c r="WNV44" s="55"/>
      <c r="WNW44" s="55"/>
      <c r="WNX44" s="55"/>
      <c r="WNY44" s="55"/>
      <c r="WNZ44" s="55"/>
      <c r="WOA44" s="55"/>
      <c r="WOB44" s="55"/>
      <c r="WOC44" s="55"/>
      <c r="WOD44" s="55"/>
      <c r="WOE44" s="55"/>
      <c r="WOF44" s="55"/>
      <c r="WOG44" s="55"/>
      <c r="WOH44" s="55"/>
      <c r="WOI44" s="55"/>
      <c r="WOJ44" s="55"/>
      <c r="WOK44" s="55"/>
      <c r="WOL44" s="55"/>
      <c r="WOM44" s="55"/>
      <c r="WON44" s="55"/>
      <c r="WOO44" s="55"/>
      <c r="WOP44" s="55"/>
      <c r="WOQ44" s="55"/>
      <c r="WOR44" s="55"/>
      <c r="WOS44" s="55"/>
      <c r="WOT44" s="55"/>
      <c r="WOU44" s="55"/>
      <c r="WOV44" s="55"/>
      <c r="WOW44" s="55"/>
      <c r="WOX44" s="55"/>
      <c r="WOY44" s="55"/>
      <c r="WOZ44" s="55"/>
      <c r="WPA44" s="55"/>
      <c r="WPB44" s="55"/>
      <c r="WPC44" s="55"/>
      <c r="WPD44" s="55"/>
      <c r="WPE44" s="55"/>
      <c r="WPF44" s="55"/>
      <c r="WPG44" s="55"/>
      <c r="WPH44" s="55"/>
      <c r="WPI44" s="55"/>
      <c r="WPJ44" s="55"/>
      <c r="WPK44" s="55"/>
      <c r="WPL44" s="55"/>
      <c r="WPM44" s="55"/>
      <c r="WPN44" s="55"/>
      <c r="WPO44" s="55"/>
      <c r="WPP44" s="55"/>
      <c r="WPQ44" s="55"/>
      <c r="WPR44" s="55"/>
      <c r="WPS44" s="55"/>
      <c r="WPT44" s="55"/>
      <c r="WPU44" s="55"/>
      <c r="WPV44" s="55"/>
      <c r="WPW44" s="55"/>
      <c r="WPX44" s="55"/>
      <c r="WPY44" s="55"/>
      <c r="WPZ44" s="55"/>
      <c r="WQA44" s="55"/>
      <c r="WQB44" s="55"/>
      <c r="WQC44" s="55"/>
      <c r="WQD44" s="55"/>
      <c r="WQE44" s="55"/>
      <c r="WQF44" s="55"/>
      <c r="WQG44" s="55"/>
      <c r="WQH44" s="55"/>
      <c r="WQI44" s="55"/>
      <c r="WQJ44" s="55"/>
      <c r="WQK44" s="55"/>
      <c r="WQL44" s="55"/>
      <c r="WQM44" s="55"/>
      <c r="WQN44" s="55"/>
      <c r="WQO44" s="55"/>
      <c r="WQP44" s="55"/>
      <c r="WQQ44" s="55"/>
      <c r="WQR44" s="55"/>
      <c r="WQS44" s="55"/>
      <c r="WQT44" s="55"/>
      <c r="WQU44" s="55"/>
      <c r="WQV44" s="55"/>
      <c r="WQW44" s="55"/>
      <c r="WQX44" s="55"/>
      <c r="WQY44" s="55"/>
      <c r="WQZ44" s="55"/>
      <c r="WRA44" s="55"/>
      <c r="WRB44" s="55"/>
      <c r="WRC44" s="55"/>
      <c r="WRD44" s="55"/>
      <c r="WRE44" s="55"/>
      <c r="WRF44" s="55"/>
      <c r="WRG44" s="55"/>
      <c r="WRH44" s="55"/>
      <c r="WRI44" s="55"/>
      <c r="WRJ44" s="55"/>
      <c r="WRK44" s="55"/>
      <c r="WRL44" s="55"/>
      <c r="WRM44" s="55"/>
      <c r="WRN44" s="55"/>
      <c r="WRO44" s="55"/>
      <c r="WRP44" s="55"/>
      <c r="WRQ44" s="55"/>
      <c r="WRR44" s="55"/>
      <c r="WRS44" s="55"/>
      <c r="WRT44" s="55"/>
      <c r="WRU44" s="55"/>
      <c r="WRV44" s="55"/>
      <c r="WRW44" s="55"/>
      <c r="WRX44" s="55"/>
      <c r="WRY44" s="55"/>
      <c r="WRZ44" s="55"/>
      <c r="WSA44" s="55"/>
      <c r="WSB44" s="55"/>
      <c r="WSC44" s="55"/>
      <c r="WSD44" s="55"/>
      <c r="WSE44" s="55"/>
      <c r="WSF44" s="55"/>
      <c r="WSG44" s="55"/>
      <c r="WSH44" s="55"/>
      <c r="WSI44" s="55"/>
      <c r="WSJ44" s="55"/>
      <c r="WSK44" s="55"/>
      <c r="WSL44" s="55"/>
      <c r="WSM44" s="55"/>
      <c r="WSN44" s="55"/>
      <c r="WSO44" s="55"/>
      <c r="WSP44" s="55"/>
      <c r="WSQ44" s="55"/>
      <c r="WSR44" s="55"/>
      <c r="WSS44" s="55"/>
      <c r="WST44" s="55"/>
      <c r="WSU44" s="55"/>
      <c r="WSV44" s="55"/>
      <c r="WSW44" s="55"/>
      <c r="WSX44" s="55"/>
      <c r="WSY44" s="55"/>
      <c r="WSZ44" s="55"/>
      <c r="WTA44" s="55"/>
      <c r="WTB44" s="55"/>
      <c r="WTC44" s="55"/>
      <c r="WTD44" s="55"/>
      <c r="WTE44" s="55"/>
      <c r="WTF44" s="55"/>
      <c r="WTG44" s="55"/>
      <c r="WTH44" s="55"/>
      <c r="WTI44" s="55"/>
      <c r="WTJ44" s="55"/>
      <c r="WTK44" s="55"/>
      <c r="WTL44" s="55"/>
      <c r="WTM44" s="55"/>
      <c r="WTN44" s="55"/>
      <c r="WTO44" s="55"/>
      <c r="WTP44" s="55"/>
      <c r="WTQ44" s="55"/>
      <c r="WTR44" s="55"/>
      <c r="WTS44" s="55"/>
      <c r="WTT44" s="55"/>
      <c r="WTU44" s="55"/>
      <c r="WTV44" s="55"/>
      <c r="WTW44" s="55"/>
      <c r="WTX44" s="55"/>
      <c r="WTY44" s="55"/>
      <c r="WTZ44" s="55"/>
      <c r="WUA44" s="55"/>
      <c r="WUB44" s="55"/>
      <c r="WUC44" s="55"/>
      <c r="WUD44" s="55"/>
      <c r="WUE44" s="55"/>
      <c r="WUF44" s="55"/>
      <c r="WUG44" s="55"/>
      <c r="WUH44" s="55"/>
      <c r="WUI44" s="55"/>
      <c r="WUJ44" s="55"/>
      <c r="WUK44" s="55"/>
      <c r="WUL44" s="55"/>
      <c r="WUM44" s="55"/>
      <c r="WUN44" s="55"/>
      <c r="WUO44" s="55"/>
      <c r="WUP44" s="55"/>
      <c r="WUQ44" s="55"/>
      <c r="WUR44" s="55"/>
      <c r="WUS44" s="55"/>
      <c r="WUT44" s="55"/>
      <c r="WUU44" s="55"/>
      <c r="WUV44" s="55"/>
      <c r="WUW44" s="55"/>
      <c r="WUX44" s="55"/>
      <c r="WUY44" s="55"/>
      <c r="WUZ44" s="55"/>
      <c r="WVA44" s="55"/>
      <c r="WVB44" s="55"/>
      <c r="WVC44" s="55"/>
      <c r="WVD44" s="55"/>
      <c r="WVE44" s="55"/>
      <c r="WVF44" s="55"/>
      <c r="WVG44" s="55"/>
      <c r="WVH44" s="55"/>
      <c r="WVI44" s="55"/>
      <c r="WVJ44" s="55"/>
      <c r="WVK44" s="55"/>
      <c r="WVL44" s="55"/>
      <c r="WVM44" s="55"/>
      <c r="WVN44" s="55"/>
      <c r="WVO44" s="55"/>
      <c r="WVP44" s="55"/>
      <c r="WVQ44" s="55"/>
      <c r="WVR44" s="55"/>
      <c r="WVS44" s="55"/>
      <c r="WVT44" s="55"/>
      <c r="WVU44" s="55"/>
      <c r="WVV44" s="55"/>
      <c r="WVW44" s="55"/>
      <c r="WVX44" s="55"/>
      <c r="WVY44" s="55"/>
      <c r="WVZ44" s="55"/>
      <c r="WWA44" s="55"/>
      <c r="WWB44" s="55"/>
      <c r="WWC44" s="55"/>
      <c r="WWD44" s="55"/>
      <c r="WWE44" s="55"/>
      <c r="WWF44" s="55"/>
      <c r="WWG44" s="55"/>
      <c r="WWH44" s="55"/>
      <c r="WWI44" s="55"/>
      <c r="WWJ44" s="55"/>
      <c r="WWK44" s="55"/>
      <c r="WWL44" s="55"/>
      <c r="WWM44" s="55"/>
      <c r="WWN44" s="55"/>
      <c r="WWO44" s="55"/>
      <c r="WWP44" s="55"/>
      <c r="WWQ44" s="55"/>
      <c r="WWR44" s="55"/>
      <c r="WWS44" s="55"/>
      <c r="WWT44" s="55"/>
      <c r="WWU44" s="55"/>
      <c r="WWV44" s="55"/>
      <c r="WWW44" s="55"/>
      <c r="WWX44" s="55"/>
      <c r="WWY44" s="55"/>
      <c r="WWZ44" s="55"/>
      <c r="WXA44" s="55"/>
      <c r="WXB44" s="55"/>
      <c r="WXC44" s="55"/>
      <c r="WXD44" s="55"/>
      <c r="WXE44" s="55"/>
      <c r="WXF44" s="55"/>
      <c r="WXG44" s="55"/>
      <c r="WXH44" s="55"/>
      <c r="WXI44" s="55"/>
      <c r="WXJ44" s="55"/>
      <c r="WXK44" s="55"/>
      <c r="WXL44" s="55"/>
      <c r="WXM44" s="55"/>
      <c r="WXN44" s="55"/>
      <c r="WXO44" s="55"/>
      <c r="WXP44" s="55"/>
      <c r="WXQ44" s="55"/>
      <c r="WXR44" s="55"/>
      <c r="WXS44" s="55"/>
      <c r="WXT44" s="55"/>
      <c r="WXU44" s="55"/>
      <c r="WXV44" s="55"/>
      <c r="WXW44" s="55"/>
      <c r="WXX44" s="55"/>
      <c r="WXY44" s="55"/>
      <c r="WXZ44" s="55"/>
      <c r="WYA44" s="55"/>
      <c r="WYB44" s="55"/>
      <c r="WYC44" s="55"/>
      <c r="WYD44" s="55"/>
      <c r="WYE44" s="55"/>
      <c r="WYF44" s="55"/>
      <c r="WYG44" s="55"/>
      <c r="WYH44" s="55"/>
      <c r="WYI44" s="55"/>
      <c r="WYJ44" s="55"/>
      <c r="WYK44" s="55"/>
      <c r="WYL44" s="55"/>
      <c r="WYM44" s="55"/>
      <c r="WYN44" s="55"/>
      <c r="WYO44" s="55"/>
      <c r="WYP44" s="55"/>
      <c r="WYQ44" s="55"/>
      <c r="WYR44" s="55"/>
      <c r="WYS44" s="55"/>
      <c r="WYT44" s="55"/>
      <c r="WYU44" s="55"/>
      <c r="WYV44" s="55"/>
      <c r="WYW44" s="55"/>
      <c r="WYX44" s="55"/>
      <c r="WYY44" s="55"/>
      <c r="WYZ44" s="55"/>
      <c r="WZA44" s="55"/>
      <c r="WZB44" s="55"/>
      <c r="WZC44" s="55"/>
      <c r="WZD44" s="55"/>
      <c r="WZE44" s="55"/>
      <c r="WZF44" s="55"/>
      <c r="WZG44" s="55"/>
      <c r="WZH44" s="55"/>
      <c r="WZI44" s="55"/>
      <c r="WZJ44" s="55"/>
      <c r="WZK44" s="55"/>
      <c r="WZL44" s="55"/>
      <c r="WZM44" s="55"/>
      <c r="WZN44" s="55"/>
      <c r="WZO44" s="55"/>
      <c r="WZP44" s="55"/>
      <c r="WZQ44" s="55"/>
      <c r="WZR44" s="55"/>
      <c r="WZS44" s="55"/>
      <c r="WZT44" s="55"/>
      <c r="WZU44" s="55"/>
      <c r="WZV44" s="55"/>
      <c r="WZW44" s="55"/>
      <c r="WZX44" s="55"/>
      <c r="WZY44" s="55"/>
      <c r="WZZ44" s="55"/>
      <c r="XAA44" s="55"/>
      <c r="XAB44" s="55"/>
      <c r="XAC44" s="55"/>
      <c r="XAD44" s="55"/>
      <c r="XAE44" s="55"/>
      <c r="XAF44" s="55"/>
      <c r="XAG44" s="55"/>
      <c r="XAH44" s="55"/>
      <c r="XAI44" s="55"/>
      <c r="XAJ44" s="55"/>
      <c r="XAK44" s="55"/>
      <c r="XAL44" s="55"/>
      <c r="XAM44" s="55"/>
      <c r="XAN44" s="55"/>
      <c r="XAO44" s="55"/>
      <c r="XAP44" s="55"/>
      <c r="XAQ44" s="55"/>
      <c r="XAR44" s="55"/>
      <c r="XAS44" s="55"/>
      <c r="XAT44" s="55"/>
      <c r="XAU44" s="55"/>
      <c r="XAV44" s="55"/>
      <c r="XAW44" s="55"/>
      <c r="XAX44" s="55"/>
      <c r="XAY44" s="55"/>
      <c r="XAZ44" s="55"/>
      <c r="XBA44" s="55"/>
      <c r="XBB44" s="55"/>
      <c r="XBC44" s="55"/>
      <c r="XBD44" s="55"/>
      <c r="XBE44" s="55"/>
      <c r="XBF44" s="55"/>
      <c r="XBG44" s="55"/>
      <c r="XBH44" s="55"/>
      <c r="XBI44" s="55"/>
      <c r="XBJ44" s="55"/>
      <c r="XBK44" s="55"/>
      <c r="XBL44" s="55"/>
      <c r="XBM44" s="55"/>
      <c r="XBN44" s="55"/>
      <c r="XBO44" s="55"/>
      <c r="XBP44" s="55"/>
      <c r="XBQ44" s="55"/>
      <c r="XBR44" s="55"/>
      <c r="XBS44" s="55"/>
      <c r="XBT44" s="55"/>
      <c r="XBU44" s="55"/>
      <c r="XBV44" s="55"/>
      <c r="XBW44" s="55"/>
      <c r="XBX44" s="55"/>
      <c r="XBY44" s="55"/>
      <c r="XBZ44" s="55"/>
      <c r="XCA44" s="55"/>
      <c r="XCB44" s="55"/>
      <c r="XCC44" s="55"/>
      <c r="XCD44" s="55"/>
      <c r="XCE44" s="55"/>
      <c r="XCF44" s="55"/>
      <c r="XCG44" s="55"/>
      <c r="XCH44" s="55"/>
      <c r="XCI44" s="55"/>
      <c r="XCJ44" s="55"/>
      <c r="XCK44" s="55"/>
      <c r="XCL44" s="55"/>
      <c r="XCM44" s="55"/>
      <c r="XCN44" s="55"/>
      <c r="XCO44" s="55"/>
      <c r="XCP44" s="55"/>
      <c r="XCQ44" s="55"/>
      <c r="XCR44" s="55"/>
      <c r="XCS44" s="55"/>
      <c r="XCT44" s="55"/>
      <c r="XCU44" s="55"/>
      <c r="XCV44" s="55"/>
      <c r="XCW44" s="55"/>
      <c r="XCX44" s="55"/>
      <c r="XCY44" s="55"/>
      <c r="XCZ44" s="55"/>
      <c r="XDA44" s="55"/>
      <c r="XDB44" s="55"/>
      <c r="XDC44" s="55"/>
      <c r="XDD44" s="55"/>
      <c r="XDE44" s="55"/>
      <c r="XDF44" s="55"/>
      <c r="XDG44" s="55"/>
      <c r="XDH44" s="55"/>
      <c r="XDI44" s="55"/>
      <c r="XDJ44" s="55"/>
      <c r="XDK44" s="55"/>
      <c r="XDL44" s="55"/>
      <c r="XDM44" s="55"/>
      <c r="XDN44" s="55"/>
      <c r="XDO44" s="55"/>
      <c r="XDP44" s="55"/>
      <c r="XDQ44" s="55"/>
      <c r="XDR44" s="55"/>
      <c r="XDS44" s="55"/>
      <c r="XDT44" s="55"/>
      <c r="XDU44" s="55"/>
      <c r="XDV44" s="55"/>
      <c r="XDW44" s="55"/>
      <c r="XDX44" s="55"/>
      <c r="XDY44" s="55"/>
      <c r="XDZ44" s="55"/>
      <c r="XEA44" s="55"/>
      <c r="XEB44" s="55"/>
      <c r="XEC44" s="55"/>
      <c r="XED44" s="55"/>
      <c r="XEE44" s="55"/>
      <c r="XEF44" s="55"/>
      <c r="XEG44" s="55"/>
      <c r="XEH44" s="55"/>
      <c r="XEI44" s="55"/>
      <c r="XEJ44" s="55"/>
      <c r="XEK44" s="55"/>
      <c r="XEL44" s="55"/>
      <c r="XEM44" s="55"/>
      <c r="XEN44" s="55"/>
      <c r="XEO44" s="55"/>
      <c r="XEP44" s="55"/>
      <c r="XEQ44" s="55"/>
      <c r="XER44" s="55"/>
      <c r="XES44" s="55"/>
      <c r="XET44" s="55"/>
      <c r="XEU44" s="55"/>
      <c r="XEV44" s="55"/>
      <c r="XEW44" s="55"/>
      <c r="XEX44" s="55"/>
      <c r="XEY44" s="55"/>
      <c r="XEZ44" s="55"/>
      <c r="XFA44" s="55"/>
      <c r="XFB44" s="55"/>
      <c r="XFC44" s="55"/>
    </row>
    <row r="46" spans="1:16383" x14ac:dyDescent="0.35">
      <c r="A46" t="s">
        <v>199</v>
      </c>
      <c r="C46" s="1">
        <f>'NESN.SW_Income Statement'!B10</f>
        <v>3582000000</v>
      </c>
      <c r="D46" s="1">
        <f>'NESN.SW_Income Statement'!C10</f>
        <v>3458000000</v>
      </c>
      <c r="E46" s="1">
        <v>3582000000</v>
      </c>
      <c r="F46" s="1">
        <f>'NESN.SW_Income Statement'!E10</f>
        <v>3440000000</v>
      </c>
      <c r="G46" s="22">
        <f>G22*G47</f>
        <v>3301296457.5197301</v>
      </c>
      <c r="H46" s="22">
        <f>H22*H47</f>
        <v>3201382879.8657732</v>
      </c>
      <c r="I46" s="22">
        <f>I22*I47</f>
        <v>3097873624.8769369</v>
      </c>
    </row>
    <row r="47" spans="1:16383" x14ac:dyDescent="0.35">
      <c r="A47" t="s">
        <v>195</v>
      </c>
      <c r="C47" s="33">
        <f>C46/C22</f>
        <v>3.9053641517662448E-2</v>
      </c>
      <c r="D47" s="33">
        <f>D46/D22</f>
        <v>3.7042988291501967E-2</v>
      </c>
      <c r="E47" s="33">
        <f>E46/E22</f>
        <v>3.7792783287613423E-2</v>
      </c>
      <c r="F47" s="33">
        <f>F46/F22</f>
        <v>3.932776952097862E-2</v>
      </c>
      <c r="G47" s="34">
        <f>AVERAGE(C47:F47)</f>
        <v>3.8304295654439116E-2</v>
      </c>
      <c r="H47" s="34">
        <f>AVERAGE(D47:G47)</f>
        <v>3.8116959188633281E-2</v>
      </c>
      <c r="I47" s="34">
        <f>AVERAGE(E47:H47)</f>
        <v>3.8385451912916105E-2</v>
      </c>
    </row>
    <row r="49" spans="1:16383" x14ac:dyDescent="0.35">
      <c r="A49" t="s">
        <v>200</v>
      </c>
      <c r="C49" s="1">
        <f>-('NESN.SW_Cash Flow'!B8)</f>
        <v>5963000000</v>
      </c>
      <c r="D49" s="1">
        <f>-('NESN.SW_Cash Flow'!C8)</f>
        <v>6203000000</v>
      </c>
      <c r="E49" s="1">
        <f>-('NESN.SW_Cash Flow'!D8)</f>
        <v>5361000000</v>
      </c>
      <c r="F49" s="1">
        <f>-('NESN.SW_Cash Flow'!E8)</f>
        <v>5341000000</v>
      </c>
      <c r="G49" s="22">
        <f>G22*G50</f>
        <v>5366907895.545682</v>
      </c>
      <c r="H49" s="22">
        <f>H22*H50</f>
        <v>5172485534.2508202</v>
      </c>
      <c r="I49" s="22">
        <f>I22*I50</f>
        <v>4872130462.3861923</v>
      </c>
    </row>
    <row r="50" spans="1:16383" x14ac:dyDescent="0.35">
      <c r="A50" t="s">
        <v>195</v>
      </c>
      <c r="C50" s="33">
        <f>C49/C22</f>
        <v>6.5013083296990848E-2</v>
      </c>
      <c r="D50" s="33">
        <f>D49/D22</f>
        <v>6.644813660271448E-2</v>
      </c>
      <c r="E50" s="33">
        <f>E49/E22</f>
        <v>5.6562565942181897E-2</v>
      </c>
      <c r="F50" s="33">
        <f>F49/F22</f>
        <v>6.1060935177775236E-2</v>
      </c>
      <c r="G50" s="34">
        <f>AVERAGE(C50:F50)</f>
        <v>6.2271180254915612E-2</v>
      </c>
      <c r="H50" s="34">
        <f>AVERAGE(D50:G50)</f>
        <v>6.1585704494396806E-2</v>
      </c>
      <c r="I50" s="34">
        <f>AVERAGE(E50:H50)</f>
        <v>6.0370096467317391E-2</v>
      </c>
    </row>
    <row r="52" spans="1:16383" x14ac:dyDescent="0.35">
      <c r="A52" t="s">
        <v>201</v>
      </c>
      <c r="C52" s="1">
        <f>-('NESN.SW_Cash Flow'!B39)</f>
        <v>-874000000</v>
      </c>
      <c r="D52" s="1">
        <f>-('NESN.SW_Cash Flow'!C39)</f>
        <v>-709000000</v>
      </c>
      <c r="E52" s="1">
        <f>-('NESN.SW_Cash Flow'!D39)</f>
        <v>3647000000</v>
      </c>
      <c r="F52" s="1">
        <f>-('NESN.SW_Cash Flow'!E39)</f>
        <v>600000000</v>
      </c>
      <c r="G52" s="22">
        <f>G22*G53</f>
        <v>607915217.55433083</v>
      </c>
      <c r="H52" s="22">
        <f>H22*H53</f>
        <v>940598969.53955448</v>
      </c>
      <c r="I52" s="22">
        <f>I22*I53</f>
        <v>1283012806.6054683</v>
      </c>
    </row>
    <row r="53" spans="1:16383" x14ac:dyDescent="0.35">
      <c r="A53" t="s">
        <v>195</v>
      </c>
      <c r="C53" s="33">
        <f>C52/C22</f>
        <v>-9.5290013083296991E-3</v>
      </c>
      <c r="D53" s="33">
        <f>D52/D22</f>
        <v>-7.5949909481419584E-3</v>
      </c>
      <c r="E53" s="33">
        <f>E52/E22</f>
        <v>3.8478581979320532E-2</v>
      </c>
      <c r="F53" s="33">
        <f>F52/F22</f>
        <v>6.8594946838916203E-3</v>
      </c>
      <c r="G53" s="34">
        <f>AVERAGE(C53:F53)</f>
        <v>7.053521101685124E-3</v>
      </c>
      <c r="H53" s="34">
        <f>AVERAGE(D53:G53)</f>
        <v>1.119915170418883E-2</v>
      </c>
      <c r="I53" s="34">
        <f>AVERAGE(E53:H53)</f>
        <v>1.5897687367271526E-2</v>
      </c>
    </row>
    <row r="54" spans="1:16383" x14ac:dyDescent="0.35">
      <c r="J54" s="26"/>
    </row>
    <row r="55" spans="1:16383" x14ac:dyDescent="0.35">
      <c r="A55" s="55" t="s">
        <v>202</v>
      </c>
      <c r="B55" s="55"/>
      <c r="C55" s="55"/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  <c r="AA55" s="55"/>
      <c r="AB55" s="55"/>
      <c r="AC55" s="55"/>
      <c r="AD55" s="55"/>
      <c r="AE55" s="55"/>
      <c r="AF55" s="55"/>
      <c r="AG55" s="55"/>
      <c r="AH55" s="55"/>
      <c r="AI55" s="55"/>
      <c r="AJ55" s="55"/>
      <c r="AK55" s="55"/>
      <c r="AL55" s="55"/>
      <c r="AM55" s="55"/>
      <c r="AN55" s="55"/>
      <c r="AO55" s="55"/>
      <c r="AP55" s="55"/>
      <c r="AQ55" s="55"/>
      <c r="AR55" s="55"/>
      <c r="AS55" s="55"/>
      <c r="AT55" s="55"/>
      <c r="AU55" s="55"/>
      <c r="AV55" s="55"/>
      <c r="AW55" s="55"/>
      <c r="AX55" s="55"/>
      <c r="AY55" s="55"/>
      <c r="AZ55" s="55"/>
      <c r="BA55" s="55"/>
      <c r="BB55" s="55"/>
      <c r="BC55" s="55"/>
      <c r="BD55" s="55"/>
      <c r="BE55" s="55"/>
      <c r="BF55" s="55"/>
      <c r="BG55" s="55"/>
      <c r="BH55" s="55"/>
      <c r="BI55" s="55"/>
      <c r="BJ55" s="55"/>
      <c r="BK55" s="55"/>
      <c r="BL55" s="55"/>
      <c r="BM55" s="55"/>
      <c r="BN55" s="55"/>
      <c r="BO55" s="55"/>
      <c r="BP55" s="55"/>
      <c r="BQ55" s="55"/>
      <c r="BR55" s="55"/>
      <c r="BS55" s="55"/>
      <c r="BT55" s="55"/>
      <c r="BU55" s="55"/>
      <c r="BV55" s="55"/>
      <c r="BW55" s="55"/>
      <c r="BX55" s="55"/>
      <c r="BY55" s="55"/>
      <c r="BZ55" s="55"/>
      <c r="CA55" s="55"/>
      <c r="CB55" s="55"/>
      <c r="CC55" s="55"/>
      <c r="CD55" s="55"/>
      <c r="CE55" s="55"/>
      <c r="CF55" s="55"/>
      <c r="CG55" s="55"/>
      <c r="CH55" s="55"/>
      <c r="CI55" s="55"/>
      <c r="CJ55" s="55"/>
      <c r="CK55" s="55"/>
      <c r="CL55" s="55"/>
      <c r="CM55" s="55"/>
      <c r="CN55" s="55"/>
      <c r="CO55" s="55"/>
      <c r="CP55" s="55"/>
      <c r="CQ55" s="55"/>
      <c r="CR55" s="55"/>
      <c r="CS55" s="55"/>
      <c r="CT55" s="55"/>
      <c r="CU55" s="55"/>
      <c r="CV55" s="55"/>
      <c r="CW55" s="55"/>
      <c r="CX55" s="55"/>
      <c r="CY55" s="55"/>
      <c r="CZ55" s="55"/>
      <c r="DA55" s="55"/>
      <c r="DB55" s="55"/>
      <c r="DC55" s="55"/>
      <c r="DD55" s="55"/>
      <c r="DE55" s="55"/>
      <c r="DF55" s="55"/>
      <c r="DG55" s="55"/>
      <c r="DH55" s="55"/>
      <c r="DI55" s="55"/>
      <c r="DJ55" s="55"/>
      <c r="DK55" s="55"/>
      <c r="DL55" s="55"/>
      <c r="DM55" s="55"/>
      <c r="DN55" s="55"/>
      <c r="DO55" s="55"/>
      <c r="DP55" s="55"/>
      <c r="DQ55" s="55"/>
      <c r="DR55" s="55"/>
      <c r="DS55" s="55"/>
      <c r="DT55" s="55"/>
      <c r="DU55" s="55"/>
      <c r="DV55" s="55"/>
      <c r="DW55" s="55"/>
      <c r="DX55" s="55"/>
      <c r="DY55" s="55"/>
      <c r="DZ55" s="55"/>
      <c r="EA55" s="55"/>
      <c r="EB55" s="55"/>
      <c r="EC55" s="55"/>
      <c r="ED55" s="55"/>
      <c r="EE55" s="55"/>
      <c r="EF55" s="55"/>
      <c r="EG55" s="55"/>
      <c r="EH55" s="55"/>
      <c r="EI55" s="55"/>
      <c r="EJ55" s="55"/>
      <c r="EK55" s="55"/>
      <c r="EL55" s="55"/>
      <c r="EM55" s="55"/>
      <c r="EN55" s="55"/>
      <c r="EO55" s="55"/>
      <c r="EP55" s="55"/>
      <c r="EQ55" s="55"/>
      <c r="ER55" s="55"/>
      <c r="ES55" s="55"/>
      <c r="ET55" s="55"/>
      <c r="EU55" s="55"/>
      <c r="EV55" s="55"/>
      <c r="EW55" s="55"/>
      <c r="EX55" s="55"/>
      <c r="EY55" s="55"/>
      <c r="EZ55" s="55"/>
      <c r="FA55" s="55"/>
      <c r="FB55" s="55"/>
      <c r="FC55" s="55"/>
      <c r="FD55" s="55"/>
      <c r="FE55" s="55"/>
      <c r="FF55" s="55"/>
      <c r="FG55" s="55"/>
      <c r="FH55" s="55"/>
      <c r="FI55" s="55"/>
      <c r="FJ55" s="55"/>
      <c r="FK55" s="55"/>
      <c r="FL55" s="55"/>
      <c r="FM55" s="55"/>
      <c r="FN55" s="55"/>
      <c r="FO55" s="55"/>
      <c r="FP55" s="55"/>
      <c r="FQ55" s="55"/>
      <c r="FR55" s="55"/>
      <c r="FS55" s="55"/>
      <c r="FT55" s="55"/>
      <c r="FU55" s="55"/>
      <c r="FV55" s="55"/>
      <c r="FW55" s="55"/>
      <c r="FX55" s="55"/>
      <c r="FY55" s="55"/>
      <c r="FZ55" s="55"/>
      <c r="GA55" s="55"/>
      <c r="GB55" s="55"/>
      <c r="GC55" s="55"/>
      <c r="GD55" s="55"/>
      <c r="GE55" s="55"/>
      <c r="GF55" s="55"/>
      <c r="GG55" s="55"/>
      <c r="GH55" s="55"/>
      <c r="GI55" s="55"/>
      <c r="GJ55" s="55"/>
      <c r="GK55" s="55"/>
      <c r="GL55" s="55"/>
      <c r="GM55" s="55"/>
      <c r="GN55" s="55"/>
      <c r="GO55" s="55"/>
      <c r="GP55" s="55"/>
      <c r="GQ55" s="55"/>
      <c r="GR55" s="55"/>
      <c r="GS55" s="55"/>
      <c r="GT55" s="55"/>
      <c r="GU55" s="55"/>
      <c r="GV55" s="55"/>
      <c r="GW55" s="55"/>
      <c r="GX55" s="55"/>
      <c r="GY55" s="55"/>
      <c r="GZ55" s="55"/>
      <c r="HA55" s="55"/>
      <c r="HB55" s="55"/>
      <c r="HC55" s="55"/>
      <c r="HD55" s="55"/>
      <c r="HE55" s="55"/>
      <c r="HF55" s="55"/>
      <c r="HG55" s="55"/>
      <c r="HH55" s="55"/>
      <c r="HI55" s="55"/>
      <c r="HJ55" s="55"/>
      <c r="HK55" s="55"/>
      <c r="HL55" s="55"/>
      <c r="HM55" s="55"/>
      <c r="HN55" s="55"/>
      <c r="HO55" s="55"/>
      <c r="HP55" s="55"/>
      <c r="HQ55" s="55"/>
      <c r="HR55" s="55"/>
      <c r="HS55" s="55"/>
      <c r="HT55" s="55"/>
      <c r="HU55" s="55"/>
      <c r="HV55" s="55"/>
      <c r="HW55" s="55"/>
      <c r="HX55" s="55"/>
      <c r="HY55" s="55"/>
      <c r="HZ55" s="55"/>
      <c r="IA55" s="55"/>
      <c r="IB55" s="55"/>
      <c r="IC55" s="55"/>
      <c r="ID55" s="55"/>
      <c r="IE55" s="55"/>
      <c r="IF55" s="55"/>
      <c r="IG55" s="55"/>
      <c r="IH55" s="55"/>
      <c r="II55" s="55"/>
      <c r="IJ55" s="55"/>
      <c r="IK55" s="55"/>
      <c r="IL55" s="55"/>
      <c r="IM55" s="55"/>
      <c r="IN55" s="55"/>
      <c r="IO55" s="55"/>
      <c r="IP55" s="55"/>
      <c r="IQ55" s="55"/>
      <c r="IR55" s="55"/>
      <c r="IS55" s="55"/>
      <c r="IT55" s="55"/>
      <c r="IU55" s="55"/>
      <c r="IV55" s="55"/>
      <c r="IW55" s="55"/>
      <c r="IX55" s="55"/>
      <c r="IY55" s="55"/>
      <c r="IZ55" s="55"/>
      <c r="JA55" s="55"/>
      <c r="JB55" s="55"/>
      <c r="JC55" s="55"/>
      <c r="JD55" s="55"/>
      <c r="JE55" s="55"/>
      <c r="JF55" s="55"/>
      <c r="JG55" s="55"/>
      <c r="JH55" s="55"/>
      <c r="JI55" s="55"/>
      <c r="JJ55" s="55"/>
      <c r="JK55" s="55"/>
      <c r="JL55" s="55"/>
      <c r="JM55" s="55"/>
      <c r="JN55" s="55"/>
      <c r="JO55" s="55"/>
      <c r="JP55" s="55"/>
      <c r="JQ55" s="55"/>
      <c r="JR55" s="55"/>
      <c r="JS55" s="55"/>
      <c r="JT55" s="55"/>
      <c r="JU55" s="55"/>
      <c r="JV55" s="55"/>
      <c r="JW55" s="55"/>
      <c r="JX55" s="55"/>
      <c r="JY55" s="55"/>
      <c r="JZ55" s="55"/>
      <c r="KA55" s="55"/>
      <c r="KB55" s="55"/>
      <c r="KC55" s="55"/>
      <c r="KD55" s="55"/>
      <c r="KE55" s="55"/>
      <c r="KF55" s="55"/>
      <c r="KG55" s="55"/>
      <c r="KH55" s="55"/>
      <c r="KI55" s="55"/>
      <c r="KJ55" s="55"/>
      <c r="KK55" s="55"/>
      <c r="KL55" s="55"/>
      <c r="KM55" s="55"/>
      <c r="KN55" s="55"/>
      <c r="KO55" s="55"/>
      <c r="KP55" s="55"/>
      <c r="KQ55" s="55"/>
      <c r="KR55" s="55"/>
      <c r="KS55" s="55"/>
      <c r="KT55" s="55"/>
      <c r="KU55" s="55"/>
      <c r="KV55" s="55"/>
      <c r="KW55" s="55"/>
      <c r="KX55" s="55"/>
      <c r="KY55" s="55"/>
      <c r="KZ55" s="55"/>
      <c r="LA55" s="55"/>
      <c r="LB55" s="55"/>
      <c r="LC55" s="55"/>
      <c r="LD55" s="55"/>
      <c r="LE55" s="55"/>
      <c r="LF55" s="55"/>
      <c r="LG55" s="55"/>
      <c r="LH55" s="55"/>
      <c r="LI55" s="55"/>
      <c r="LJ55" s="55"/>
      <c r="LK55" s="55"/>
      <c r="LL55" s="55"/>
      <c r="LM55" s="55"/>
      <c r="LN55" s="55"/>
      <c r="LO55" s="55"/>
      <c r="LP55" s="55"/>
      <c r="LQ55" s="55"/>
      <c r="LR55" s="55"/>
      <c r="LS55" s="55"/>
      <c r="LT55" s="55"/>
      <c r="LU55" s="55"/>
      <c r="LV55" s="55"/>
      <c r="LW55" s="55"/>
      <c r="LX55" s="55"/>
      <c r="LY55" s="55"/>
      <c r="LZ55" s="55"/>
      <c r="MA55" s="55"/>
      <c r="MB55" s="55"/>
      <c r="MC55" s="55"/>
      <c r="MD55" s="55"/>
      <c r="ME55" s="55"/>
      <c r="MF55" s="55"/>
      <c r="MG55" s="55"/>
      <c r="MH55" s="55"/>
      <c r="MI55" s="55"/>
      <c r="MJ55" s="55"/>
      <c r="MK55" s="55"/>
      <c r="ML55" s="55"/>
      <c r="MM55" s="55"/>
      <c r="MN55" s="55"/>
      <c r="MO55" s="55"/>
      <c r="MP55" s="55"/>
      <c r="MQ55" s="55"/>
      <c r="MR55" s="55"/>
      <c r="MS55" s="55"/>
      <c r="MT55" s="55"/>
      <c r="MU55" s="55"/>
      <c r="MV55" s="55"/>
      <c r="MW55" s="55"/>
      <c r="MX55" s="55"/>
      <c r="MY55" s="55"/>
      <c r="MZ55" s="55"/>
      <c r="NA55" s="55"/>
      <c r="NB55" s="55"/>
      <c r="NC55" s="55"/>
      <c r="ND55" s="55"/>
      <c r="NE55" s="55"/>
      <c r="NF55" s="55"/>
      <c r="NG55" s="55"/>
      <c r="NH55" s="55"/>
      <c r="NI55" s="55"/>
      <c r="NJ55" s="55"/>
      <c r="NK55" s="55"/>
      <c r="NL55" s="55"/>
      <c r="NM55" s="55"/>
      <c r="NN55" s="55"/>
      <c r="NO55" s="55"/>
      <c r="NP55" s="55"/>
      <c r="NQ55" s="55"/>
      <c r="NR55" s="55"/>
      <c r="NS55" s="55"/>
      <c r="NT55" s="55"/>
      <c r="NU55" s="55"/>
      <c r="NV55" s="55"/>
      <c r="NW55" s="55"/>
      <c r="NX55" s="55"/>
      <c r="NY55" s="55"/>
      <c r="NZ55" s="55"/>
      <c r="OA55" s="55"/>
      <c r="OB55" s="55"/>
      <c r="OC55" s="55"/>
      <c r="OD55" s="55"/>
      <c r="OE55" s="55"/>
      <c r="OF55" s="55"/>
      <c r="OG55" s="55"/>
      <c r="OH55" s="55"/>
      <c r="OI55" s="55"/>
      <c r="OJ55" s="55"/>
      <c r="OK55" s="55"/>
      <c r="OL55" s="55"/>
      <c r="OM55" s="55"/>
      <c r="ON55" s="55"/>
      <c r="OO55" s="55"/>
      <c r="OP55" s="55"/>
      <c r="OQ55" s="55"/>
      <c r="OR55" s="55"/>
      <c r="OS55" s="55"/>
      <c r="OT55" s="55"/>
      <c r="OU55" s="55"/>
      <c r="OV55" s="55"/>
      <c r="OW55" s="55"/>
      <c r="OX55" s="55"/>
      <c r="OY55" s="55"/>
      <c r="OZ55" s="55"/>
      <c r="PA55" s="55"/>
      <c r="PB55" s="55"/>
      <c r="PC55" s="55"/>
      <c r="PD55" s="55"/>
      <c r="PE55" s="55"/>
      <c r="PF55" s="55"/>
      <c r="PG55" s="55"/>
      <c r="PH55" s="55"/>
      <c r="PI55" s="55"/>
      <c r="PJ55" s="55"/>
      <c r="PK55" s="55"/>
      <c r="PL55" s="55"/>
      <c r="PM55" s="55"/>
      <c r="PN55" s="55"/>
      <c r="PO55" s="55"/>
      <c r="PP55" s="55"/>
      <c r="PQ55" s="55"/>
      <c r="PR55" s="55"/>
      <c r="PS55" s="55"/>
      <c r="PT55" s="55"/>
      <c r="PU55" s="55"/>
      <c r="PV55" s="55"/>
      <c r="PW55" s="55"/>
      <c r="PX55" s="55"/>
      <c r="PY55" s="55"/>
      <c r="PZ55" s="55"/>
      <c r="QA55" s="55"/>
      <c r="QB55" s="55"/>
      <c r="QC55" s="55"/>
      <c r="QD55" s="55"/>
      <c r="QE55" s="55"/>
      <c r="QF55" s="55"/>
      <c r="QG55" s="55"/>
      <c r="QH55" s="55"/>
      <c r="QI55" s="55"/>
      <c r="QJ55" s="55"/>
      <c r="QK55" s="55"/>
      <c r="QL55" s="55"/>
      <c r="QM55" s="55"/>
      <c r="QN55" s="55"/>
      <c r="QO55" s="55"/>
      <c r="QP55" s="55"/>
      <c r="QQ55" s="55"/>
      <c r="QR55" s="55"/>
      <c r="QS55" s="55"/>
      <c r="QT55" s="55"/>
      <c r="QU55" s="55"/>
      <c r="QV55" s="55"/>
      <c r="QW55" s="55"/>
      <c r="QX55" s="55"/>
      <c r="QY55" s="55"/>
      <c r="QZ55" s="55"/>
      <c r="RA55" s="55"/>
      <c r="RB55" s="55"/>
      <c r="RC55" s="55"/>
      <c r="RD55" s="55"/>
      <c r="RE55" s="55"/>
      <c r="RF55" s="55"/>
      <c r="RG55" s="55"/>
      <c r="RH55" s="55"/>
      <c r="RI55" s="55"/>
      <c r="RJ55" s="55"/>
      <c r="RK55" s="55"/>
      <c r="RL55" s="55"/>
      <c r="RM55" s="55"/>
      <c r="RN55" s="55"/>
      <c r="RO55" s="55"/>
      <c r="RP55" s="55"/>
      <c r="RQ55" s="55"/>
      <c r="RR55" s="55"/>
      <c r="RS55" s="55"/>
      <c r="RT55" s="55"/>
      <c r="RU55" s="55"/>
      <c r="RV55" s="55"/>
      <c r="RW55" s="55"/>
      <c r="RX55" s="55"/>
      <c r="RY55" s="55"/>
      <c r="RZ55" s="55"/>
      <c r="SA55" s="55"/>
      <c r="SB55" s="55"/>
      <c r="SC55" s="55"/>
      <c r="SD55" s="55"/>
      <c r="SE55" s="55"/>
      <c r="SF55" s="55"/>
      <c r="SG55" s="55"/>
      <c r="SH55" s="55"/>
      <c r="SI55" s="55"/>
      <c r="SJ55" s="55"/>
      <c r="SK55" s="55"/>
      <c r="SL55" s="55"/>
      <c r="SM55" s="55"/>
      <c r="SN55" s="55"/>
      <c r="SO55" s="55"/>
      <c r="SP55" s="55"/>
      <c r="SQ55" s="55"/>
      <c r="SR55" s="55"/>
      <c r="SS55" s="55"/>
      <c r="ST55" s="55"/>
      <c r="SU55" s="55"/>
      <c r="SV55" s="55"/>
      <c r="SW55" s="55"/>
      <c r="SX55" s="55"/>
      <c r="SY55" s="55"/>
      <c r="SZ55" s="55"/>
      <c r="TA55" s="55"/>
      <c r="TB55" s="55"/>
      <c r="TC55" s="55"/>
      <c r="TD55" s="55"/>
      <c r="TE55" s="55"/>
      <c r="TF55" s="55"/>
      <c r="TG55" s="55"/>
      <c r="TH55" s="55"/>
      <c r="TI55" s="55"/>
      <c r="TJ55" s="55"/>
      <c r="TK55" s="55"/>
      <c r="TL55" s="55"/>
      <c r="TM55" s="55"/>
      <c r="TN55" s="55"/>
      <c r="TO55" s="55"/>
      <c r="TP55" s="55"/>
      <c r="TQ55" s="55"/>
      <c r="TR55" s="55"/>
      <c r="TS55" s="55"/>
      <c r="TT55" s="55"/>
      <c r="TU55" s="55"/>
      <c r="TV55" s="55"/>
      <c r="TW55" s="55"/>
      <c r="TX55" s="55"/>
      <c r="TY55" s="55"/>
      <c r="TZ55" s="55"/>
      <c r="UA55" s="55"/>
      <c r="UB55" s="55"/>
      <c r="UC55" s="55"/>
      <c r="UD55" s="55"/>
      <c r="UE55" s="55"/>
      <c r="UF55" s="55"/>
      <c r="UG55" s="55"/>
      <c r="UH55" s="55"/>
      <c r="UI55" s="55"/>
      <c r="UJ55" s="55"/>
      <c r="UK55" s="55"/>
      <c r="UL55" s="55"/>
      <c r="UM55" s="55"/>
      <c r="UN55" s="55"/>
      <c r="UO55" s="55"/>
      <c r="UP55" s="55"/>
      <c r="UQ55" s="55"/>
      <c r="UR55" s="55"/>
      <c r="US55" s="55"/>
      <c r="UT55" s="55"/>
      <c r="UU55" s="55"/>
      <c r="UV55" s="55"/>
      <c r="UW55" s="55"/>
      <c r="UX55" s="55"/>
      <c r="UY55" s="55"/>
      <c r="UZ55" s="55"/>
      <c r="VA55" s="55"/>
      <c r="VB55" s="55"/>
      <c r="VC55" s="55"/>
      <c r="VD55" s="55"/>
      <c r="VE55" s="55"/>
      <c r="VF55" s="55"/>
      <c r="VG55" s="55"/>
      <c r="VH55" s="55"/>
      <c r="VI55" s="55"/>
      <c r="VJ55" s="55"/>
      <c r="VK55" s="55"/>
      <c r="VL55" s="55"/>
      <c r="VM55" s="55"/>
      <c r="VN55" s="55"/>
      <c r="VO55" s="55"/>
      <c r="VP55" s="55"/>
      <c r="VQ55" s="55"/>
      <c r="VR55" s="55"/>
      <c r="VS55" s="55"/>
      <c r="VT55" s="55"/>
      <c r="VU55" s="55"/>
      <c r="VV55" s="55"/>
      <c r="VW55" s="55"/>
      <c r="VX55" s="55"/>
      <c r="VY55" s="55"/>
      <c r="VZ55" s="55"/>
      <c r="WA55" s="55"/>
      <c r="WB55" s="55"/>
      <c r="WC55" s="55"/>
      <c r="WD55" s="55"/>
      <c r="WE55" s="55"/>
      <c r="WF55" s="55"/>
      <c r="WG55" s="55"/>
      <c r="WH55" s="55"/>
      <c r="WI55" s="55"/>
      <c r="WJ55" s="55"/>
      <c r="WK55" s="55"/>
      <c r="WL55" s="55"/>
      <c r="WM55" s="55"/>
      <c r="WN55" s="55"/>
      <c r="WO55" s="55"/>
      <c r="WP55" s="55"/>
      <c r="WQ55" s="55"/>
      <c r="WR55" s="55"/>
      <c r="WS55" s="55"/>
      <c r="WT55" s="55"/>
      <c r="WU55" s="55"/>
      <c r="WV55" s="55"/>
      <c r="WW55" s="55"/>
      <c r="WX55" s="55"/>
      <c r="WY55" s="55"/>
      <c r="WZ55" s="55"/>
      <c r="XA55" s="55"/>
      <c r="XB55" s="55"/>
      <c r="XC55" s="55"/>
      <c r="XD55" s="55"/>
      <c r="XE55" s="55"/>
      <c r="XF55" s="55"/>
      <c r="XG55" s="55"/>
      <c r="XH55" s="55"/>
      <c r="XI55" s="55"/>
      <c r="XJ55" s="55"/>
      <c r="XK55" s="55"/>
      <c r="XL55" s="55"/>
      <c r="XM55" s="55"/>
      <c r="XN55" s="55"/>
      <c r="XO55" s="55"/>
      <c r="XP55" s="55"/>
      <c r="XQ55" s="55"/>
      <c r="XR55" s="55"/>
      <c r="XS55" s="55"/>
      <c r="XT55" s="55"/>
      <c r="XU55" s="55"/>
      <c r="XV55" s="55"/>
      <c r="XW55" s="55"/>
      <c r="XX55" s="55"/>
      <c r="XY55" s="55"/>
      <c r="XZ55" s="55"/>
      <c r="YA55" s="55"/>
      <c r="YB55" s="55"/>
      <c r="YC55" s="55"/>
      <c r="YD55" s="55"/>
      <c r="YE55" s="55"/>
      <c r="YF55" s="55"/>
      <c r="YG55" s="55"/>
      <c r="YH55" s="55"/>
      <c r="YI55" s="55"/>
      <c r="YJ55" s="55"/>
      <c r="YK55" s="55"/>
      <c r="YL55" s="55"/>
      <c r="YM55" s="55"/>
      <c r="YN55" s="55"/>
      <c r="YO55" s="55"/>
      <c r="YP55" s="55"/>
      <c r="YQ55" s="55"/>
      <c r="YR55" s="55"/>
      <c r="YS55" s="55"/>
      <c r="YT55" s="55"/>
      <c r="YU55" s="55"/>
      <c r="YV55" s="55"/>
      <c r="YW55" s="55"/>
      <c r="YX55" s="55"/>
      <c r="YY55" s="55"/>
      <c r="YZ55" s="55"/>
      <c r="ZA55" s="55"/>
      <c r="ZB55" s="55"/>
      <c r="ZC55" s="55"/>
      <c r="ZD55" s="55"/>
      <c r="ZE55" s="55"/>
      <c r="ZF55" s="55"/>
      <c r="ZG55" s="55"/>
      <c r="ZH55" s="55"/>
      <c r="ZI55" s="55"/>
      <c r="ZJ55" s="55"/>
      <c r="ZK55" s="55"/>
      <c r="ZL55" s="55"/>
      <c r="ZM55" s="55"/>
      <c r="ZN55" s="55"/>
      <c r="ZO55" s="55"/>
      <c r="ZP55" s="55"/>
      <c r="ZQ55" s="55"/>
      <c r="ZR55" s="55"/>
      <c r="ZS55" s="55"/>
      <c r="ZT55" s="55"/>
      <c r="ZU55" s="55"/>
      <c r="ZV55" s="55"/>
      <c r="ZW55" s="55"/>
      <c r="ZX55" s="55"/>
      <c r="ZY55" s="55"/>
      <c r="ZZ55" s="55"/>
      <c r="AAA55" s="55"/>
      <c r="AAB55" s="55"/>
      <c r="AAC55" s="55"/>
      <c r="AAD55" s="55"/>
      <c r="AAE55" s="55"/>
      <c r="AAF55" s="55"/>
      <c r="AAG55" s="55"/>
      <c r="AAH55" s="55"/>
      <c r="AAI55" s="55"/>
      <c r="AAJ55" s="55"/>
      <c r="AAK55" s="55"/>
      <c r="AAL55" s="55"/>
      <c r="AAM55" s="55"/>
      <c r="AAN55" s="55"/>
      <c r="AAO55" s="55"/>
      <c r="AAP55" s="55"/>
      <c r="AAQ55" s="55"/>
      <c r="AAR55" s="55"/>
      <c r="AAS55" s="55"/>
      <c r="AAT55" s="55"/>
      <c r="AAU55" s="55"/>
      <c r="AAV55" s="55"/>
      <c r="AAW55" s="55"/>
      <c r="AAX55" s="55"/>
      <c r="AAY55" s="55"/>
      <c r="AAZ55" s="55"/>
      <c r="ABA55" s="55"/>
      <c r="ABB55" s="55"/>
      <c r="ABC55" s="55"/>
      <c r="ABD55" s="55"/>
      <c r="ABE55" s="55"/>
      <c r="ABF55" s="55"/>
      <c r="ABG55" s="55"/>
      <c r="ABH55" s="55"/>
      <c r="ABI55" s="55"/>
      <c r="ABJ55" s="55"/>
      <c r="ABK55" s="55"/>
      <c r="ABL55" s="55"/>
      <c r="ABM55" s="55"/>
      <c r="ABN55" s="55"/>
      <c r="ABO55" s="55"/>
      <c r="ABP55" s="55"/>
      <c r="ABQ55" s="55"/>
      <c r="ABR55" s="55"/>
      <c r="ABS55" s="55"/>
      <c r="ABT55" s="55"/>
      <c r="ABU55" s="55"/>
      <c r="ABV55" s="55"/>
      <c r="ABW55" s="55"/>
      <c r="ABX55" s="55"/>
      <c r="ABY55" s="55"/>
      <c r="ABZ55" s="55"/>
      <c r="ACA55" s="55"/>
      <c r="ACB55" s="55"/>
      <c r="ACC55" s="55"/>
      <c r="ACD55" s="55"/>
      <c r="ACE55" s="55"/>
      <c r="ACF55" s="55"/>
      <c r="ACG55" s="55"/>
      <c r="ACH55" s="55"/>
      <c r="ACI55" s="55"/>
      <c r="ACJ55" s="55"/>
      <c r="ACK55" s="55"/>
      <c r="ACL55" s="55"/>
      <c r="ACM55" s="55"/>
      <c r="ACN55" s="55"/>
      <c r="ACO55" s="55"/>
      <c r="ACP55" s="55"/>
      <c r="ACQ55" s="55"/>
      <c r="ACR55" s="55"/>
      <c r="ACS55" s="55"/>
      <c r="ACT55" s="55"/>
      <c r="ACU55" s="55"/>
      <c r="ACV55" s="55"/>
      <c r="ACW55" s="55"/>
      <c r="ACX55" s="55"/>
      <c r="ACY55" s="55"/>
      <c r="ACZ55" s="55"/>
      <c r="ADA55" s="55"/>
      <c r="ADB55" s="55"/>
      <c r="ADC55" s="55"/>
      <c r="ADD55" s="55"/>
      <c r="ADE55" s="55"/>
      <c r="ADF55" s="55"/>
      <c r="ADG55" s="55"/>
      <c r="ADH55" s="55"/>
      <c r="ADI55" s="55"/>
      <c r="ADJ55" s="55"/>
      <c r="ADK55" s="55"/>
      <c r="ADL55" s="55"/>
      <c r="ADM55" s="55"/>
      <c r="ADN55" s="55"/>
      <c r="ADO55" s="55"/>
      <c r="ADP55" s="55"/>
      <c r="ADQ55" s="55"/>
      <c r="ADR55" s="55"/>
      <c r="ADS55" s="55"/>
      <c r="ADT55" s="55"/>
      <c r="ADU55" s="55"/>
      <c r="ADV55" s="55"/>
      <c r="ADW55" s="55"/>
      <c r="ADX55" s="55"/>
      <c r="ADY55" s="55"/>
      <c r="ADZ55" s="55"/>
      <c r="AEA55" s="55"/>
      <c r="AEB55" s="55"/>
      <c r="AEC55" s="55"/>
      <c r="AED55" s="55"/>
      <c r="AEE55" s="55"/>
      <c r="AEF55" s="55"/>
      <c r="AEG55" s="55"/>
      <c r="AEH55" s="55"/>
      <c r="AEI55" s="55"/>
      <c r="AEJ55" s="55"/>
      <c r="AEK55" s="55"/>
      <c r="AEL55" s="55"/>
      <c r="AEM55" s="55"/>
      <c r="AEN55" s="55"/>
      <c r="AEO55" s="55"/>
      <c r="AEP55" s="55"/>
      <c r="AEQ55" s="55"/>
      <c r="AER55" s="55"/>
      <c r="AES55" s="55"/>
      <c r="AET55" s="55"/>
      <c r="AEU55" s="55"/>
      <c r="AEV55" s="55"/>
      <c r="AEW55" s="55"/>
      <c r="AEX55" s="55"/>
      <c r="AEY55" s="55"/>
      <c r="AEZ55" s="55"/>
      <c r="AFA55" s="55"/>
      <c r="AFB55" s="55"/>
      <c r="AFC55" s="55"/>
      <c r="AFD55" s="55"/>
      <c r="AFE55" s="55"/>
      <c r="AFF55" s="55"/>
      <c r="AFG55" s="55"/>
      <c r="AFH55" s="55"/>
      <c r="AFI55" s="55"/>
      <c r="AFJ55" s="55"/>
      <c r="AFK55" s="55"/>
      <c r="AFL55" s="55"/>
      <c r="AFM55" s="55"/>
      <c r="AFN55" s="55"/>
      <c r="AFO55" s="55"/>
      <c r="AFP55" s="55"/>
      <c r="AFQ55" s="55"/>
      <c r="AFR55" s="55"/>
      <c r="AFS55" s="55"/>
      <c r="AFT55" s="55"/>
      <c r="AFU55" s="55"/>
      <c r="AFV55" s="55"/>
      <c r="AFW55" s="55"/>
      <c r="AFX55" s="55"/>
      <c r="AFY55" s="55"/>
      <c r="AFZ55" s="55"/>
      <c r="AGA55" s="55"/>
      <c r="AGB55" s="55"/>
      <c r="AGC55" s="55"/>
      <c r="AGD55" s="55"/>
      <c r="AGE55" s="55"/>
      <c r="AGF55" s="55"/>
      <c r="AGG55" s="55"/>
      <c r="AGH55" s="55"/>
      <c r="AGI55" s="55"/>
      <c r="AGJ55" s="55"/>
      <c r="AGK55" s="55"/>
      <c r="AGL55" s="55"/>
      <c r="AGM55" s="55"/>
      <c r="AGN55" s="55"/>
      <c r="AGO55" s="55"/>
      <c r="AGP55" s="55"/>
      <c r="AGQ55" s="55"/>
      <c r="AGR55" s="55"/>
      <c r="AGS55" s="55"/>
      <c r="AGT55" s="55"/>
      <c r="AGU55" s="55"/>
      <c r="AGV55" s="55"/>
      <c r="AGW55" s="55"/>
      <c r="AGX55" s="55"/>
      <c r="AGY55" s="55"/>
      <c r="AGZ55" s="55"/>
      <c r="AHA55" s="55"/>
      <c r="AHB55" s="55"/>
      <c r="AHC55" s="55"/>
      <c r="AHD55" s="55"/>
      <c r="AHE55" s="55"/>
      <c r="AHF55" s="55"/>
      <c r="AHG55" s="55"/>
      <c r="AHH55" s="55"/>
      <c r="AHI55" s="55"/>
      <c r="AHJ55" s="55"/>
      <c r="AHK55" s="55"/>
      <c r="AHL55" s="55"/>
      <c r="AHM55" s="55"/>
      <c r="AHN55" s="55"/>
      <c r="AHO55" s="55"/>
      <c r="AHP55" s="55"/>
      <c r="AHQ55" s="55"/>
      <c r="AHR55" s="55"/>
      <c r="AHS55" s="55"/>
      <c r="AHT55" s="55"/>
      <c r="AHU55" s="55"/>
      <c r="AHV55" s="55"/>
      <c r="AHW55" s="55"/>
      <c r="AHX55" s="55"/>
      <c r="AHY55" s="55"/>
      <c r="AHZ55" s="55"/>
      <c r="AIA55" s="55"/>
      <c r="AIB55" s="55"/>
      <c r="AIC55" s="55"/>
      <c r="AID55" s="55"/>
      <c r="AIE55" s="55"/>
      <c r="AIF55" s="55"/>
      <c r="AIG55" s="55"/>
      <c r="AIH55" s="55"/>
      <c r="AII55" s="55"/>
      <c r="AIJ55" s="55"/>
      <c r="AIK55" s="55"/>
      <c r="AIL55" s="55"/>
      <c r="AIM55" s="55"/>
      <c r="AIN55" s="55"/>
      <c r="AIO55" s="55"/>
      <c r="AIP55" s="55"/>
      <c r="AIQ55" s="55"/>
      <c r="AIR55" s="55"/>
      <c r="AIS55" s="55"/>
      <c r="AIT55" s="55"/>
      <c r="AIU55" s="55"/>
      <c r="AIV55" s="55"/>
      <c r="AIW55" s="55"/>
      <c r="AIX55" s="55"/>
      <c r="AIY55" s="55"/>
      <c r="AIZ55" s="55"/>
      <c r="AJA55" s="55"/>
      <c r="AJB55" s="55"/>
      <c r="AJC55" s="55"/>
      <c r="AJD55" s="55"/>
      <c r="AJE55" s="55"/>
      <c r="AJF55" s="55"/>
      <c r="AJG55" s="55"/>
      <c r="AJH55" s="55"/>
      <c r="AJI55" s="55"/>
      <c r="AJJ55" s="55"/>
      <c r="AJK55" s="55"/>
      <c r="AJL55" s="55"/>
      <c r="AJM55" s="55"/>
      <c r="AJN55" s="55"/>
      <c r="AJO55" s="55"/>
      <c r="AJP55" s="55"/>
      <c r="AJQ55" s="55"/>
      <c r="AJR55" s="55"/>
      <c r="AJS55" s="55"/>
      <c r="AJT55" s="55"/>
      <c r="AJU55" s="55"/>
      <c r="AJV55" s="55"/>
      <c r="AJW55" s="55"/>
      <c r="AJX55" s="55"/>
      <c r="AJY55" s="55"/>
      <c r="AJZ55" s="55"/>
      <c r="AKA55" s="55"/>
      <c r="AKB55" s="55"/>
      <c r="AKC55" s="55"/>
      <c r="AKD55" s="55"/>
      <c r="AKE55" s="55"/>
      <c r="AKF55" s="55"/>
      <c r="AKG55" s="55"/>
      <c r="AKH55" s="55"/>
      <c r="AKI55" s="55"/>
      <c r="AKJ55" s="55"/>
      <c r="AKK55" s="55"/>
      <c r="AKL55" s="55"/>
      <c r="AKM55" s="55"/>
      <c r="AKN55" s="55"/>
      <c r="AKO55" s="55"/>
      <c r="AKP55" s="55"/>
      <c r="AKQ55" s="55"/>
      <c r="AKR55" s="55"/>
      <c r="AKS55" s="55"/>
      <c r="AKT55" s="55"/>
      <c r="AKU55" s="55"/>
      <c r="AKV55" s="55"/>
      <c r="AKW55" s="55"/>
      <c r="AKX55" s="55"/>
      <c r="AKY55" s="55"/>
      <c r="AKZ55" s="55"/>
      <c r="ALA55" s="55"/>
      <c r="ALB55" s="55"/>
      <c r="ALC55" s="55"/>
      <c r="ALD55" s="55"/>
      <c r="ALE55" s="55"/>
      <c r="ALF55" s="55"/>
      <c r="ALG55" s="55"/>
      <c r="ALH55" s="55"/>
      <c r="ALI55" s="55"/>
      <c r="ALJ55" s="55"/>
      <c r="ALK55" s="55"/>
      <c r="ALL55" s="55"/>
      <c r="ALM55" s="55"/>
      <c r="ALN55" s="55"/>
      <c r="ALO55" s="55"/>
      <c r="ALP55" s="55"/>
      <c r="ALQ55" s="55"/>
      <c r="ALR55" s="55"/>
      <c r="ALS55" s="55"/>
      <c r="ALT55" s="55"/>
      <c r="ALU55" s="55"/>
      <c r="ALV55" s="55"/>
      <c r="ALW55" s="55"/>
      <c r="ALX55" s="55"/>
      <c r="ALY55" s="55"/>
      <c r="ALZ55" s="55"/>
      <c r="AMA55" s="55"/>
      <c r="AMB55" s="55"/>
      <c r="AMC55" s="55"/>
      <c r="AMD55" s="55"/>
      <c r="AME55" s="55"/>
      <c r="AMF55" s="55"/>
      <c r="AMG55" s="55"/>
      <c r="AMH55" s="55"/>
      <c r="AMI55" s="55"/>
      <c r="AMJ55" s="55"/>
      <c r="AMK55" s="55"/>
      <c r="AML55" s="55"/>
      <c r="AMM55" s="55"/>
      <c r="AMN55" s="55"/>
      <c r="AMO55" s="55"/>
      <c r="AMP55" s="55"/>
      <c r="AMQ55" s="55"/>
      <c r="AMR55" s="55"/>
      <c r="AMS55" s="55"/>
      <c r="AMT55" s="55"/>
      <c r="AMU55" s="55"/>
      <c r="AMV55" s="55"/>
      <c r="AMW55" s="55"/>
      <c r="AMX55" s="55"/>
      <c r="AMY55" s="55"/>
      <c r="AMZ55" s="55"/>
      <c r="ANA55" s="55"/>
      <c r="ANB55" s="55"/>
      <c r="ANC55" s="55"/>
      <c r="AND55" s="55"/>
      <c r="ANE55" s="55"/>
      <c r="ANF55" s="55"/>
      <c r="ANG55" s="55"/>
      <c r="ANH55" s="55"/>
      <c r="ANI55" s="55"/>
      <c r="ANJ55" s="55"/>
      <c r="ANK55" s="55"/>
      <c r="ANL55" s="55"/>
      <c r="ANM55" s="55"/>
      <c r="ANN55" s="55"/>
      <c r="ANO55" s="55"/>
      <c r="ANP55" s="55"/>
      <c r="ANQ55" s="55"/>
      <c r="ANR55" s="55"/>
      <c r="ANS55" s="55"/>
      <c r="ANT55" s="55"/>
      <c r="ANU55" s="55"/>
      <c r="ANV55" s="55"/>
      <c r="ANW55" s="55"/>
      <c r="ANX55" s="55"/>
      <c r="ANY55" s="55"/>
      <c r="ANZ55" s="55"/>
      <c r="AOA55" s="55"/>
      <c r="AOB55" s="55"/>
      <c r="AOC55" s="55"/>
      <c r="AOD55" s="55"/>
      <c r="AOE55" s="55"/>
      <c r="AOF55" s="55"/>
      <c r="AOG55" s="55"/>
      <c r="AOH55" s="55"/>
      <c r="AOI55" s="55"/>
      <c r="AOJ55" s="55"/>
      <c r="AOK55" s="55"/>
      <c r="AOL55" s="55"/>
      <c r="AOM55" s="55"/>
      <c r="AON55" s="55"/>
      <c r="AOO55" s="55"/>
      <c r="AOP55" s="55"/>
      <c r="AOQ55" s="55"/>
      <c r="AOR55" s="55"/>
      <c r="AOS55" s="55"/>
      <c r="AOT55" s="55"/>
      <c r="AOU55" s="55"/>
      <c r="AOV55" s="55"/>
      <c r="AOW55" s="55"/>
      <c r="AOX55" s="55"/>
      <c r="AOY55" s="55"/>
      <c r="AOZ55" s="55"/>
      <c r="APA55" s="55"/>
      <c r="APB55" s="55"/>
      <c r="APC55" s="55"/>
      <c r="APD55" s="55"/>
      <c r="APE55" s="55"/>
      <c r="APF55" s="55"/>
      <c r="APG55" s="55"/>
      <c r="APH55" s="55"/>
      <c r="API55" s="55"/>
      <c r="APJ55" s="55"/>
      <c r="APK55" s="55"/>
      <c r="APL55" s="55"/>
      <c r="APM55" s="55"/>
      <c r="APN55" s="55"/>
      <c r="APO55" s="55"/>
      <c r="APP55" s="55"/>
      <c r="APQ55" s="55"/>
      <c r="APR55" s="55"/>
      <c r="APS55" s="55"/>
      <c r="APT55" s="55"/>
      <c r="APU55" s="55"/>
      <c r="APV55" s="55"/>
      <c r="APW55" s="55"/>
      <c r="APX55" s="55"/>
      <c r="APY55" s="55"/>
      <c r="APZ55" s="55"/>
      <c r="AQA55" s="55"/>
      <c r="AQB55" s="55"/>
      <c r="AQC55" s="55"/>
      <c r="AQD55" s="55"/>
      <c r="AQE55" s="55"/>
      <c r="AQF55" s="55"/>
      <c r="AQG55" s="55"/>
      <c r="AQH55" s="55"/>
      <c r="AQI55" s="55"/>
      <c r="AQJ55" s="55"/>
      <c r="AQK55" s="55"/>
      <c r="AQL55" s="55"/>
      <c r="AQM55" s="55"/>
      <c r="AQN55" s="55"/>
      <c r="AQO55" s="55"/>
      <c r="AQP55" s="55"/>
      <c r="AQQ55" s="55"/>
      <c r="AQR55" s="55"/>
      <c r="AQS55" s="55"/>
      <c r="AQT55" s="55"/>
      <c r="AQU55" s="55"/>
      <c r="AQV55" s="55"/>
      <c r="AQW55" s="55"/>
      <c r="AQX55" s="55"/>
      <c r="AQY55" s="55"/>
      <c r="AQZ55" s="55"/>
      <c r="ARA55" s="55"/>
      <c r="ARB55" s="55"/>
      <c r="ARC55" s="55"/>
      <c r="ARD55" s="55"/>
      <c r="ARE55" s="55"/>
      <c r="ARF55" s="55"/>
      <c r="ARG55" s="55"/>
      <c r="ARH55" s="55"/>
      <c r="ARI55" s="55"/>
      <c r="ARJ55" s="55"/>
      <c r="ARK55" s="55"/>
      <c r="ARL55" s="55"/>
      <c r="ARM55" s="55"/>
      <c r="ARN55" s="55"/>
      <c r="ARO55" s="55"/>
      <c r="ARP55" s="55"/>
      <c r="ARQ55" s="55"/>
      <c r="ARR55" s="55"/>
      <c r="ARS55" s="55"/>
      <c r="ART55" s="55"/>
      <c r="ARU55" s="55"/>
      <c r="ARV55" s="55"/>
      <c r="ARW55" s="55"/>
      <c r="ARX55" s="55"/>
      <c r="ARY55" s="55"/>
      <c r="ARZ55" s="55"/>
      <c r="ASA55" s="55"/>
      <c r="ASB55" s="55"/>
      <c r="ASC55" s="55"/>
      <c r="ASD55" s="55"/>
      <c r="ASE55" s="55"/>
      <c r="ASF55" s="55"/>
      <c r="ASG55" s="55"/>
      <c r="ASH55" s="55"/>
      <c r="ASI55" s="55"/>
      <c r="ASJ55" s="55"/>
      <c r="ASK55" s="55"/>
      <c r="ASL55" s="55"/>
      <c r="ASM55" s="55"/>
      <c r="ASN55" s="55"/>
      <c r="ASO55" s="55"/>
      <c r="ASP55" s="55"/>
      <c r="ASQ55" s="55"/>
      <c r="ASR55" s="55"/>
      <c r="ASS55" s="55"/>
      <c r="AST55" s="55"/>
      <c r="ASU55" s="55"/>
      <c r="ASV55" s="55"/>
      <c r="ASW55" s="55"/>
      <c r="ASX55" s="55"/>
      <c r="ASY55" s="55"/>
      <c r="ASZ55" s="55"/>
      <c r="ATA55" s="55"/>
      <c r="ATB55" s="55"/>
      <c r="ATC55" s="55"/>
      <c r="ATD55" s="55"/>
      <c r="ATE55" s="55"/>
      <c r="ATF55" s="55"/>
      <c r="ATG55" s="55"/>
      <c r="ATH55" s="55"/>
      <c r="ATI55" s="55"/>
      <c r="ATJ55" s="55"/>
      <c r="ATK55" s="55"/>
      <c r="ATL55" s="55"/>
      <c r="ATM55" s="55"/>
      <c r="ATN55" s="55"/>
      <c r="ATO55" s="55"/>
      <c r="ATP55" s="55"/>
      <c r="ATQ55" s="55"/>
      <c r="ATR55" s="55"/>
      <c r="ATS55" s="55"/>
      <c r="ATT55" s="55"/>
      <c r="ATU55" s="55"/>
      <c r="ATV55" s="55"/>
      <c r="ATW55" s="55"/>
      <c r="ATX55" s="55"/>
      <c r="ATY55" s="55"/>
      <c r="ATZ55" s="55"/>
      <c r="AUA55" s="55"/>
      <c r="AUB55" s="55"/>
      <c r="AUC55" s="55"/>
      <c r="AUD55" s="55"/>
      <c r="AUE55" s="55"/>
      <c r="AUF55" s="55"/>
      <c r="AUG55" s="55"/>
      <c r="AUH55" s="55"/>
      <c r="AUI55" s="55"/>
      <c r="AUJ55" s="55"/>
      <c r="AUK55" s="55"/>
      <c r="AUL55" s="55"/>
      <c r="AUM55" s="55"/>
      <c r="AUN55" s="55"/>
      <c r="AUO55" s="55"/>
      <c r="AUP55" s="55"/>
      <c r="AUQ55" s="55"/>
      <c r="AUR55" s="55"/>
      <c r="AUS55" s="55"/>
      <c r="AUT55" s="55"/>
      <c r="AUU55" s="55"/>
      <c r="AUV55" s="55"/>
      <c r="AUW55" s="55"/>
      <c r="AUX55" s="55"/>
      <c r="AUY55" s="55"/>
      <c r="AUZ55" s="55"/>
      <c r="AVA55" s="55"/>
      <c r="AVB55" s="55"/>
      <c r="AVC55" s="55"/>
      <c r="AVD55" s="55"/>
      <c r="AVE55" s="55"/>
      <c r="AVF55" s="55"/>
      <c r="AVG55" s="55"/>
      <c r="AVH55" s="55"/>
      <c r="AVI55" s="55"/>
      <c r="AVJ55" s="55"/>
      <c r="AVK55" s="55"/>
      <c r="AVL55" s="55"/>
      <c r="AVM55" s="55"/>
      <c r="AVN55" s="55"/>
      <c r="AVO55" s="55"/>
      <c r="AVP55" s="55"/>
      <c r="AVQ55" s="55"/>
      <c r="AVR55" s="55"/>
      <c r="AVS55" s="55"/>
      <c r="AVT55" s="55"/>
      <c r="AVU55" s="55"/>
      <c r="AVV55" s="55"/>
      <c r="AVW55" s="55"/>
      <c r="AVX55" s="55"/>
      <c r="AVY55" s="55"/>
      <c r="AVZ55" s="55"/>
      <c r="AWA55" s="55"/>
      <c r="AWB55" s="55"/>
      <c r="AWC55" s="55"/>
      <c r="AWD55" s="55"/>
      <c r="AWE55" s="55"/>
      <c r="AWF55" s="55"/>
      <c r="AWG55" s="55"/>
      <c r="AWH55" s="55"/>
      <c r="AWI55" s="55"/>
      <c r="AWJ55" s="55"/>
      <c r="AWK55" s="55"/>
      <c r="AWL55" s="55"/>
      <c r="AWM55" s="55"/>
      <c r="AWN55" s="55"/>
      <c r="AWO55" s="55"/>
      <c r="AWP55" s="55"/>
      <c r="AWQ55" s="55"/>
      <c r="AWR55" s="55"/>
      <c r="AWS55" s="55"/>
      <c r="AWT55" s="55"/>
      <c r="AWU55" s="55"/>
      <c r="AWV55" s="55"/>
      <c r="AWW55" s="55"/>
      <c r="AWX55" s="55"/>
      <c r="AWY55" s="55"/>
      <c r="AWZ55" s="55"/>
      <c r="AXA55" s="55"/>
      <c r="AXB55" s="55"/>
      <c r="AXC55" s="55"/>
      <c r="AXD55" s="55"/>
      <c r="AXE55" s="55"/>
      <c r="AXF55" s="55"/>
      <c r="AXG55" s="55"/>
      <c r="AXH55" s="55"/>
      <c r="AXI55" s="55"/>
      <c r="AXJ55" s="55"/>
      <c r="AXK55" s="55"/>
      <c r="AXL55" s="55"/>
      <c r="AXM55" s="55"/>
      <c r="AXN55" s="55"/>
      <c r="AXO55" s="55"/>
      <c r="AXP55" s="55"/>
      <c r="AXQ55" s="55"/>
      <c r="AXR55" s="55"/>
      <c r="AXS55" s="55"/>
      <c r="AXT55" s="55"/>
      <c r="AXU55" s="55"/>
      <c r="AXV55" s="55"/>
      <c r="AXW55" s="55"/>
      <c r="AXX55" s="55"/>
      <c r="AXY55" s="55"/>
      <c r="AXZ55" s="55"/>
      <c r="AYA55" s="55"/>
      <c r="AYB55" s="55"/>
      <c r="AYC55" s="55"/>
      <c r="AYD55" s="55"/>
      <c r="AYE55" s="55"/>
      <c r="AYF55" s="55"/>
      <c r="AYG55" s="55"/>
      <c r="AYH55" s="55"/>
      <c r="AYI55" s="55"/>
      <c r="AYJ55" s="55"/>
      <c r="AYK55" s="55"/>
      <c r="AYL55" s="55"/>
      <c r="AYM55" s="55"/>
      <c r="AYN55" s="55"/>
      <c r="AYO55" s="55"/>
      <c r="AYP55" s="55"/>
      <c r="AYQ55" s="55"/>
      <c r="AYR55" s="55"/>
      <c r="AYS55" s="55"/>
      <c r="AYT55" s="55"/>
      <c r="AYU55" s="55"/>
      <c r="AYV55" s="55"/>
      <c r="AYW55" s="55"/>
      <c r="AYX55" s="55"/>
      <c r="AYY55" s="55"/>
      <c r="AYZ55" s="55"/>
      <c r="AZA55" s="55"/>
      <c r="AZB55" s="55"/>
      <c r="AZC55" s="55"/>
      <c r="AZD55" s="55"/>
      <c r="AZE55" s="55"/>
      <c r="AZF55" s="55"/>
      <c r="AZG55" s="55"/>
      <c r="AZH55" s="55"/>
      <c r="AZI55" s="55"/>
      <c r="AZJ55" s="55"/>
      <c r="AZK55" s="55"/>
      <c r="AZL55" s="55"/>
      <c r="AZM55" s="55"/>
      <c r="AZN55" s="55"/>
      <c r="AZO55" s="55"/>
      <c r="AZP55" s="55"/>
      <c r="AZQ55" s="55"/>
      <c r="AZR55" s="55"/>
      <c r="AZS55" s="55"/>
      <c r="AZT55" s="55"/>
      <c r="AZU55" s="55"/>
      <c r="AZV55" s="55"/>
      <c r="AZW55" s="55"/>
      <c r="AZX55" s="55"/>
      <c r="AZY55" s="55"/>
      <c r="AZZ55" s="55"/>
      <c r="BAA55" s="55"/>
      <c r="BAB55" s="55"/>
      <c r="BAC55" s="55"/>
      <c r="BAD55" s="55"/>
      <c r="BAE55" s="55"/>
      <c r="BAF55" s="55"/>
      <c r="BAG55" s="55"/>
      <c r="BAH55" s="55"/>
      <c r="BAI55" s="55"/>
      <c r="BAJ55" s="55"/>
      <c r="BAK55" s="55"/>
      <c r="BAL55" s="55"/>
      <c r="BAM55" s="55"/>
      <c r="BAN55" s="55"/>
      <c r="BAO55" s="55"/>
      <c r="BAP55" s="55"/>
      <c r="BAQ55" s="55"/>
      <c r="BAR55" s="55"/>
      <c r="BAS55" s="55"/>
      <c r="BAT55" s="55"/>
      <c r="BAU55" s="55"/>
      <c r="BAV55" s="55"/>
      <c r="BAW55" s="55"/>
      <c r="BAX55" s="55"/>
      <c r="BAY55" s="55"/>
      <c r="BAZ55" s="55"/>
      <c r="BBA55" s="55"/>
      <c r="BBB55" s="55"/>
      <c r="BBC55" s="55"/>
      <c r="BBD55" s="55"/>
      <c r="BBE55" s="55"/>
      <c r="BBF55" s="55"/>
      <c r="BBG55" s="55"/>
      <c r="BBH55" s="55"/>
      <c r="BBI55" s="55"/>
      <c r="BBJ55" s="55"/>
      <c r="BBK55" s="55"/>
      <c r="BBL55" s="55"/>
      <c r="BBM55" s="55"/>
      <c r="BBN55" s="55"/>
      <c r="BBO55" s="55"/>
      <c r="BBP55" s="55"/>
      <c r="BBQ55" s="55"/>
      <c r="BBR55" s="55"/>
      <c r="BBS55" s="55"/>
      <c r="BBT55" s="55"/>
      <c r="BBU55" s="55"/>
      <c r="BBV55" s="55"/>
      <c r="BBW55" s="55"/>
      <c r="BBX55" s="55"/>
      <c r="BBY55" s="55"/>
      <c r="BBZ55" s="55"/>
      <c r="BCA55" s="55"/>
      <c r="BCB55" s="55"/>
      <c r="BCC55" s="55"/>
      <c r="BCD55" s="55"/>
      <c r="BCE55" s="55"/>
      <c r="BCF55" s="55"/>
      <c r="BCG55" s="55"/>
      <c r="BCH55" s="55"/>
      <c r="BCI55" s="55"/>
      <c r="BCJ55" s="55"/>
      <c r="BCK55" s="55"/>
      <c r="BCL55" s="55"/>
      <c r="BCM55" s="55"/>
      <c r="BCN55" s="55"/>
      <c r="BCO55" s="55"/>
      <c r="BCP55" s="55"/>
      <c r="BCQ55" s="55"/>
      <c r="BCR55" s="55"/>
      <c r="BCS55" s="55"/>
      <c r="BCT55" s="55"/>
      <c r="BCU55" s="55"/>
      <c r="BCV55" s="55"/>
      <c r="BCW55" s="55"/>
      <c r="BCX55" s="55"/>
      <c r="BCY55" s="55"/>
      <c r="BCZ55" s="55"/>
      <c r="BDA55" s="55"/>
      <c r="BDB55" s="55"/>
      <c r="BDC55" s="55"/>
      <c r="BDD55" s="55"/>
      <c r="BDE55" s="55"/>
      <c r="BDF55" s="55"/>
      <c r="BDG55" s="55"/>
      <c r="BDH55" s="55"/>
      <c r="BDI55" s="55"/>
      <c r="BDJ55" s="55"/>
      <c r="BDK55" s="55"/>
      <c r="BDL55" s="55"/>
      <c r="BDM55" s="55"/>
      <c r="BDN55" s="55"/>
      <c r="BDO55" s="55"/>
      <c r="BDP55" s="55"/>
      <c r="BDQ55" s="55"/>
      <c r="BDR55" s="55"/>
      <c r="BDS55" s="55"/>
      <c r="BDT55" s="55"/>
      <c r="BDU55" s="55"/>
      <c r="BDV55" s="55"/>
      <c r="BDW55" s="55"/>
      <c r="BDX55" s="55"/>
      <c r="BDY55" s="55"/>
      <c r="BDZ55" s="55"/>
      <c r="BEA55" s="55"/>
      <c r="BEB55" s="55"/>
      <c r="BEC55" s="55"/>
      <c r="BED55" s="55"/>
      <c r="BEE55" s="55"/>
      <c r="BEF55" s="55"/>
      <c r="BEG55" s="55"/>
      <c r="BEH55" s="55"/>
      <c r="BEI55" s="55"/>
      <c r="BEJ55" s="55"/>
      <c r="BEK55" s="55"/>
      <c r="BEL55" s="55"/>
      <c r="BEM55" s="55"/>
      <c r="BEN55" s="55"/>
      <c r="BEO55" s="55"/>
      <c r="BEP55" s="55"/>
      <c r="BEQ55" s="55"/>
      <c r="BER55" s="55"/>
      <c r="BES55" s="55"/>
      <c r="BET55" s="55"/>
      <c r="BEU55" s="55"/>
      <c r="BEV55" s="55"/>
      <c r="BEW55" s="55"/>
      <c r="BEX55" s="55"/>
      <c r="BEY55" s="55"/>
      <c r="BEZ55" s="55"/>
      <c r="BFA55" s="55"/>
      <c r="BFB55" s="55"/>
      <c r="BFC55" s="55"/>
      <c r="BFD55" s="55"/>
      <c r="BFE55" s="55"/>
      <c r="BFF55" s="55"/>
      <c r="BFG55" s="55"/>
      <c r="BFH55" s="55"/>
      <c r="BFI55" s="55"/>
      <c r="BFJ55" s="55"/>
      <c r="BFK55" s="55"/>
      <c r="BFL55" s="55"/>
      <c r="BFM55" s="55"/>
      <c r="BFN55" s="55"/>
      <c r="BFO55" s="55"/>
      <c r="BFP55" s="55"/>
      <c r="BFQ55" s="55"/>
      <c r="BFR55" s="55"/>
      <c r="BFS55" s="55"/>
      <c r="BFT55" s="55"/>
      <c r="BFU55" s="55"/>
      <c r="BFV55" s="55"/>
      <c r="BFW55" s="55"/>
      <c r="BFX55" s="55"/>
      <c r="BFY55" s="55"/>
      <c r="BFZ55" s="55"/>
      <c r="BGA55" s="55"/>
      <c r="BGB55" s="55"/>
      <c r="BGC55" s="55"/>
      <c r="BGD55" s="55"/>
      <c r="BGE55" s="55"/>
      <c r="BGF55" s="55"/>
      <c r="BGG55" s="55"/>
      <c r="BGH55" s="55"/>
      <c r="BGI55" s="55"/>
      <c r="BGJ55" s="55"/>
      <c r="BGK55" s="55"/>
      <c r="BGL55" s="55"/>
      <c r="BGM55" s="55"/>
      <c r="BGN55" s="55"/>
      <c r="BGO55" s="55"/>
      <c r="BGP55" s="55"/>
      <c r="BGQ55" s="55"/>
      <c r="BGR55" s="55"/>
      <c r="BGS55" s="55"/>
      <c r="BGT55" s="55"/>
      <c r="BGU55" s="55"/>
      <c r="BGV55" s="55"/>
      <c r="BGW55" s="55"/>
      <c r="BGX55" s="55"/>
      <c r="BGY55" s="55"/>
      <c r="BGZ55" s="55"/>
      <c r="BHA55" s="55"/>
      <c r="BHB55" s="55"/>
      <c r="BHC55" s="55"/>
      <c r="BHD55" s="55"/>
      <c r="BHE55" s="55"/>
      <c r="BHF55" s="55"/>
      <c r="BHG55" s="55"/>
      <c r="BHH55" s="55"/>
      <c r="BHI55" s="55"/>
      <c r="BHJ55" s="55"/>
      <c r="BHK55" s="55"/>
      <c r="BHL55" s="55"/>
      <c r="BHM55" s="55"/>
      <c r="BHN55" s="55"/>
      <c r="BHO55" s="55"/>
      <c r="BHP55" s="55"/>
      <c r="BHQ55" s="55"/>
      <c r="BHR55" s="55"/>
      <c r="BHS55" s="55"/>
      <c r="BHT55" s="55"/>
      <c r="BHU55" s="55"/>
      <c r="BHV55" s="55"/>
      <c r="BHW55" s="55"/>
      <c r="BHX55" s="55"/>
      <c r="BHY55" s="55"/>
      <c r="BHZ55" s="55"/>
      <c r="BIA55" s="55"/>
      <c r="BIB55" s="55"/>
      <c r="BIC55" s="55"/>
      <c r="BID55" s="55"/>
      <c r="BIE55" s="55"/>
      <c r="BIF55" s="55"/>
      <c r="BIG55" s="55"/>
      <c r="BIH55" s="55"/>
      <c r="BII55" s="55"/>
      <c r="BIJ55" s="55"/>
      <c r="BIK55" s="55"/>
      <c r="BIL55" s="55"/>
      <c r="BIM55" s="55"/>
      <c r="BIN55" s="55"/>
      <c r="BIO55" s="55"/>
      <c r="BIP55" s="55"/>
      <c r="BIQ55" s="55"/>
      <c r="BIR55" s="55"/>
      <c r="BIS55" s="55"/>
      <c r="BIT55" s="55"/>
      <c r="BIU55" s="55"/>
      <c r="BIV55" s="55"/>
      <c r="BIW55" s="55"/>
      <c r="BIX55" s="55"/>
      <c r="BIY55" s="55"/>
      <c r="BIZ55" s="55"/>
      <c r="BJA55" s="55"/>
      <c r="BJB55" s="55"/>
      <c r="BJC55" s="55"/>
      <c r="BJD55" s="55"/>
      <c r="BJE55" s="55"/>
      <c r="BJF55" s="55"/>
      <c r="BJG55" s="55"/>
      <c r="BJH55" s="55"/>
      <c r="BJI55" s="55"/>
      <c r="BJJ55" s="55"/>
      <c r="BJK55" s="55"/>
      <c r="BJL55" s="55"/>
      <c r="BJM55" s="55"/>
      <c r="BJN55" s="55"/>
      <c r="BJO55" s="55"/>
      <c r="BJP55" s="55"/>
      <c r="BJQ55" s="55"/>
      <c r="BJR55" s="55"/>
      <c r="BJS55" s="55"/>
      <c r="BJT55" s="55"/>
      <c r="BJU55" s="55"/>
      <c r="BJV55" s="55"/>
      <c r="BJW55" s="55"/>
      <c r="BJX55" s="55"/>
      <c r="BJY55" s="55"/>
      <c r="BJZ55" s="55"/>
      <c r="BKA55" s="55"/>
      <c r="BKB55" s="55"/>
      <c r="BKC55" s="55"/>
      <c r="BKD55" s="55"/>
      <c r="BKE55" s="55"/>
      <c r="BKF55" s="55"/>
      <c r="BKG55" s="55"/>
      <c r="BKH55" s="55"/>
      <c r="BKI55" s="55"/>
      <c r="BKJ55" s="55"/>
      <c r="BKK55" s="55"/>
      <c r="BKL55" s="55"/>
      <c r="BKM55" s="55"/>
      <c r="BKN55" s="55"/>
      <c r="BKO55" s="55"/>
      <c r="BKP55" s="55"/>
      <c r="BKQ55" s="55"/>
      <c r="BKR55" s="55"/>
      <c r="BKS55" s="55"/>
      <c r="BKT55" s="55"/>
      <c r="BKU55" s="55"/>
      <c r="BKV55" s="55"/>
      <c r="BKW55" s="55"/>
      <c r="BKX55" s="55"/>
      <c r="BKY55" s="55"/>
      <c r="BKZ55" s="55"/>
      <c r="BLA55" s="55"/>
      <c r="BLB55" s="55"/>
      <c r="BLC55" s="55"/>
      <c r="BLD55" s="55"/>
      <c r="BLE55" s="55"/>
      <c r="BLF55" s="55"/>
      <c r="BLG55" s="55"/>
      <c r="BLH55" s="55"/>
      <c r="BLI55" s="55"/>
      <c r="BLJ55" s="55"/>
      <c r="BLK55" s="55"/>
      <c r="BLL55" s="55"/>
      <c r="BLM55" s="55"/>
      <c r="BLN55" s="55"/>
      <c r="BLO55" s="55"/>
      <c r="BLP55" s="55"/>
      <c r="BLQ55" s="55"/>
      <c r="BLR55" s="55"/>
      <c r="BLS55" s="55"/>
      <c r="BLT55" s="55"/>
      <c r="BLU55" s="55"/>
      <c r="BLV55" s="55"/>
      <c r="BLW55" s="55"/>
      <c r="BLX55" s="55"/>
      <c r="BLY55" s="55"/>
      <c r="BLZ55" s="55"/>
      <c r="BMA55" s="55"/>
      <c r="BMB55" s="55"/>
      <c r="BMC55" s="55"/>
      <c r="BMD55" s="55"/>
      <c r="BME55" s="55"/>
      <c r="BMF55" s="55"/>
      <c r="BMG55" s="55"/>
      <c r="BMH55" s="55"/>
      <c r="BMI55" s="55"/>
      <c r="BMJ55" s="55"/>
      <c r="BMK55" s="55"/>
      <c r="BML55" s="55"/>
      <c r="BMM55" s="55"/>
      <c r="BMN55" s="55"/>
      <c r="BMO55" s="55"/>
      <c r="BMP55" s="55"/>
      <c r="BMQ55" s="55"/>
      <c r="BMR55" s="55"/>
      <c r="BMS55" s="55"/>
      <c r="BMT55" s="55"/>
      <c r="BMU55" s="55"/>
      <c r="BMV55" s="55"/>
      <c r="BMW55" s="55"/>
      <c r="BMX55" s="55"/>
      <c r="BMY55" s="55"/>
      <c r="BMZ55" s="55"/>
      <c r="BNA55" s="55"/>
      <c r="BNB55" s="55"/>
      <c r="BNC55" s="55"/>
      <c r="BND55" s="55"/>
      <c r="BNE55" s="55"/>
      <c r="BNF55" s="55"/>
      <c r="BNG55" s="55"/>
      <c r="BNH55" s="55"/>
      <c r="BNI55" s="55"/>
      <c r="BNJ55" s="55"/>
      <c r="BNK55" s="55"/>
      <c r="BNL55" s="55"/>
      <c r="BNM55" s="55"/>
      <c r="BNN55" s="55"/>
      <c r="BNO55" s="55"/>
      <c r="BNP55" s="55"/>
      <c r="BNQ55" s="55"/>
      <c r="BNR55" s="55"/>
      <c r="BNS55" s="55"/>
      <c r="BNT55" s="55"/>
      <c r="BNU55" s="55"/>
      <c r="BNV55" s="55"/>
      <c r="BNW55" s="55"/>
      <c r="BNX55" s="55"/>
      <c r="BNY55" s="55"/>
      <c r="BNZ55" s="55"/>
      <c r="BOA55" s="55"/>
      <c r="BOB55" s="55"/>
      <c r="BOC55" s="55"/>
      <c r="BOD55" s="55"/>
      <c r="BOE55" s="55"/>
      <c r="BOF55" s="55"/>
      <c r="BOG55" s="55"/>
      <c r="BOH55" s="55"/>
      <c r="BOI55" s="55"/>
      <c r="BOJ55" s="55"/>
      <c r="BOK55" s="55"/>
      <c r="BOL55" s="55"/>
      <c r="BOM55" s="55"/>
      <c r="BON55" s="55"/>
      <c r="BOO55" s="55"/>
      <c r="BOP55" s="55"/>
      <c r="BOQ55" s="55"/>
      <c r="BOR55" s="55"/>
      <c r="BOS55" s="55"/>
      <c r="BOT55" s="55"/>
      <c r="BOU55" s="55"/>
      <c r="BOV55" s="55"/>
      <c r="BOW55" s="55"/>
      <c r="BOX55" s="55"/>
      <c r="BOY55" s="55"/>
      <c r="BOZ55" s="55"/>
      <c r="BPA55" s="55"/>
      <c r="BPB55" s="55"/>
      <c r="BPC55" s="55"/>
      <c r="BPD55" s="55"/>
      <c r="BPE55" s="55"/>
      <c r="BPF55" s="55"/>
      <c r="BPG55" s="55"/>
      <c r="BPH55" s="55"/>
      <c r="BPI55" s="55"/>
      <c r="BPJ55" s="55"/>
      <c r="BPK55" s="55"/>
      <c r="BPL55" s="55"/>
      <c r="BPM55" s="55"/>
      <c r="BPN55" s="55"/>
      <c r="BPO55" s="55"/>
      <c r="BPP55" s="55"/>
      <c r="BPQ55" s="55"/>
      <c r="BPR55" s="55"/>
      <c r="BPS55" s="55"/>
      <c r="BPT55" s="55"/>
      <c r="BPU55" s="55"/>
      <c r="BPV55" s="55"/>
      <c r="BPW55" s="55"/>
      <c r="BPX55" s="55"/>
      <c r="BPY55" s="55"/>
      <c r="BPZ55" s="55"/>
      <c r="BQA55" s="55"/>
      <c r="BQB55" s="55"/>
      <c r="BQC55" s="55"/>
      <c r="BQD55" s="55"/>
      <c r="BQE55" s="55"/>
      <c r="BQF55" s="55"/>
      <c r="BQG55" s="55"/>
      <c r="BQH55" s="55"/>
      <c r="BQI55" s="55"/>
      <c r="BQJ55" s="55"/>
      <c r="BQK55" s="55"/>
      <c r="BQL55" s="55"/>
      <c r="BQM55" s="55"/>
      <c r="BQN55" s="55"/>
      <c r="BQO55" s="55"/>
      <c r="BQP55" s="55"/>
      <c r="BQQ55" s="55"/>
      <c r="BQR55" s="55"/>
      <c r="BQS55" s="55"/>
      <c r="BQT55" s="55"/>
      <c r="BQU55" s="55"/>
      <c r="BQV55" s="55"/>
      <c r="BQW55" s="55"/>
      <c r="BQX55" s="55"/>
      <c r="BQY55" s="55"/>
      <c r="BQZ55" s="55"/>
      <c r="BRA55" s="55"/>
      <c r="BRB55" s="55"/>
      <c r="BRC55" s="55"/>
      <c r="BRD55" s="55"/>
      <c r="BRE55" s="55"/>
      <c r="BRF55" s="55"/>
      <c r="BRG55" s="55"/>
      <c r="BRH55" s="55"/>
      <c r="BRI55" s="55"/>
      <c r="BRJ55" s="55"/>
      <c r="BRK55" s="55"/>
      <c r="BRL55" s="55"/>
      <c r="BRM55" s="55"/>
      <c r="BRN55" s="55"/>
      <c r="BRO55" s="55"/>
      <c r="BRP55" s="55"/>
      <c r="BRQ55" s="55"/>
      <c r="BRR55" s="55"/>
      <c r="BRS55" s="55"/>
      <c r="BRT55" s="55"/>
      <c r="BRU55" s="55"/>
      <c r="BRV55" s="55"/>
      <c r="BRW55" s="55"/>
      <c r="BRX55" s="55"/>
      <c r="BRY55" s="55"/>
      <c r="BRZ55" s="55"/>
      <c r="BSA55" s="55"/>
      <c r="BSB55" s="55"/>
      <c r="BSC55" s="55"/>
      <c r="BSD55" s="55"/>
      <c r="BSE55" s="55"/>
      <c r="BSF55" s="55"/>
      <c r="BSG55" s="55"/>
      <c r="BSH55" s="55"/>
      <c r="BSI55" s="55"/>
      <c r="BSJ55" s="55"/>
      <c r="BSK55" s="55"/>
      <c r="BSL55" s="55"/>
      <c r="BSM55" s="55"/>
      <c r="BSN55" s="55"/>
      <c r="BSO55" s="55"/>
      <c r="BSP55" s="55"/>
      <c r="BSQ55" s="55"/>
      <c r="BSR55" s="55"/>
      <c r="BSS55" s="55"/>
      <c r="BST55" s="55"/>
      <c r="BSU55" s="55"/>
      <c r="BSV55" s="55"/>
      <c r="BSW55" s="55"/>
      <c r="BSX55" s="55"/>
      <c r="BSY55" s="55"/>
      <c r="BSZ55" s="55"/>
      <c r="BTA55" s="55"/>
      <c r="BTB55" s="55"/>
      <c r="BTC55" s="55"/>
      <c r="BTD55" s="55"/>
      <c r="BTE55" s="55"/>
      <c r="BTF55" s="55"/>
      <c r="BTG55" s="55"/>
      <c r="BTH55" s="55"/>
      <c r="BTI55" s="55"/>
      <c r="BTJ55" s="55"/>
      <c r="BTK55" s="55"/>
      <c r="BTL55" s="55"/>
      <c r="BTM55" s="55"/>
      <c r="BTN55" s="55"/>
      <c r="BTO55" s="55"/>
      <c r="BTP55" s="55"/>
      <c r="BTQ55" s="55"/>
      <c r="BTR55" s="55"/>
      <c r="BTS55" s="55"/>
      <c r="BTT55" s="55"/>
      <c r="BTU55" s="55"/>
      <c r="BTV55" s="55"/>
      <c r="BTW55" s="55"/>
      <c r="BTX55" s="55"/>
      <c r="BTY55" s="55"/>
      <c r="BTZ55" s="55"/>
      <c r="BUA55" s="55"/>
      <c r="BUB55" s="55"/>
      <c r="BUC55" s="55"/>
      <c r="BUD55" s="55"/>
      <c r="BUE55" s="55"/>
      <c r="BUF55" s="55"/>
      <c r="BUG55" s="55"/>
      <c r="BUH55" s="55"/>
      <c r="BUI55" s="55"/>
      <c r="BUJ55" s="55"/>
      <c r="BUK55" s="55"/>
      <c r="BUL55" s="55"/>
      <c r="BUM55" s="55"/>
      <c r="BUN55" s="55"/>
      <c r="BUO55" s="55"/>
      <c r="BUP55" s="55"/>
      <c r="BUQ55" s="55"/>
      <c r="BUR55" s="55"/>
      <c r="BUS55" s="55"/>
      <c r="BUT55" s="55"/>
      <c r="BUU55" s="55"/>
      <c r="BUV55" s="55"/>
      <c r="BUW55" s="55"/>
      <c r="BUX55" s="55"/>
      <c r="BUY55" s="55"/>
      <c r="BUZ55" s="55"/>
      <c r="BVA55" s="55"/>
      <c r="BVB55" s="55"/>
      <c r="BVC55" s="55"/>
      <c r="BVD55" s="55"/>
      <c r="BVE55" s="55"/>
      <c r="BVF55" s="55"/>
      <c r="BVG55" s="55"/>
      <c r="BVH55" s="55"/>
      <c r="BVI55" s="55"/>
      <c r="BVJ55" s="55"/>
      <c r="BVK55" s="55"/>
      <c r="BVL55" s="55"/>
      <c r="BVM55" s="55"/>
      <c r="BVN55" s="55"/>
      <c r="BVO55" s="55"/>
      <c r="BVP55" s="55"/>
      <c r="BVQ55" s="55"/>
      <c r="BVR55" s="55"/>
      <c r="BVS55" s="55"/>
      <c r="BVT55" s="55"/>
      <c r="BVU55" s="55"/>
      <c r="BVV55" s="55"/>
      <c r="BVW55" s="55"/>
      <c r="BVX55" s="55"/>
      <c r="BVY55" s="55"/>
      <c r="BVZ55" s="55"/>
      <c r="BWA55" s="55"/>
      <c r="BWB55" s="55"/>
      <c r="BWC55" s="55"/>
      <c r="BWD55" s="55"/>
      <c r="BWE55" s="55"/>
      <c r="BWF55" s="55"/>
      <c r="BWG55" s="55"/>
      <c r="BWH55" s="55"/>
      <c r="BWI55" s="55"/>
      <c r="BWJ55" s="55"/>
      <c r="BWK55" s="55"/>
      <c r="BWL55" s="55"/>
      <c r="BWM55" s="55"/>
      <c r="BWN55" s="55"/>
      <c r="BWO55" s="55"/>
      <c r="BWP55" s="55"/>
      <c r="BWQ55" s="55"/>
      <c r="BWR55" s="55"/>
      <c r="BWS55" s="55"/>
      <c r="BWT55" s="55"/>
      <c r="BWU55" s="55"/>
      <c r="BWV55" s="55"/>
      <c r="BWW55" s="55"/>
      <c r="BWX55" s="55"/>
      <c r="BWY55" s="55"/>
      <c r="BWZ55" s="55"/>
      <c r="BXA55" s="55"/>
      <c r="BXB55" s="55"/>
      <c r="BXC55" s="55"/>
      <c r="BXD55" s="55"/>
      <c r="BXE55" s="55"/>
      <c r="BXF55" s="55"/>
      <c r="BXG55" s="55"/>
      <c r="BXH55" s="55"/>
      <c r="BXI55" s="55"/>
      <c r="BXJ55" s="55"/>
      <c r="BXK55" s="55"/>
      <c r="BXL55" s="55"/>
      <c r="BXM55" s="55"/>
      <c r="BXN55" s="55"/>
      <c r="BXO55" s="55"/>
      <c r="BXP55" s="55"/>
      <c r="BXQ55" s="55"/>
      <c r="BXR55" s="55"/>
      <c r="BXS55" s="55"/>
      <c r="BXT55" s="55"/>
      <c r="BXU55" s="55"/>
      <c r="BXV55" s="55"/>
      <c r="BXW55" s="55"/>
      <c r="BXX55" s="55"/>
      <c r="BXY55" s="55"/>
      <c r="BXZ55" s="55"/>
      <c r="BYA55" s="55"/>
      <c r="BYB55" s="55"/>
      <c r="BYC55" s="55"/>
      <c r="BYD55" s="55"/>
      <c r="BYE55" s="55"/>
      <c r="BYF55" s="55"/>
      <c r="BYG55" s="55"/>
      <c r="BYH55" s="55"/>
      <c r="BYI55" s="55"/>
      <c r="BYJ55" s="55"/>
      <c r="BYK55" s="55"/>
      <c r="BYL55" s="55"/>
      <c r="BYM55" s="55"/>
      <c r="BYN55" s="55"/>
      <c r="BYO55" s="55"/>
      <c r="BYP55" s="55"/>
      <c r="BYQ55" s="55"/>
      <c r="BYR55" s="55"/>
      <c r="BYS55" s="55"/>
      <c r="BYT55" s="55"/>
      <c r="BYU55" s="55"/>
      <c r="BYV55" s="55"/>
      <c r="BYW55" s="55"/>
      <c r="BYX55" s="55"/>
      <c r="BYY55" s="55"/>
      <c r="BYZ55" s="55"/>
      <c r="BZA55" s="55"/>
      <c r="BZB55" s="55"/>
      <c r="BZC55" s="55"/>
      <c r="BZD55" s="55"/>
      <c r="BZE55" s="55"/>
      <c r="BZF55" s="55"/>
      <c r="BZG55" s="55"/>
      <c r="BZH55" s="55"/>
      <c r="BZI55" s="55"/>
      <c r="BZJ55" s="55"/>
      <c r="BZK55" s="55"/>
      <c r="BZL55" s="55"/>
      <c r="BZM55" s="55"/>
      <c r="BZN55" s="55"/>
      <c r="BZO55" s="55"/>
      <c r="BZP55" s="55"/>
      <c r="BZQ55" s="55"/>
      <c r="BZR55" s="55"/>
      <c r="BZS55" s="55"/>
      <c r="BZT55" s="55"/>
      <c r="BZU55" s="55"/>
      <c r="BZV55" s="55"/>
      <c r="BZW55" s="55"/>
      <c r="BZX55" s="55"/>
      <c r="BZY55" s="55"/>
      <c r="BZZ55" s="55"/>
      <c r="CAA55" s="55"/>
      <c r="CAB55" s="55"/>
      <c r="CAC55" s="55"/>
      <c r="CAD55" s="55"/>
      <c r="CAE55" s="55"/>
      <c r="CAF55" s="55"/>
      <c r="CAG55" s="55"/>
      <c r="CAH55" s="55"/>
      <c r="CAI55" s="55"/>
      <c r="CAJ55" s="55"/>
      <c r="CAK55" s="55"/>
      <c r="CAL55" s="55"/>
      <c r="CAM55" s="55"/>
      <c r="CAN55" s="55"/>
      <c r="CAO55" s="55"/>
      <c r="CAP55" s="55"/>
      <c r="CAQ55" s="55"/>
      <c r="CAR55" s="55"/>
      <c r="CAS55" s="55"/>
      <c r="CAT55" s="55"/>
      <c r="CAU55" s="55"/>
      <c r="CAV55" s="55"/>
      <c r="CAW55" s="55"/>
      <c r="CAX55" s="55"/>
      <c r="CAY55" s="55"/>
      <c r="CAZ55" s="55"/>
      <c r="CBA55" s="55"/>
      <c r="CBB55" s="55"/>
      <c r="CBC55" s="55"/>
      <c r="CBD55" s="55"/>
      <c r="CBE55" s="55"/>
      <c r="CBF55" s="55"/>
      <c r="CBG55" s="55"/>
      <c r="CBH55" s="55"/>
      <c r="CBI55" s="55"/>
      <c r="CBJ55" s="55"/>
      <c r="CBK55" s="55"/>
      <c r="CBL55" s="55"/>
      <c r="CBM55" s="55"/>
      <c r="CBN55" s="55"/>
      <c r="CBO55" s="55"/>
      <c r="CBP55" s="55"/>
      <c r="CBQ55" s="55"/>
      <c r="CBR55" s="55"/>
      <c r="CBS55" s="55"/>
      <c r="CBT55" s="55"/>
      <c r="CBU55" s="55"/>
      <c r="CBV55" s="55"/>
      <c r="CBW55" s="55"/>
      <c r="CBX55" s="55"/>
      <c r="CBY55" s="55"/>
      <c r="CBZ55" s="55"/>
      <c r="CCA55" s="55"/>
      <c r="CCB55" s="55"/>
      <c r="CCC55" s="55"/>
      <c r="CCD55" s="55"/>
      <c r="CCE55" s="55"/>
      <c r="CCF55" s="55"/>
      <c r="CCG55" s="55"/>
      <c r="CCH55" s="55"/>
      <c r="CCI55" s="55"/>
      <c r="CCJ55" s="55"/>
      <c r="CCK55" s="55"/>
      <c r="CCL55" s="55"/>
      <c r="CCM55" s="55"/>
      <c r="CCN55" s="55"/>
      <c r="CCO55" s="55"/>
      <c r="CCP55" s="55"/>
      <c r="CCQ55" s="55"/>
      <c r="CCR55" s="55"/>
      <c r="CCS55" s="55"/>
      <c r="CCT55" s="55"/>
      <c r="CCU55" s="55"/>
      <c r="CCV55" s="55"/>
      <c r="CCW55" s="55"/>
      <c r="CCX55" s="55"/>
      <c r="CCY55" s="55"/>
      <c r="CCZ55" s="55"/>
      <c r="CDA55" s="55"/>
      <c r="CDB55" s="55"/>
      <c r="CDC55" s="55"/>
      <c r="CDD55" s="55"/>
      <c r="CDE55" s="55"/>
      <c r="CDF55" s="55"/>
      <c r="CDG55" s="55"/>
      <c r="CDH55" s="55"/>
      <c r="CDI55" s="55"/>
      <c r="CDJ55" s="55"/>
      <c r="CDK55" s="55"/>
      <c r="CDL55" s="55"/>
      <c r="CDM55" s="55"/>
      <c r="CDN55" s="55"/>
      <c r="CDO55" s="55"/>
      <c r="CDP55" s="55"/>
      <c r="CDQ55" s="55"/>
      <c r="CDR55" s="55"/>
      <c r="CDS55" s="55"/>
      <c r="CDT55" s="55"/>
      <c r="CDU55" s="55"/>
      <c r="CDV55" s="55"/>
      <c r="CDW55" s="55"/>
      <c r="CDX55" s="55"/>
      <c r="CDY55" s="55"/>
      <c r="CDZ55" s="55"/>
      <c r="CEA55" s="55"/>
      <c r="CEB55" s="55"/>
      <c r="CEC55" s="55"/>
      <c r="CED55" s="55"/>
      <c r="CEE55" s="55"/>
      <c r="CEF55" s="55"/>
      <c r="CEG55" s="55"/>
      <c r="CEH55" s="55"/>
      <c r="CEI55" s="55"/>
      <c r="CEJ55" s="55"/>
      <c r="CEK55" s="55"/>
      <c r="CEL55" s="55"/>
      <c r="CEM55" s="55"/>
      <c r="CEN55" s="55"/>
      <c r="CEO55" s="55"/>
      <c r="CEP55" s="55"/>
      <c r="CEQ55" s="55"/>
      <c r="CER55" s="55"/>
      <c r="CES55" s="55"/>
      <c r="CET55" s="55"/>
      <c r="CEU55" s="55"/>
      <c r="CEV55" s="55"/>
      <c r="CEW55" s="55"/>
      <c r="CEX55" s="55"/>
      <c r="CEY55" s="55"/>
      <c r="CEZ55" s="55"/>
      <c r="CFA55" s="55"/>
      <c r="CFB55" s="55"/>
      <c r="CFC55" s="55"/>
      <c r="CFD55" s="55"/>
      <c r="CFE55" s="55"/>
      <c r="CFF55" s="55"/>
      <c r="CFG55" s="55"/>
      <c r="CFH55" s="55"/>
      <c r="CFI55" s="55"/>
      <c r="CFJ55" s="55"/>
      <c r="CFK55" s="55"/>
      <c r="CFL55" s="55"/>
      <c r="CFM55" s="55"/>
      <c r="CFN55" s="55"/>
      <c r="CFO55" s="55"/>
      <c r="CFP55" s="55"/>
      <c r="CFQ55" s="55"/>
      <c r="CFR55" s="55"/>
      <c r="CFS55" s="55"/>
      <c r="CFT55" s="55"/>
      <c r="CFU55" s="55"/>
      <c r="CFV55" s="55"/>
      <c r="CFW55" s="55"/>
      <c r="CFX55" s="55"/>
      <c r="CFY55" s="55"/>
      <c r="CFZ55" s="55"/>
      <c r="CGA55" s="55"/>
      <c r="CGB55" s="55"/>
      <c r="CGC55" s="55"/>
      <c r="CGD55" s="55"/>
      <c r="CGE55" s="55"/>
      <c r="CGF55" s="55"/>
      <c r="CGG55" s="55"/>
      <c r="CGH55" s="55"/>
      <c r="CGI55" s="55"/>
      <c r="CGJ55" s="55"/>
      <c r="CGK55" s="55"/>
      <c r="CGL55" s="55"/>
      <c r="CGM55" s="55"/>
      <c r="CGN55" s="55"/>
      <c r="CGO55" s="55"/>
      <c r="CGP55" s="55"/>
      <c r="CGQ55" s="55"/>
      <c r="CGR55" s="55"/>
      <c r="CGS55" s="55"/>
      <c r="CGT55" s="55"/>
      <c r="CGU55" s="55"/>
      <c r="CGV55" s="55"/>
      <c r="CGW55" s="55"/>
      <c r="CGX55" s="55"/>
      <c r="CGY55" s="55"/>
      <c r="CGZ55" s="55"/>
      <c r="CHA55" s="55"/>
      <c r="CHB55" s="55"/>
      <c r="CHC55" s="55"/>
      <c r="CHD55" s="55"/>
      <c r="CHE55" s="55"/>
      <c r="CHF55" s="55"/>
      <c r="CHG55" s="55"/>
      <c r="CHH55" s="55"/>
      <c r="CHI55" s="55"/>
      <c r="CHJ55" s="55"/>
      <c r="CHK55" s="55"/>
      <c r="CHL55" s="55"/>
      <c r="CHM55" s="55"/>
      <c r="CHN55" s="55"/>
      <c r="CHO55" s="55"/>
      <c r="CHP55" s="55"/>
      <c r="CHQ55" s="55"/>
      <c r="CHR55" s="55"/>
      <c r="CHS55" s="55"/>
      <c r="CHT55" s="55"/>
      <c r="CHU55" s="55"/>
      <c r="CHV55" s="55"/>
      <c r="CHW55" s="55"/>
      <c r="CHX55" s="55"/>
      <c r="CHY55" s="55"/>
      <c r="CHZ55" s="55"/>
      <c r="CIA55" s="55"/>
      <c r="CIB55" s="55"/>
      <c r="CIC55" s="55"/>
      <c r="CID55" s="55"/>
      <c r="CIE55" s="55"/>
      <c r="CIF55" s="55"/>
      <c r="CIG55" s="55"/>
      <c r="CIH55" s="55"/>
      <c r="CII55" s="55"/>
      <c r="CIJ55" s="55"/>
      <c r="CIK55" s="55"/>
      <c r="CIL55" s="55"/>
      <c r="CIM55" s="55"/>
      <c r="CIN55" s="55"/>
      <c r="CIO55" s="55"/>
      <c r="CIP55" s="55"/>
      <c r="CIQ55" s="55"/>
      <c r="CIR55" s="55"/>
      <c r="CIS55" s="55"/>
      <c r="CIT55" s="55"/>
      <c r="CIU55" s="55"/>
      <c r="CIV55" s="55"/>
      <c r="CIW55" s="55"/>
      <c r="CIX55" s="55"/>
      <c r="CIY55" s="55"/>
      <c r="CIZ55" s="55"/>
      <c r="CJA55" s="55"/>
      <c r="CJB55" s="55"/>
      <c r="CJC55" s="55"/>
      <c r="CJD55" s="55"/>
      <c r="CJE55" s="55"/>
      <c r="CJF55" s="55"/>
      <c r="CJG55" s="55"/>
      <c r="CJH55" s="55"/>
      <c r="CJI55" s="55"/>
      <c r="CJJ55" s="55"/>
      <c r="CJK55" s="55"/>
      <c r="CJL55" s="55"/>
      <c r="CJM55" s="55"/>
      <c r="CJN55" s="55"/>
      <c r="CJO55" s="55"/>
      <c r="CJP55" s="55"/>
      <c r="CJQ55" s="55"/>
      <c r="CJR55" s="55"/>
      <c r="CJS55" s="55"/>
      <c r="CJT55" s="55"/>
      <c r="CJU55" s="55"/>
      <c r="CJV55" s="55"/>
      <c r="CJW55" s="55"/>
      <c r="CJX55" s="55"/>
      <c r="CJY55" s="55"/>
      <c r="CJZ55" s="55"/>
      <c r="CKA55" s="55"/>
      <c r="CKB55" s="55"/>
      <c r="CKC55" s="55"/>
      <c r="CKD55" s="55"/>
      <c r="CKE55" s="55"/>
      <c r="CKF55" s="55"/>
      <c r="CKG55" s="55"/>
      <c r="CKH55" s="55"/>
      <c r="CKI55" s="55"/>
      <c r="CKJ55" s="55"/>
      <c r="CKK55" s="55"/>
      <c r="CKL55" s="55"/>
      <c r="CKM55" s="55"/>
      <c r="CKN55" s="55"/>
      <c r="CKO55" s="55"/>
      <c r="CKP55" s="55"/>
      <c r="CKQ55" s="55"/>
      <c r="CKR55" s="55"/>
      <c r="CKS55" s="55"/>
      <c r="CKT55" s="55"/>
      <c r="CKU55" s="55"/>
      <c r="CKV55" s="55"/>
      <c r="CKW55" s="55"/>
      <c r="CKX55" s="55"/>
      <c r="CKY55" s="55"/>
      <c r="CKZ55" s="55"/>
      <c r="CLA55" s="55"/>
      <c r="CLB55" s="55"/>
      <c r="CLC55" s="55"/>
      <c r="CLD55" s="55"/>
      <c r="CLE55" s="55"/>
      <c r="CLF55" s="55"/>
      <c r="CLG55" s="55"/>
      <c r="CLH55" s="55"/>
      <c r="CLI55" s="55"/>
      <c r="CLJ55" s="55"/>
      <c r="CLK55" s="55"/>
      <c r="CLL55" s="55"/>
      <c r="CLM55" s="55"/>
      <c r="CLN55" s="55"/>
      <c r="CLO55" s="55"/>
      <c r="CLP55" s="55"/>
      <c r="CLQ55" s="55"/>
      <c r="CLR55" s="55"/>
      <c r="CLS55" s="55"/>
      <c r="CLT55" s="55"/>
      <c r="CLU55" s="55"/>
      <c r="CLV55" s="55"/>
      <c r="CLW55" s="55"/>
      <c r="CLX55" s="55"/>
      <c r="CLY55" s="55"/>
      <c r="CLZ55" s="55"/>
      <c r="CMA55" s="55"/>
      <c r="CMB55" s="55"/>
      <c r="CMC55" s="55"/>
      <c r="CMD55" s="55"/>
      <c r="CME55" s="55"/>
      <c r="CMF55" s="55"/>
      <c r="CMG55" s="55"/>
      <c r="CMH55" s="55"/>
      <c r="CMI55" s="55"/>
      <c r="CMJ55" s="55"/>
      <c r="CMK55" s="55"/>
      <c r="CML55" s="55"/>
      <c r="CMM55" s="55"/>
      <c r="CMN55" s="55"/>
      <c r="CMO55" s="55"/>
      <c r="CMP55" s="55"/>
      <c r="CMQ55" s="55"/>
      <c r="CMR55" s="55"/>
      <c r="CMS55" s="55"/>
      <c r="CMT55" s="55"/>
      <c r="CMU55" s="55"/>
      <c r="CMV55" s="55"/>
      <c r="CMW55" s="55"/>
      <c r="CMX55" s="55"/>
      <c r="CMY55" s="55"/>
      <c r="CMZ55" s="55"/>
      <c r="CNA55" s="55"/>
      <c r="CNB55" s="55"/>
      <c r="CNC55" s="55"/>
      <c r="CND55" s="55"/>
      <c r="CNE55" s="55"/>
      <c r="CNF55" s="55"/>
      <c r="CNG55" s="55"/>
      <c r="CNH55" s="55"/>
      <c r="CNI55" s="55"/>
      <c r="CNJ55" s="55"/>
      <c r="CNK55" s="55"/>
      <c r="CNL55" s="55"/>
      <c r="CNM55" s="55"/>
      <c r="CNN55" s="55"/>
      <c r="CNO55" s="55"/>
      <c r="CNP55" s="55"/>
      <c r="CNQ55" s="55"/>
      <c r="CNR55" s="55"/>
      <c r="CNS55" s="55"/>
      <c r="CNT55" s="55"/>
      <c r="CNU55" s="55"/>
      <c r="CNV55" s="55"/>
      <c r="CNW55" s="55"/>
      <c r="CNX55" s="55"/>
      <c r="CNY55" s="55"/>
      <c r="CNZ55" s="55"/>
      <c r="COA55" s="55"/>
      <c r="COB55" s="55"/>
      <c r="COC55" s="55"/>
      <c r="COD55" s="55"/>
      <c r="COE55" s="55"/>
      <c r="COF55" s="55"/>
      <c r="COG55" s="55"/>
      <c r="COH55" s="55"/>
      <c r="COI55" s="55"/>
      <c r="COJ55" s="55"/>
      <c r="COK55" s="55"/>
      <c r="COL55" s="55"/>
      <c r="COM55" s="55"/>
      <c r="CON55" s="55"/>
      <c r="COO55" s="55"/>
      <c r="COP55" s="55"/>
      <c r="COQ55" s="55"/>
      <c r="COR55" s="55"/>
      <c r="COS55" s="55"/>
      <c r="COT55" s="55"/>
      <c r="COU55" s="55"/>
      <c r="COV55" s="55"/>
      <c r="COW55" s="55"/>
      <c r="COX55" s="55"/>
      <c r="COY55" s="55"/>
      <c r="COZ55" s="55"/>
      <c r="CPA55" s="55"/>
      <c r="CPB55" s="55"/>
      <c r="CPC55" s="55"/>
      <c r="CPD55" s="55"/>
      <c r="CPE55" s="55"/>
      <c r="CPF55" s="55"/>
      <c r="CPG55" s="55"/>
      <c r="CPH55" s="55"/>
      <c r="CPI55" s="55"/>
      <c r="CPJ55" s="55"/>
      <c r="CPK55" s="55"/>
      <c r="CPL55" s="55"/>
      <c r="CPM55" s="55"/>
      <c r="CPN55" s="55"/>
      <c r="CPO55" s="55"/>
      <c r="CPP55" s="55"/>
      <c r="CPQ55" s="55"/>
      <c r="CPR55" s="55"/>
      <c r="CPS55" s="55"/>
      <c r="CPT55" s="55"/>
      <c r="CPU55" s="55"/>
      <c r="CPV55" s="55"/>
      <c r="CPW55" s="55"/>
      <c r="CPX55" s="55"/>
      <c r="CPY55" s="55"/>
      <c r="CPZ55" s="55"/>
      <c r="CQA55" s="55"/>
      <c r="CQB55" s="55"/>
      <c r="CQC55" s="55"/>
      <c r="CQD55" s="55"/>
      <c r="CQE55" s="55"/>
      <c r="CQF55" s="55"/>
      <c r="CQG55" s="55"/>
      <c r="CQH55" s="55"/>
      <c r="CQI55" s="55"/>
      <c r="CQJ55" s="55"/>
      <c r="CQK55" s="55"/>
      <c r="CQL55" s="55"/>
      <c r="CQM55" s="55"/>
      <c r="CQN55" s="55"/>
      <c r="CQO55" s="55"/>
      <c r="CQP55" s="55"/>
      <c r="CQQ55" s="55"/>
      <c r="CQR55" s="55"/>
      <c r="CQS55" s="55"/>
      <c r="CQT55" s="55"/>
      <c r="CQU55" s="55"/>
      <c r="CQV55" s="55"/>
      <c r="CQW55" s="55"/>
      <c r="CQX55" s="55"/>
      <c r="CQY55" s="55"/>
      <c r="CQZ55" s="55"/>
      <c r="CRA55" s="55"/>
      <c r="CRB55" s="55"/>
      <c r="CRC55" s="55"/>
      <c r="CRD55" s="55"/>
      <c r="CRE55" s="55"/>
      <c r="CRF55" s="55"/>
      <c r="CRG55" s="55"/>
      <c r="CRH55" s="55"/>
      <c r="CRI55" s="55"/>
      <c r="CRJ55" s="55"/>
      <c r="CRK55" s="55"/>
      <c r="CRL55" s="55"/>
      <c r="CRM55" s="55"/>
      <c r="CRN55" s="55"/>
      <c r="CRO55" s="55"/>
      <c r="CRP55" s="55"/>
      <c r="CRQ55" s="55"/>
      <c r="CRR55" s="55"/>
      <c r="CRS55" s="55"/>
      <c r="CRT55" s="55"/>
      <c r="CRU55" s="55"/>
      <c r="CRV55" s="55"/>
      <c r="CRW55" s="55"/>
      <c r="CRX55" s="55"/>
      <c r="CRY55" s="55"/>
      <c r="CRZ55" s="55"/>
      <c r="CSA55" s="55"/>
      <c r="CSB55" s="55"/>
      <c r="CSC55" s="55"/>
      <c r="CSD55" s="55"/>
      <c r="CSE55" s="55"/>
      <c r="CSF55" s="55"/>
      <c r="CSG55" s="55"/>
      <c r="CSH55" s="55"/>
      <c r="CSI55" s="55"/>
      <c r="CSJ55" s="55"/>
      <c r="CSK55" s="55"/>
      <c r="CSL55" s="55"/>
      <c r="CSM55" s="55"/>
      <c r="CSN55" s="55"/>
      <c r="CSO55" s="55"/>
      <c r="CSP55" s="55"/>
      <c r="CSQ55" s="55"/>
      <c r="CSR55" s="55"/>
      <c r="CSS55" s="55"/>
      <c r="CST55" s="55"/>
      <c r="CSU55" s="55"/>
      <c r="CSV55" s="55"/>
      <c r="CSW55" s="55"/>
      <c r="CSX55" s="55"/>
      <c r="CSY55" s="55"/>
      <c r="CSZ55" s="55"/>
      <c r="CTA55" s="55"/>
      <c r="CTB55" s="55"/>
      <c r="CTC55" s="55"/>
      <c r="CTD55" s="55"/>
      <c r="CTE55" s="55"/>
      <c r="CTF55" s="55"/>
      <c r="CTG55" s="55"/>
      <c r="CTH55" s="55"/>
      <c r="CTI55" s="55"/>
      <c r="CTJ55" s="55"/>
      <c r="CTK55" s="55"/>
      <c r="CTL55" s="55"/>
      <c r="CTM55" s="55"/>
      <c r="CTN55" s="55"/>
      <c r="CTO55" s="55"/>
      <c r="CTP55" s="55"/>
      <c r="CTQ55" s="55"/>
      <c r="CTR55" s="55"/>
      <c r="CTS55" s="55"/>
      <c r="CTT55" s="55"/>
      <c r="CTU55" s="55"/>
      <c r="CTV55" s="55"/>
      <c r="CTW55" s="55"/>
      <c r="CTX55" s="55"/>
      <c r="CTY55" s="55"/>
      <c r="CTZ55" s="55"/>
      <c r="CUA55" s="55"/>
      <c r="CUB55" s="55"/>
      <c r="CUC55" s="55"/>
      <c r="CUD55" s="55"/>
      <c r="CUE55" s="55"/>
      <c r="CUF55" s="55"/>
      <c r="CUG55" s="55"/>
      <c r="CUH55" s="55"/>
      <c r="CUI55" s="55"/>
      <c r="CUJ55" s="55"/>
      <c r="CUK55" s="55"/>
      <c r="CUL55" s="55"/>
      <c r="CUM55" s="55"/>
      <c r="CUN55" s="55"/>
      <c r="CUO55" s="55"/>
      <c r="CUP55" s="55"/>
      <c r="CUQ55" s="55"/>
      <c r="CUR55" s="55"/>
      <c r="CUS55" s="55"/>
      <c r="CUT55" s="55"/>
      <c r="CUU55" s="55"/>
      <c r="CUV55" s="55"/>
      <c r="CUW55" s="55"/>
      <c r="CUX55" s="55"/>
      <c r="CUY55" s="55"/>
      <c r="CUZ55" s="55"/>
      <c r="CVA55" s="55"/>
      <c r="CVB55" s="55"/>
      <c r="CVC55" s="55"/>
      <c r="CVD55" s="55"/>
      <c r="CVE55" s="55"/>
      <c r="CVF55" s="55"/>
      <c r="CVG55" s="55"/>
      <c r="CVH55" s="55"/>
      <c r="CVI55" s="55"/>
      <c r="CVJ55" s="55"/>
      <c r="CVK55" s="55"/>
      <c r="CVL55" s="55"/>
      <c r="CVM55" s="55"/>
      <c r="CVN55" s="55"/>
      <c r="CVO55" s="55"/>
      <c r="CVP55" s="55"/>
      <c r="CVQ55" s="55"/>
      <c r="CVR55" s="55"/>
      <c r="CVS55" s="55"/>
      <c r="CVT55" s="55"/>
      <c r="CVU55" s="55"/>
      <c r="CVV55" s="55"/>
      <c r="CVW55" s="55"/>
      <c r="CVX55" s="55"/>
      <c r="CVY55" s="55"/>
      <c r="CVZ55" s="55"/>
      <c r="CWA55" s="55"/>
      <c r="CWB55" s="55"/>
      <c r="CWC55" s="55"/>
      <c r="CWD55" s="55"/>
      <c r="CWE55" s="55"/>
      <c r="CWF55" s="55"/>
      <c r="CWG55" s="55"/>
      <c r="CWH55" s="55"/>
      <c r="CWI55" s="55"/>
      <c r="CWJ55" s="55"/>
      <c r="CWK55" s="55"/>
      <c r="CWL55" s="55"/>
      <c r="CWM55" s="55"/>
      <c r="CWN55" s="55"/>
      <c r="CWO55" s="55"/>
      <c r="CWP55" s="55"/>
      <c r="CWQ55" s="55"/>
      <c r="CWR55" s="55"/>
      <c r="CWS55" s="55"/>
      <c r="CWT55" s="55"/>
      <c r="CWU55" s="55"/>
      <c r="CWV55" s="55"/>
      <c r="CWW55" s="55"/>
      <c r="CWX55" s="55"/>
      <c r="CWY55" s="55"/>
      <c r="CWZ55" s="55"/>
      <c r="CXA55" s="55"/>
      <c r="CXB55" s="55"/>
      <c r="CXC55" s="55"/>
      <c r="CXD55" s="55"/>
      <c r="CXE55" s="55"/>
      <c r="CXF55" s="55"/>
      <c r="CXG55" s="55"/>
      <c r="CXH55" s="55"/>
      <c r="CXI55" s="55"/>
      <c r="CXJ55" s="55"/>
      <c r="CXK55" s="55"/>
      <c r="CXL55" s="55"/>
      <c r="CXM55" s="55"/>
      <c r="CXN55" s="55"/>
      <c r="CXO55" s="55"/>
      <c r="CXP55" s="55"/>
      <c r="CXQ55" s="55"/>
      <c r="CXR55" s="55"/>
      <c r="CXS55" s="55"/>
      <c r="CXT55" s="55"/>
      <c r="CXU55" s="55"/>
      <c r="CXV55" s="55"/>
      <c r="CXW55" s="55"/>
      <c r="CXX55" s="55"/>
      <c r="CXY55" s="55"/>
      <c r="CXZ55" s="55"/>
      <c r="CYA55" s="55"/>
      <c r="CYB55" s="55"/>
      <c r="CYC55" s="55"/>
      <c r="CYD55" s="55"/>
      <c r="CYE55" s="55"/>
      <c r="CYF55" s="55"/>
      <c r="CYG55" s="55"/>
      <c r="CYH55" s="55"/>
      <c r="CYI55" s="55"/>
      <c r="CYJ55" s="55"/>
      <c r="CYK55" s="55"/>
      <c r="CYL55" s="55"/>
      <c r="CYM55" s="55"/>
      <c r="CYN55" s="55"/>
      <c r="CYO55" s="55"/>
      <c r="CYP55" s="55"/>
      <c r="CYQ55" s="55"/>
      <c r="CYR55" s="55"/>
      <c r="CYS55" s="55"/>
      <c r="CYT55" s="55"/>
      <c r="CYU55" s="55"/>
      <c r="CYV55" s="55"/>
      <c r="CYW55" s="55"/>
      <c r="CYX55" s="55"/>
      <c r="CYY55" s="55"/>
      <c r="CYZ55" s="55"/>
      <c r="CZA55" s="55"/>
      <c r="CZB55" s="55"/>
      <c r="CZC55" s="55"/>
      <c r="CZD55" s="55"/>
      <c r="CZE55" s="55"/>
      <c r="CZF55" s="55"/>
      <c r="CZG55" s="55"/>
      <c r="CZH55" s="55"/>
      <c r="CZI55" s="55"/>
      <c r="CZJ55" s="55"/>
      <c r="CZK55" s="55"/>
      <c r="CZL55" s="55"/>
      <c r="CZM55" s="55"/>
      <c r="CZN55" s="55"/>
      <c r="CZO55" s="55"/>
      <c r="CZP55" s="55"/>
      <c r="CZQ55" s="55"/>
      <c r="CZR55" s="55"/>
      <c r="CZS55" s="55"/>
      <c r="CZT55" s="55"/>
      <c r="CZU55" s="55"/>
      <c r="CZV55" s="55"/>
      <c r="CZW55" s="55"/>
      <c r="CZX55" s="55"/>
      <c r="CZY55" s="55"/>
      <c r="CZZ55" s="55"/>
      <c r="DAA55" s="55"/>
      <c r="DAB55" s="55"/>
      <c r="DAC55" s="55"/>
      <c r="DAD55" s="55"/>
      <c r="DAE55" s="55"/>
      <c r="DAF55" s="55"/>
      <c r="DAG55" s="55"/>
      <c r="DAH55" s="55"/>
      <c r="DAI55" s="55"/>
      <c r="DAJ55" s="55"/>
      <c r="DAK55" s="55"/>
      <c r="DAL55" s="55"/>
      <c r="DAM55" s="55"/>
      <c r="DAN55" s="55"/>
      <c r="DAO55" s="55"/>
      <c r="DAP55" s="55"/>
      <c r="DAQ55" s="55"/>
      <c r="DAR55" s="55"/>
      <c r="DAS55" s="55"/>
      <c r="DAT55" s="55"/>
      <c r="DAU55" s="55"/>
      <c r="DAV55" s="55"/>
      <c r="DAW55" s="55"/>
      <c r="DAX55" s="55"/>
      <c r="DAY55" s="55"/>
      <c r="DAZ55" s="55"/>
      <c r="DBA55" s="55"/>
      <c r="DBB55" s="55"/>
      <c r="DBC55" s="55"/>
      <c r="DBD55" s="55"/>
      <c r="DBE55" s="55"/>
      <c r="DBF55" s="55"/>
      <c r="DBG55" s="55"/>
      <c r="DBH55" s="55"/>
      <c r="DBI55" s="55"/>
      <c r="DBJ55" s="55"/>
      <c r="DBK55" s="55"/>
      <c r="DBL55" s="55"/>
      <c r="DBM55" s="55"/>
      <c r="DBN55" s="55"/>
      <c r="DBO55" s="55"/>
      <c r="DBP55" s="55"/>
      <c r="DBQ55" s="55"/>
      <c r="DBR55" s="55"/>
      <c r="DBS55" s="55"/>
      <c r="DBT55" s="55"/>
      <c r="DBU55" s="55"/>
      <c r="DBV55" s="55"/>
      <c r="DBW55" s="55"/>
      <c r="DBX55" s="55"/>
      <c r="DBY55" s="55"/>
      <c r="DBZ55" s="55"/>
      <c r="DCA55" s="55"/>
      <c r="DCB55" s="55"/>
      <c r="DCC55" s="55"/>
      <c r="DCD55" s="55"/>
      <c r="DCE55" s="55"/>
      <c r="DCF55" s="55"/>
      <c r="DCG55" s="55"/>
      <c r="DCH55" s="55"/>
      <c r="DCI55" s="55"/>
      <c r="DCJ55" s="55"/>
      <c r="DCK55" s="55"/>
      <c r="DCL55" s="55"/>
      <c r="DCM55" s="55"/>
      <c r="DCN55" s="55"/>
      <c r="DCO55" s="55"/>
      <c r="DCP55" s="55"/>
      <c r="DCQ55" s="55"/>
      <c r="DCR55" s="55"/>
      <c r="DCS55" s="55"/>
      <c r="DCT55" s="55"/>
      <c r="DCU55" s="55"/>
      <c r="DCV55" s="55"/>
      <c r="DCW55" s="55"/>
      <c r="DCX55" s="55"/>
      <c r="DCY55" s="55"/>
      <c r="DCZ55" s="55"/>
      <c r="DDA55" s="55"/>
      <c r="DDB55" s="55"/>
      <c r="DDC55" s="55"/>
      <c r="DDD55" s="55"/>
      <c r="DDE55" s="55"/>
      <c r="DDF55" s="55"/>
      <c r="DDG55" s="55"/>
      <c r="DDH55" s="55"/>
      <c r="DDI55" s="55"/>
      <c r="DDJ55" s="55"/>
      <c r="DDK55" s="55"/>
      <c r="DDL55" s="55"/>
      <c r="DDM55" s="55"/>
      <c r="DDN55" s="55"/>
      <c r="DDO55" s="55"/>
      <c r="DDP55" s="55"/>
      <c r="DDQ55" s="55"/>
      <c r="DDR55" s="55"/>
      <c r="DDS55" s="55"/>
      <c r="DDT55" s="55"/>
      <c r="DDU55" s="55"/>
      <c r="DDV55" s="55"/>
      <c r="DDW55" s="55"/>
      <c r="DDX55" s="55"/>
      <c r="DDY55" s="55"/>
      <c r="DDZ55" s="55"/>
      <c r="DEA55" s="55"/>
      <c r="DEB55" s="55"/>
      <c r="DEC55" s="55"/>
      <c r="DED55" s="55"/>
      <c r="DEE55" s="55"/>
      <c r="DEF55" s="55"/>
      <c r="DEG55" s="55"/>
      <c r="DEH55" s="55"/>
      <c r="DEI55" s="55"/>
      <c r="DEJ55" s="55"/>
      <c r="DEK55" s="55"/>
      <c r="DEL55" s="55"/>
      <c r="DEM55" s="55"/>
      <c r="DEN55" s="55"/>
      <c r="DEO55" s="55"/>
      <c r="DEP55" s="55"/>
      <c r="DEQ55" s="55"/>
      <c r="DER55" s="55"/>
      <c r="DES55" s="55"/>
      <c r="DET55" s="55"/>
      <c r="DEU55" s="55"/>
      <c r="DEV55" s="55"/>
      <c r="DEW55" s="55"/>
      <c r="DEX55" s="55"/>
      <c r="DEY55" s="55"/>
      <c r="DEZ55" s="55"/>
      <c r="DFA55" s="55"/>
      <c r="DFB55" s="55"/>
      <c r="DFC55" s="55"/>
      <c r="DFD55" s="55"/>
      <c r="DFE55" s="55"/>
      <c r="DFF55" s="55"/>
      <c r="DFG55" s="55"/>
      <c r="DFH55" s="55"/>
      <c r="DFI55" s="55"/>
      <c r="DFJ55" s="55"/>
      <c r="DFK55" s="55"/>
      <c r="DFL55" s="55"/>
      <c r="DFM55" s="55"/>
      <c r="DFN55" s="55"/>
      <c r="DFO55" s="55"/>
      <c r="DFP55" s="55"/>
      <c r="DFQ55" s="55"/>
      <c r="DFR55" s="55"/>
      <c r="DFS55" s="55"/>
      <c r="DFT55" s="55"/>
      <c r="DFU55" s="55"/>
      <c r="DFV55" s="55"/>
      <c r="DFW55" s="55"/>
      <c r="DFX55" s="55"/>
      <c r="DFY55" s="55"/>
      <c r="DFZ55" s="55"/>
      <c r="DGA55" s="55"/>
      <c r="DGB55" s="55"/>
      <c r="DGC55" s="55"/>
      <c r="DGD55" s="55"/>
      <c r="DGE55" s="55"/>
      <c r="DGF55" s="55"/>
      <c r="DGG55" s="55"/>
      <c r="DGH55" s="55"/>
      <c r="DGI55" s="55"/>
      <c r="DGJ55" s="55"/>
      <c r="DGK55" s="55"/>
      <c r="DGL55" s="55"/>
      <c r="DGM55" s="55"/>
      <c r="DGN55" s="55"/>
      <c r="DGO55" s="55"/>
      <c r="DGP55" s="55"/>
      <c r="DGQ55" s="55"/>
      <c r="DGR55" s="55"/>
      <c r="DGS55" s="55"/>
      <c r="DGT55" s="55"/>
      <c r="DGU55" s="55"/>
      <c r="DGV55" s="55"/>
      <c r="DGW55" s="55"/>
      <c r="DGX55" s="55"/>
      <c r="DGY55" s="55"/>
      <c r="DGZ55" s="55"/>
      <c r="DHA55" s="55"/>
      <c r="DHB55" s="55"/>
      <c r="DHC55" s="55"/>
      <c r="DHD55" s="55"/>
      <c r="DHE55" s="55"/>
      <c r="DHF55" s="55"/>
      <c r="DHG55" s="55"/>
      <c r="DHH55" s="55"/>
      <c r="DHI55" s="55"/>
      <c r="DHJ55" s="55"/>
      <c r="DHK55" s="55"/>
      <c r="DHL55" s="55"/>
      <c r="DHM55" s="55"/>
      <c r="DHN55" s="55"/>
      <c r="DHO55" s="55"/>
      <c r="DHP55" s="55"/>
      <c r="DHQ55" s="55"/>
      <c r="DHR55" s="55"/>
      <c r="DHS55" s="55"/>
      <c r="DHT55" s="55"/>
      <c r="DHU55" s="55"/>
      <c r="DHV55" s="55"/>
      <c r="DHW55" s="55"/>
      <c r="DHX55" s="55"/>
      <c r="DHY55" s="55"/>
      <c r="DHZ55" s="55"/>
      <c r="DIA55" s="55"/>
      <c r="DIB55" s="55"/>
      <c r="DIC55" s="55"/>
      <c r="DID55" s="55"/>
      <c r="DIE55" s="55"/>
      <c r="DIF55" s="55"/>
      <c r="DIG55" s="55"/>
      <c r="DIH55" s="55"/>
      <c r="DII55" s="55"/>
      <c r="DIJ55" s="55"/>
      <c r="DIK55" s="55"/>
      <c r="DIL55" s="55"/>
      <c r="DIM55" s="55"/>
      <c r="DIN55" s="55"/>
      <c r="DIO55" s="55"/>
      <c r="DIP55" s="55"/>
      <c r="DIQ55" s="55"/>
      <c r="DIR55" s="55"/>
      <c r="DIS55" s="55"/>
      <c r="DIT55" s="55"/>
      <c r="DIU55" s="55"/>
      <c r="DIV55" s="55"/>
      <c r="DIW55" s="55"/>
      <c r="DIX55" s="55"/>
      <c r="DIY55" s="55"/>
      <c r="DIZ55" s="55"/>
      <c r="DJA55" s="55"/>
      <c r="DJB55" s="55"/>
      <c r="DJC55" s="55"/>
      <c r="DJD55" s="55"/>
      <c r="DJE55" s="55"/>
      <c r="DJF55" s="55"/>
      <c r="DJG55" s="55"/>
      <c r="DJH55" s="55"/>
      <c r="DJI55" s="55"/>
      <c r="DJJ55" s="55"/>
      <c r="DJK55" s="55"/>
      <c r="DJL55" s="55"/>
      <c r="DJM55" s="55"/>
      <c r="DJN55" s="55"/>
      <c r="DJO55" s="55"/>
      <c r="DJP55" s="55"/>
      <c r="DJQ55" s="55"/>
      <c r="DJR55" s="55"/>
      <c r="DJS55" s="55"/>
      <c r="DJT55" s="55"/>
      <c r="DJU55" s="55"/>
      <c r="DJV55" s="55"/>
      <c r="DJW55" s="55"/>
      <c r="DJX55" s="55"/>
      <c r="DJY55" s="55"/>
      <c r="DJZ55" s="55"/>
      <c r="DKA55" s="55"/>
      <c r="DKB55" s="55"/>
      <c r="DKC55" s="55"/>
      <c r="DKD55" s="55"/>
      <c r="DKE55" s="55"/>
      <c r="DKF55" s="55"/>
      <c r="DKG55" s="55"/>
      <c r="DKH55" s="55"/>
      <c r="DKI55" s="55"/>
      <c r="DKJ55" s="55"/>
      <c r="DKK55" s="55"/>
      <c r="DKL55" s="55"/>
      <c r="DKM55" s="55"/>
      <c r="DKN55" s="55"/>
      <c r="DKO55" s="55"/>
      <c r="DKP55" s="55"/>
      <c r="DKQ55" s="55"/>
      <c r="DKR55" s="55"/>
      <c r="DKS55" s="55"/>
      <c r="DKT55" s="55"/>
      <c r="DKU55" s="55"/>
      <c r="DKV55" s="55"/>
      <c r="DKW55" s="55"/>
      <c r="DKX55" s="55"/>
      <c r="DKY55" s="55"/>
      <c r="DKZ55" s="55"/>
      <c r="DLA55" s="55"/>
      <c r="DLB55" s="55"/>
      <c r="DLC55" s="55"/>
      <c r="DLD55" s="55"/>
      <c r="DLE55" s="55"/>
      <c r="DLF55" s="55"/>
      <c r="DLG55" s="55"/>
      <c r="DLH55" s="55"/>
      <c r="DLI55" s="55"/>
      <c r="DLJ55" s="55"/>
      <c r="DLK55" s="55"/>
      <c r="DLL55" s="55"/>
      <c r="DLM55" s="55"/>
      <c r="DLN55" s="55"/>
      <c r="DLO55" s="55"/>
      <c r="DLP55" s="55"/>
      <c r="DLQ55" s="55"/>
      <c r="DLR55" s="55"/>
      <c r="DLS55" s="55"/>
      <c r="DLT55" s="55"/>
      <c r="DLU55" s="55"/>
      <c r="DLV55" s="55"/>
      <c r="DLW55" s="55"/>
      <c r="DLX55" s="55"/>
      <c r="DLY55" s="55"/>
      <c r="DLZ55" s="55"/>
      <c r="DMA55" s="55"/>
      <c r="DMB55" s="55"/>
      <c r="DMC55" s="55"/>
      <c r="DMD55" s="55"/>
      <c r="DME55" s="55"/>
      <c r="DMF55" s="55"/>
      <c r="DMG55" s="55"/>
      <c r="DMH55" s="55"/>
      <c r="DMI55" s="55"/>
      <c r="DMJ55" s="55"/>
      <c r="DMK55" s="55"/>
      <c r="DML55" s="55"/>
      <c r="DMM55" s="55"/>
      <c r="DMN55" s="55"/>
      <c r="DMO55" s="55"/>
      <c r="DMP55" s="55"/>
      <c r="DMQ55" s="55"/>
      <c r="DMR55" s="55"/>
      <c r="DMS55" s="55"/>
      <c r="DMT55" s="55"/>
      <c r="DMU55" s="55"/>
      <c r="DMV55" s="55"/>
      <c r="DMW55" s="55"/>
      <c r="DMX55" s="55"/>
      <c r="DMY55" s="55"/>
      <c r="DMZ55" s="55"/>
      <c r="DNA55" s="55"/>
      <c r="DNB55" s="55"/>
      <c r="DNC55" s="55"/>
      <c r="DND55" s="55"/>
      <c r="DNE55" s="55"/>
      <c r="DNF55" s="55"/>
      <c r="DNG55" s="55"/>
      <c r="DNH55" s="55"/>
      <c r="DNI55" s="55"/>
      <c r="DNJ55" s="55"/>
      <c r="DNK55" s="55"/>
      <c r="DNL55" s="55"/>
      <c r="DNM55" s="55"/>
      <c r="DNN55" s="55"/>
      <c r="DNO55" s="55"/>
      <c r="DNP55" s="55"/>
      <c r="DNQ55" s="55"/>
      <c r="DNR55" s="55"/>
      <c r="DNS55" s="55"/>
      <c r="DNT55" s="55"/>
      <c r="DNU55" s="55"/>
      <c r="DNV55" s="55"/>
      <c r="DNW55" s="55"/>
      <c r="DNX55" s="55"/>
      <c r="DNY55" s="55"/>
      <c r="DNZ55" s="55"/>
      <c r="DOA55" s="55"/>
      <c r="DOB55" s="55"/>
      <c r="DOC55" s="55"/>
      <c r="DOD55" s="55"/>
      <c r="DOE55" s="55"/>
      <c r="DOF55" s="55"/>
      <c r="DOG55" s="55"/>
      <c r="DOH55" s="55"/>
      <c r="DOI55" s="55"/>
      <c r="DOJ55" s="55"/>
      <c r="DOK55" s="55"/>
      <c r="DOL55" s="55"/>
      <c r="DOM55" s="55"/>
      <c r="DON55" s="55"/>
      <c r="DOO55" s="55"/>
      <c r="DOP55" s="55"/>
      <c r="DOQ55" s="55"/>
      <c r="DOR55" s="55"/>
      <c r="DOS55" s="55"/>
      <c r="DOT55" s="55"/>
      <c r="DOU55" s="55"/>
      <c r="DOV55" s="55"/>
      <c r="DOW55" s="55"/>
      <c r="DOX55" s="55"/>
      <c r="DOY55" s="55"/>
      <c r="DOZ55" s="55"/>
      <c r="DPA55" s="55"/>
      <c r="DPB55" s="55"/>
      <c r="DPC55" s="55"/>
      <c r="DPD55" s="55"/>
      <c r="DPE55" s="55"/>
      <c r="DPF55" s="55"/>
      <c r="DPG55" s="55"/>
      <c r="DPH55" s="55"/>
      <c r="DPI55" s="55"/>
      <c r="DPJ55" s="55"/>
      <c r="DPK55" s="55"/>
      <c r="DPL55" s="55"/>
      <c r="DPM55" s="55"/>
      <c r="DPN55" s="55"/>
      <c r="DPO55" s="55"/>
      <c r="DPP55" s="55"/>
      <c r="DPQ55" s="55"/>
      <c r="DPR55" s="55"/>
      <c r="DPS55" s="55"/>
      <c r="DPT55" s="55"/>
      <c r="DPU55" s="55"/>
      <c r="DPV55" s="55"/>
      <c r="DPW55" s="55"/>
      <c r="DPX55" s="55"/>
      <c r="DPY55" s="55"/>
      <c r="DPZ55" s="55"/>
      <c r="DQA55" s="55"/>
      <c r="DQB55" s="55"/>
      <c r="DQC55" s="55"/>
      <c r="DQD55" s="55"/>
      <c r="DQE55" s="55"/>
      <c r="DQF55" s="55"/>
      <c r="DQG55" s="55"/>
      <c r="DQH55" s="55"/>
      <c r="DQI55" s="55"/>
      <c r="DQJ55" s="55"/>
      <c r="DQK55" s="55"/>
      <c r="DQL55" s="55"/>
      <c r="DQM55" s="55"/>
      <c r="DQN55" s="55"/>
      <c r="DQO55" s="55"/>
      <c r="DQP55" s="55"/>
      <c r="DQQ55" s="55"/>
      <c r="DQR55" s="55"/>
      <c r="DQS55" s="55"/>
      <c r="DQT55" s="55"/>
      <c r="DQU55" s="55"/>
      <c r="DQV55" s="55"/>
      <c r="DQW55" s="55"/>
      <c r="DQX55" s="55"/>
      <c r="DQY55" s="55"/>
      <c r="DQZ55" s="55"/>
      <c r="DRA55" s="55"/>
      <c r="DRB55" s="55"/>
      <c r="DRC55" s="55"/>
      <c r="DRD55" s="55"/>
      <c r="DRE55" s="55"/>
      <c r="DRF55" s="55"/>
      <c r="DRG55" s="55"/>
      <c r="DRH55" s="55"/>
      <c r="DRI55" s="55"/>
      <c r="DRJ55" s="55"/>
      <c r="DRK55" s="55"/>
      <c r="DRL55" s="55"/>
      <c r="DRM55" s="55"/>
      <c r="DRN55" s="55"/>
      <c r="DRO55" s="55"/>
      <c r="DRP55" s="55"/>
      <c r="DRQ55" s="55"/>
      <c r="DRR55" s="55"/>
      <c r="DRS55" s="55"/>
      <c r="DRT55" s="55"/>
      <c r="DRU55" s="55"/>
      <c r="DRV55" s="55"/>
      <c r="DRW55" s="55"/>
      <c r="DRX55" s="55"/>
      <c r="DRY55" s="55"/>
      <c r="DRZ55" s="55"/>
      <c r="DSA55" s="55"/>
      <c r="DSB55" s="55"/>
      <c r="DSC55" s="55"/>
      <c r="DSD55" s="55"/>
      <c r="DSE55" s="55"/>
      <c r="DSF55" s="55"/>
      <c r="DSG55" s="55"/>
      <c r="DSH55" s="55"/>
      <c r="DSI55" s="55"/>
      <c r="DSJ55" s="55"/>
      <c r="DSK55" s="55"/>
      <c r="DSL55" s="55"/>
      <c r="DSM55" s="55"/>
      <c r="DSN55" s="55"/>
      <c r="DSO55" s="55"/>
      <c r="DSP55" s="55"/>
      <c r="DSQ55" s="55"/>
      <c r="DSR55" s="55"/>
      <c r="DSS55" s="55"/>
      <c r="DST55" s="55"/>
      <c r="DSU55" s="55"/>
      <c r="DSV55" s="55"/>
      <c r="DSW55" s="55"/>
      <c r="DSX55" s="55"/>
      <c r="DSY55" s="55"/>
      <c r="DSZ55" s="55"/>
      <c r="DTA55" s="55"/>
      <c r="DTB55" s="55"/>
      <c r="DTC55" s="55"/>
      <c r="DTD55" s="55"/>
      <c r="DTE55" s="55"/>
      <c r="DTF55" s="55"/>
      <c r="DTG55" s="55"/>
      <c r="DTH55" s="55"/>
      <c r="DTI55" s="55"/>
      <c r="DTJ55" s="55"/>
      <c r="DTK55" s="55"/>
      <c r="DTL55" s="55"/>
      <c r="DTM55" s="55"/>
      <c r="DTN55" s="55"/>
      <c r="DTO55" s="55"/>
      <c r="DTP55" s="55"/>
      <c r="DTQ55" s="55"/>
      <c r="DTR55" s="55"/>
      <c r="DTS55" s="55"/>
      <c r="DTT55" s="55"/>
      <c r="DTU55" s="55"/>
      <c r="DTV55" s="55"/>
      <c r="DTW55" s="55"/>
      <c r="DTX55" s="55"/>
      <c r="DTY55" s="55"/>
      <c r="DTZ55" s="55"/>
      <c r="DUA55" s="55"/>
      <c r="DUB55" s="55"/>
      <c r="DUC55" s="55"/>
      <c r="DUD55" s="55"/>
      <c r="DUE55" s="55"/>
      <c r="DUF55" s="55"/>
      <c r="DUG55" s="55"/>
      <c r="DUH55" s="55"/>
      <c r="DUI55" s="55"/>
      <c r="DUJ55" s="55"/>
      <c r="DUK55" s="55"/>
      <c r="DUL55" s="55"/>
      <c r="DUM55" s="55"/>
      <c r="DUN55" s="55"/>
      <c r="DUO55" s="55"/>
      <c r="DUP55" s="55"/>
      <c r="DUQ55" s="55"/>
      <c r="DUR55" s="55"/>
      <c r="DUS55" s="55"/>
      <c r="DUT55" s="55"/>
      <c r="DUU55" s="55"/>
      <c r="DUV55" s="55"/>
      <c r="DUW55" s="55"/>
      <c r="DUX55" s="55"/>
      <c r="DUY55" s="55"/>
      <c r="DUZ55" s="55"/>
      <c r="DVA55" s="55"/>
      <c r="DVB55" s="55"/>
      <c r="DVC55" s="55"/>
      <c r="DVD55" s="55"/>
      <c r="DVE55" s="55"/>
      <c r="DVF55" s="55"/>
      <c r="DVG55" s="55"/>
      <c r="DVH55" s="55"/>
      <c r="DVI55" s="55"/>
      <c r="DVJ55" s="55"/>
      <c r="DVK55" s="55"/>
      <c r="DVL55" s="55"/>
      <c r="DVM55" s="55"/>
      <c r="DVN55" s="55"/>
      <c r="DVO55" s="55"/>
      <c r="DVP55" s="55"/>
      <c r="DVQ55" s="55"/>
      <c r="DVR55" s="55"/>
      <c r="DVS55" s="55"/>
      <c r="DVT55" s="55"/>
      <c r="DVU55" s="55"/>
      <c r="DVV55" s="55"/>
      <c r="DVW55" s="55"/>
      <c r="DVX55" s="55"/>
      <c r="DVY55" s="55"/>
      <c r="DVZ55" s="55"/>
      <c r="DWA55" s="55"/>
      <c r="DWB55" s="55"/>
      <c r="DWC55" s="55"/>
      <c r="DWD55" s="55"/>
      <c r="DWE55" s="55"/>
      <c r="DWF55" s="55"/>
      <c r="DWG55" s="55"/>
      <c r="DWH55" s="55"/>
      <c r="DWI55" s="55"/>
      <c r="DWJ55" s="55"/>
      <c r="DWK55" s="55"/>
      <c r="DWL55" s="55"/>
      <c r="DWM55" s="55"/>
      <c r="DWN55" s="55"/>
      <c r="DWO55" s="55"/>
      <c r="DWP55" s="55"/>
      <c r="DWQ55" s="55"/>
      <c r="DWR55" s="55"/>
      <c r="DWS55" s="55"/>
      <c r="DWT55" s="55"/>
      <c r="DWU55" s="55"/>
      <c r="DWV55" s="55"/>
      <c r="DWW55" s="55"/>
      <c r="DWX55" s="55"/>
      <c r="DWY55" s="55"/>
      <c r="DWZ55" s="55"/>
      <c r="DXA55" s="55"/>
      <c r="DXB55" s="55"/>
      <c r="DXC55" s="55"/>
      <c r="DXD55" s="55"/>
      <c r="DXE55" s="55"/>
      <c r="DXF55" s="55"/>
      <c r="DXG55" s="55"/>
      <c r="DXH55" s="55"/>
      <c r="DXI55" s="55"/>
      <c r="DXJ55" s="55"/>
      <c r="DXK55" s="55"/>
      <c r="DXL55" s="55"/>
      <c r="DXM55" s="55"/>
      <c r="DXN55" s="55"/>
      <c r="DXO55" s="55"/>
      <c r="DXP55" s="55"/>
      <c r="DXQ55" s="55"/>
      <c r="DXR55" s="55"/>
      <c r="DXS55" s="55"/>
      <c r="DXT55" s="55"/>
      <c r="DXU55" s="55"/>
      <c r="DXV55" s="55"/>
      <c r="DXW55" s="55"/>
      <c r="DXX55" s="55"/>
      <c r="DXY55" s="55"/>
      <c r="DXZ55" s="55"/>
      <c r="DYA55" s="55"/>
      <c r="DYB55" s="55"/>
      <c r="DYC55" s="55"/>
      <c r="DYD55" s="55"/>
      <c r="DYE55" s="55"/>
      <c r="DYF55" s="55"/>
      <c r="DYG55" s="55"/>
      <c r="DYH55" s="55"/>
      <c r="DYI55" s="55"/>
      <c r="DYJ55" s="55"/>
      <c r="DYK55" s="55"/>
      <c r="DYL55" s="55"/>
      <c r="DYM55" s="55"/>
      <c r="DYN55" s="55"/>
      <c r="DYO55" s="55"/>
      <c r="DYP55" s="55"/>
      <c r="DYQ55" s="55"/>
      <c r="DYR55" s="55"/>
      <c r="DYS55" s="55"/>
      <c r="DYT55" s="55"/>
      <c r="DYU55" s="55"/>
      <c r="DYV55" s="55"/>
      <c r="DYW55" s="55"/>
      <c r="DYX55" s="55"/>
      <c r="DYY55" s="55"/>
      <c r="DYZ55" s="55"/>
      <c r="DZA55" s="55"/>
      <c r="DZB55" s="55"/>
      <c r="DZC55" s="55"/>
      <c r="DZD55" s="55"/>
      <c r="DZE55" s="55"/>
      <c r="DZF55" s="55"/>
      <c r="DZG55" s="55"/>
      <c r="DZH55" s="55"/>
      <c r="DZI55" s="55"/>
      <c r="DZJ55" s="55"/>
      <c r="DZK55" s="55"/>
      <c r="DZL55" s="55"/>
      <c r="DZM55" s="55"/>
      <c r="DZN55" s="55"/>
      <c r="DZO55" s="55"/>
      <c r="DZP55" s="55"/>
      <c r="DZQ55" s="55"/>
      <c r="DZR55" s="55"/>
      <c r="DZS55" s="55"/>
      <c r="DZT55" s="55"/>
      <c r="DZU55" s="55"/>
      <c r="DZV55" s="55"/>
      <c r="DZW55" s="55"/>
      <c r="DZX55" s="55"/>
      <c r="DZY55" s="55"/>
      <c r="DZZ55" s="55"/>
      <c r="EAA55" s="55"/>
      <c r="EAB55" s="55"/>
      <c r="EAC55" s="55"/>
      <c r="EAD55" s="55"/>
      <c r="EAE55" s="55"/>
      <c r="EAF55" s="55"/>
      <c r="EAG55" s="55"/>
      <c r="EAH55" s="55"/>
      <c r="EAI55" s="55"/>
      <c r="EAJ55" s="55"/>
      <c r="EAK55" s="55"/>
      <c r="EAL55" s="55"/>
      <c r="EAM55" s="55"/>
      <c r="EAN55" s="55"/>
      <c r="EAO55" s="55"/>
      <c r="EAP55" s="55"/>
      <c r="EAQ55" s="55"/>
      <c r="EAR55" s="55"/>
      <c r="EAS55" s="55"/>
      <c r="EAT55" s="55"/>
      <c r="EAU55" s="55"/>
      <c r="EAV55" s="55"/>
      <c r="EAW55" s="55"/>
      <c r="EAX55" s="55"/>
      <c r="EAY55" s="55"/>
      <c r="EAZ55" s="55"/>
      <c r="EBA55" s="55"/>
      <c r="EBB55" s="55"/>
      <c r="EBC55" s="55"/>
      <c r="EBD55" s="55"/>
      <c r="EBE55" s="55"/>
      <c r="EBF55" s="55"/>
      <c r="EBG55" s="55"/>
      <c r="EBH55" s="55"/>
      <c r="EBI55" s="55"/>
      <c r="EBJ55" s="55"/>
      <c r="EBK55" s="55"/>
      <c r="EBL55" s="55"/>
      <c r="EBM55" s="55"/>
      <c r="EBN55" s="55"/>
      <c r="EBO55" s="55"/>
      <c r="EBP55" s="55"/>
      <c r="EBQ55" s="55"/>
      <c r="EBR55" s="55"/>
      <c r="EBS55" s="55"/>
      <c r="EBT55" s="55"/>
      <c r="EBU55" s="55"/>
      <c r="EBV55" s="55"/>
      <c r="EBW55" s="55"/>
      <c r="EBX55" s="55"/>
      <c r="EBY55" s="55"/>
      <c r="EBZ55" s="55"/>
      <c r="ECA55" s="55"/>
      <c r="ECB55" s="55"/>
      <c r="ECC55" s="55"/>
      <c r="ECD55" s="55"/>
      <c r="ECE55" s="55"/>
      <c r="ECF55" s="55"/>
      <c r="ECG55" s="55"/>
      <c r="ECH55" s="55"/>
      <c r="ECI55" s="55"/>
      <c r="ECJ55" s="55"/>
      <c r="ECK55" s="55"/>
      <c r="ECL55" s="55"/>
      <c r="ECM55" s="55"/>
      <c r="ECN55" s="55"/>
      <c r="ECO55" s="55"/>
      <c r="ECP55" s="55"/>
      <c r="ECQ55" s="55"/>
      <c r="ECR55" s="55"/>
      <c r="ECS55" s="55"/>
      <c r="ECT55" s="55"/>
      <c r="ECU55" s="55"/>
      <c r="ECV55" s="55"/>
      <c r="ECW55" s="55"/>
      <c r="ECX55" s="55"/>
      <c r="ECY55" s="55"/>
      <c r="ECZ55" s="55"/>
      <c r="EDA55" s="55"/>
      <c r="EDB55" s="55"/>
      <c r="EDC55" s="55"/>
      <c r="EDD55" s="55"/>
      <c r="EDE55" s="55"/>
      <c r="EDF55" s="55"/>
      <c r="EDG55" s="55"/>
      <c r="EDH55" s="55"/>
      <c r="EDI55" s="55"/>
      <c r="EDJ55" s="55"/>
      <c r="EDK55" s="55"/>
      <c r="EDL55" s="55"/>
      <c r="EDM55" s="55"/>
      <c r="EDN55" s="55"/>
      <c r="EDO55" s="55"/>
      <c r="EDP55" s="55"/>
      <c r="EDQ55" s="55"/>
      <c r="EDR55" s="55"/>
      <c r="EDS55" s="55"/>
      <c r="EDT55" s="55"/>
      <c r="EDU55" s="55"/>
      <c r="EDV55" s="55"/>
      <c r="EDW55" s="55"/>
      <c r="EDX55" s="55"/>
      <c r="EDY55" s="55"/>
      <c r="EDZ55" s="55"/>
      <c r="EEA55" s="55"/>
      <c r="EEB55" s="55"/>
      <c r="EEC55" s="55"/>
      <c r="EED55" s="55"/>
      <c r="EEE55" s="55"/>
      <c r="EEF55" s="55"/>
      <c r="EEG55" s="55"/>
      <c r="EEH55" s="55"/>
      <c r="EEI55" s="55"/>
      <c r="EEJ55" s="55"/>
      <c r="EEK55" s="55"/>
      <c r="EEL55" s="55"/>
      <c r="EEM55" s="55"/>
      <c r="EEN55" s="55"/>
      <c r="EEO55" s="55"/>
      <c r="EEP55" s="55"/>
      <c r="EEQ55" s="55"/>
      <c r="EER55" s="55"/>
      <c r="EES55" s="55"/>
      <c r="EET55" s="55"/>
      <c r="EEU55" s="55"/>
      <c r="EEV55" s="55"/>
      <c r="EEW55" s="55"/>
      <c r="EEX55" s="55"/>
      <c r="EEY55" s="55"/>
      <c r="EEZ55" s="55"/>
      <c r="EFA55" s="55"/>
      <c r="EFB55" s="55"/>
      <c r="EFC55" s="55"/>
      <c r="EFD55" s="55"/>
      <c r="EFE55" s="55"/>
      <c r="EFF55" s="55"/>
      <c r="EFG55" s="55"/>
      <c r="EFH55" s="55"/>
      <c r="EFI55" s="55"/>
      <c r="EFJ55" s="55"/>
      <c r="EFK55" s="55"/>
      <c r="EFL55" s="55"/>
      <c r="EFM55" s="55"/>
      <c r="EFN55" s="55"/>
      <c r="EFO55" s="55"/>
      <c r="EFP55" s="55"/>
      <c r="EFQ55" s="55"/>
      <c r="EFR55" s="55"/>
      <c r="EFS55" s="55"/>
      <c r="EFT55" s="55"/>
      <c r="EFU55" s="55"/>
      <c r="EFV55" s="55"/>
      <c r="EFW55" s="55"/>
      <c r="EFX55" s="55"/>
      <c r="EFY55" s="55"/>
      <c r="EFZ55" s="55"/>
      <c r="EGA55" s="55"/>
      <c r="EGB55" s="55"/>
      <c r="EGC55" s="55"/>
      <c r="EGD55" s="55"/>
      <c r="EGE55" s="55"/>
      <c r="EGF55" s="55"/>
      <c r="EGG55" s="55"/>
      <c r="EGH55" s="55"/>
      <c r="EGI55" s="55"/>
      <c r="EGJ55" s="55"/>
      <c r="EGK55" s="55"/>
      <c r="EGL55" s="55"/>
      <c r="EGM55" s="55"/>
      <c r="EGN55" s="55"/>
      <c r="EGO55" s="55"/>
      <c r="EGP55" s="55"/>
      <c r="EGQ55" s="55"/>
      <c r="EGR55" s="55"/>
      <c r="EGS55" s="55"/>
      <c r="EGT55" s="55"/>
      <c r="EGU55" s="55"/>
      <c r="EGV55" s="55"/>
      <c r="EGW55" s="55"/>
      <c r="EGX55" s="55"/>
      <c r="EGY55" s="55"/>
      <c r="EGZ55" s="55"/>
      <c r="EHA55" s="55"/>
      <c r="EHB55" s="55"/>
      <c r="EHC55" s="55"/>
      <c r="EHD55" s="55"/>
      <c r="EHE55" s="55"/>
      <c r="EHF55" s="55"/>
      <c r="EHG55" s="55"/>
      <c r="EHH55" s="55"/>
      <c r="EHI55" s="55"/>
      <c r="EHJ55" s="55"/>
      <c r="EHK55" s="55"/>
      <c r="EHL55" s="55"/>
      <c r="EHM55" s="55"/>
      <c r="EHN55" s="55"/>
      <c r="EHO55" s="55"/>
      <c r="EHP55" s="55"/>
      <c r="EHQ55" s="55"/>
      <c r="EHR55" s="55"/>
      <c r="EHS55" s="55"/>
      <c r="EHT55" s="55"/>
      <c r="EHU55" s="55"/>
      <c r="EHV55" s="55"/>
      <c r="EHW55" s="55"/>
      <c r="EHX55" s="55"/>
      <c r="EHY55" s="55"/>
      <c r="EHZ55" s="55"/>
      <c r="EIA55" s="55"/>
      <c r="EIB55" s="55"/>
      <c r="EIC55" s="55"/>
      <c r="EID55" s="55"/>
      <c r="EIE55" s="55"/>
      <c r="EIF55" s="55"/>
      <c r="EIG55" s="55"/>
      <c r="EIH55" s="55"/>
      <c r="EII55" s="55"/>
      <c r="EIJ55" s="55"/>
      <c r="EIK55" s="55"/>
      <c r="EIL55" s="55"/>
      <c r="EIM55" s="55"/>
      <c r="EIN55" s="55"/>
      <c r="EIO55" s="55"/>
      <c r="EIP55" s="55"/>
      <c r="EIQ55" s="55"/>
      <c r="EIR55" s="55"/>
      <c r="EIS55" s="55"/>
      <c r="EIT55" s="55"/>
      <c r="EIU55" s="55"/>
      <c r="EIV55" s="55"/>
      <c r="EIW55" s="55"/>
      <c r="EIX55" s="55"/>
      <c r="EIY55" s="55"/>
      <c r="EIZ55" s="55"/>
      <c r="EJA55" s="55"/>
      <c r="EJB55" s="55"/>
      <c r="EJC55" s="55"/>
      <c r="EJD55" s="55"/>
      <c r="EJE55" s="55"/>
      <c r="EJF55" s="55"/>
      <c r="EJG55" s="55"/>
      <c r="EJH55" s="55"/>
      <c r="EJI55" s="55"/>
      <c r="EJJ55" s="55"/>
      <c r="EJK55" s="55"/>
      <c r="EJL55" s="55"/>
      <c r="EJM55" s="55"/>
      <c r="EJN55" s="55"/>
      <c r="EJO55" s="55"/>
      <c r="EJP55" s="55"/>
      <c r="EJQ55" s="55"/>
      <c r="EJR55" s="55"/>
      <c r="EJS55" s="55"/>
      <c r="EJT55" s="55"/>
      <c r="EJU55" s="55"/>
      <c r="EJV55" s="55"/>
      <c r="EJW55" s="55"/>
      <c r="EJX55" s="55"/>
      <c r="EJY55" s="55"/>
      <c r="EJZ55" s="55"/>
      <c r="EKA55" s="55"/>
      <c r="EKB55" s="55"/>
      <c r="EKC55" s="55"/>
      <c r="EKD55" s="55"/>
      <c r="EKE55" s="55"/>
      <c r="EKF55" s="55"/>
      <c r="EKG55" s="55"/>
      <c r="EKH55" s="55"/>
      <c r="EKI55" s="55"/>
      <c r="EKJ55" s="55"/>
      <c r="EKK55" s="55"/>
      <c r="EKL55" s="55"/>
      <c r="EKM55" s="55"/>
      <c r="EKN55" s="55"/>
      <c r="EKO55" s="55"/>
      <c r="EKP55" s="55"/>
      <c r="EKQ55" s="55"/>
      <c r="EKR55" s="55"/>
      <c r="EKS55" s="55"/>
      <c r="EKT55" s="55"/>
      <c r="EKU55" s="55"/>
      <c r="EKV55" s="55"/>
      <c r="EKW55" s="55"/>
      <c r="EKX55" s="55"/>
      <c r="EKY55" s="55"/>
      <c r="EKZ55" s="55"/>
      <c r="ELA55" s="55"/>
      <c r="ELB55" s="55"/>
      <c r="ELC55" s="55"/>
      <c r="ELD55" s="55"/>
      <c r="ELE55" s="55"/>
      <c r="ELF55" s="55"/>
      <c r="ELG55" s="55"/>
      <c r="ELH55" s="55"/>
      <c r="ELI55" s="55"/>
      <c r="ELJ55" s="55"/>
      <c r="ELK55" s="55"/>
      <c r="ELL55" s="55"/>
      <c r="ELM55" s="55"/>
      <c r="ELN55" s="55"/>
      <c r="ELO55" s="55"/>
      <c r="ELP55" s="55"/>
      <c r="ELQ55" s="55"/>
      <c r="ELR55" s="55"/>
      <c r="ELS55" s="55"/>
      <c r="ELT55" s="55"/>
      <c r="ELU55" s="55"/>
      <c r="ELV55" s="55"/>
      <c r="ELW55" s="55"/>
      <c r="ELX55" s="55"/>
      <c r="ELY55" s="55"/>
      <c r="ELZ55" s="55"/>
      <c r="EMA55" s="55"/>
      <c r="EMB55" s="55"/>
      <c r="EMC55" s="55"/>
      <c r="EMD55" s="55"/>
      <c r="EME55" s="55"/>
      <c r="EMF55" s="55"/>
      <c r="EMG55" s="55"/>
      <c r="EMH55" s="55"/>
      <c r="EMI55" s="55"/>
      <c r="EMJ55" s="55"/>
      <c r="EMK55" s="55"/>
      <c r="EML55" s="55"/>
      <c r="EMM55" s="55"/>
      <c r="EMN55" s="55"/>
      <c r="EMO55" s="55"/>
      <c r="EMP55" s="55"/>
      <c r="EMQ55" s="55"/>
      <c r="EMR55" s="55"/>
      <c r="EMS55" s="55"/>
      <c r="EMT55" s="55"/>
      <c r="EMU55" s="55"/>
      <c r="EMV55" s="55"/>
      <c r="EMW55" s="55"/>
      <c r="EMX55" s="55"/>
      <c r="EMY55" s="55"/>
      <c r="EMZ55" s="55"/>
      <c r="ENA55" s="55"/>
      <c r="ENB55" s="55"/>
      <c r="ENC55" s="55"/>
      <c r="END55" s="55"/>
      <c r="ENE55" s="55"/>
      <c r="ENF55" s="55"/>
      <c r="ENG55" s="55"/>
      <c r="ENH55" s="55"/>
      <c r="ENI55" s="55"/>
      <c r="ENJ55" s="55"/>
      <c r="ENK55" s="55"/>
      <c r="ENL55" s="55"/>
      <c r="ENM55" s="55"/>
      <c r="ENN55" s="55"/>
      <c r="ENO55" s="55"/>
      <c r="ENP55" s="55"/>
      <c r="ENQ55" s="55"/>
      <c r="ENR55" s="55"/>
      <c r="ENS55" s="55"/>
      <c r="ENT55" s="55"/>
      <c r="ENU55" s="55"/>
      <c r="ENV55" s="55"/>
      <c r="ENW55" s="55"/>
      <c r="ENX55" s="55"/>
      <c r="ENY55" s="55"/>
      <c r="ENZ55" s="55"/>
      <c r="EOA55" s="55"/>
      <c r="EOB55" s="55"/>
      <c r="EOC55" s="55"/>
      <c r="EOD55" s="55"/>
      <c r="EOE55" s="55"/>
      <c r="EOF55" s="55"/>
      <c r="EOG55" s="55"/>
      <c r="EOH55" s="55"/>
      <c r="EOI55" s="55"/>
      <c r="EOJ55" s="55"/>
      <c r="EOK55" s="55"/>
      <c r="EOL55" s="55"/>
      <c r="EOM55" s="55"/>
      <c r="EON55" s="55"/>
      <c r="EOO55" s="55"/>
      <c r="EOP55" s="55"/>
      <c r="EOQ55" s="55"/>
      <c r="EOR55" s="55"/>
      <c r="EOS55" s="55"/>
      <c r="EOT55" s="55"/>
      <c r="EOU55" s="55"/>
      <c r="EOV55" s="55"/>
      <c r="EOW55" s="55"/>
      <c r="EOX55" s="55"/>
      <c r="EOY55" s="55"/>
      <c r="EOZ55" s="55"/>
      <c r="EPA55" s="55"/>
      <c r="EPB55" s="55"/>
      <c r="EPC55" s="55"/>
      <c r="EPD55" s="55"/>
      <c r="EPE55" s="55"/>
      <c r="EPF55" s="55"/>
      <c r="EPG55" s="55"/>
      <c r="EPH55" s="55"/>
      <c r="EPI55" s="55"/>
      <c r="EPJ55" s="55"/>
      <c r="EPK55" s="55"/>
      <c r="EPL55" s="55"/>
      <c r="EPM55" s="55"/>
      <c r="EPN55" s="55"/>
      <c r="EPO55" s="55"/>
      <c r="EPP55" s="55"/>
      <c r="EPQ55" s="55"/>
      <c r="EPR55" s="55"/>
      <c r="EPS55" s="55"/>
      <c r="EPT55" s="55"/>
      <c r="EPU55" s="55"/>
      <c r="EPV55" s="55"/>
      <c r="EPW55" s="55"/>
      <c r="EPX55" s="55"/>
      <c r="EPY55" s="55"/>
      <c r="EPZ55" s="55"/>
      <c r="EQA55" s="55"/>
      <c r="EQB55" s="55"/>
      <c r="EQC55" s="55"/>
      <c r="EQD55" s="55"/>
      <c r="EQE55" s="55"/>
      <c r="EQF55" s="55"/>
      <c r="EQG55" s="55"/>
      <c r="EQH55" s="55"/>
      <c r="EQI55" s="55"/>
      <c r="EQJ55" s="55"/>
      <c r="EQK55" s="55"/>
      <c r="EQL55" s="55"/>
      <c r="EQM55" s="55"/>
      <c r="EQN55" s="55"/>
      <c r="EQO55" s="55"/>
      <c r="EQP55" s="55"/>
      <c r="EQQ55" s="55"/>
      <c r="EQR55" s="55"/>
      <c r="EQS55" s="55"/>
      <c r="EQT55" s="55"/>
      <c r="EQU55" s="55"/>
      <c r="EQV55" s="55"/>
      <c r="EQW55" s="55"/>
      <c r="EQX55" s="55"/>
      <c r="EQY55" s="55"/>
      <c r="EQZ55" s="55"/>
      <c r="ERA55" s="55"/>
      <c r="ERB55" s="55"/>
      <c r="ERC55" s="55"/>
      <c r="ERD55" s="55"/>
      <c r="ERE55" s="55"/>
      <c r="ERF55" s="55"/>
      <c r="ERG55" s="55"/>
      <c r="ERH55" s="55"/>
      <c r="ERI55" s="55"/>
      <c r="ERJ55" s="55"/>
      <c r="ERK55" s="55"/>
      <c r="ERL55" s="55"/>
      <c r="ERM55" s="55"/>
      <c r="ERN55" s="55"/>
      <c r="ERO55" s="55"/>
      <c r="ERP55" s="55"/>
      <c r="ERQ55" s="55"/>
      <c r="ERR55" s="55"/>
      <c r="ERS55" s="55"/>
      <c r="ERT55" s="55"/>
      <c r="ERU55" s="55"/>
      <c r="ERV55" s="55"/>
      <c r="ERW55" s="55"/>
      <c r="ERX55" s="55"/>
      <c r="ERY55" s="55"/>
      <c r="ERZ55" s="55"/>
      <c r="ESA55" s="55"/>
      <c r="ESB55" s="55"/>
      <c r="ESC55" s="55"/>
      <c r="ESD55" s="55"/>
      <c r="ESE55" s="55"/>
      <c r="ESF55" s="55"/>
      <c r="ESG55" s="55"/>
      <c r="ESH55" s="55"/>
      <c r="ESI55" s="55"/>
      <c r="ESJ55" s="55"/>
      <c r="ESK55" s="55"/>
      <c r="ESL55" s="55"/>
      <c r="ESM55" s="55"/>
      <c r="ESN55" s="55"/>
      <c r="ESO55" s="55"/>
      <c r="ESP55" s="55"/>
      <c r="ESQ55" s="55"/>
      <c r="ESR55" s="55"/>
      <c r="ESS55" s="55"/>
      <c r="EST55" s="55"/>
      <c r="ESU55" s="55"/>
      <c r="ESV55" s="55"/>
      <c r="ESW55" s="55"/>
      <c r="ESX55" s="55"/>
      <c r="ESY55" s="55"/>
      <c r="ESZ55" s="55"/>
      <c r="ETA55" s="55"/>
      <c r="ETB55" s="55"/>
      <c r="ETC55" s="55"/>
      <c r="ETD55" s="55"/>
      <c r="ETE55" s="55"/>
      <c r="ETF55" s="55"/>
      <c r="ETG55" s="55"/>
      <c r="ETH55" s="55"/>
      <c r="ETI55" s="55"/>
      <c r="ETJ55" s="55"/>
      <c r="ETK55" s="55"/>
      <c r="ETL55" s="55"/>
      <c r="ETM55" s="55"/>
      <c r="ETN55" s="55"/>
      <c r="ETO55" s="55"/>
      <c r="ETP55" s="55"/>
      <c r="ETQ55" s="55"/>
      <c r="ETR55" s="55"/>
      <c r="ETS55" s="55"/>
      <c r="ETT55" s="55"/>
      <c r="ETU55" s="55"/>
      <c r="ETV55" s="55"/>
      <c r="ETW55" s="55"/>
      <c r="ETX55" s="55"/>
      <c r="ETY55" s="55"/>
      <c r="ETZ55" s="55"/>
      <c r="EUA55" s="55"/>
      <c r="EUB55" s="55"/>
      <c r="EUC55" s="55"/>
      <c r="EUD55" s="55"/>
      <c r="EUE55" s="55"/>
      <c r="EUF55" s="55"/>
      <c r="EUG55" s="55"/>
      <c r="EUH55" s="55"/>
      <c r="EUI55" s="55"/>
      <c r="EUJ55" s="55"/>
      <c r="EUK55" s="55"/>
      <c r="EUL55" s="55"/>
      <c r="EUM55" s="55"/>
      <c r="EUN55" s="55"/>
      <c r="EUO55" s="55"/>
      <c r="EUP55" s="55"/>
      <c r="EUQ55" s="55"/>
      <c r="EUR55" s="55"/>
      <c r="EUS55" s="55"/>
      <c r="EUT55" s="55"/>
      <c r="EUU55" s="55"/>
      <c r="EUV55" s="55"/>
      <c r="EUW55" s="55"/>
      <c r="EUX55" s="55"/>
      <c r="EUY55" s="55"/>
      <c r="EUZ55" s="55"/>
      <c r="EVA55" s="55"/>
      <c r="EVB55" s="55"/>
      <c r="EVC55" s="55"/>
      <c r="EVD55" s="55"/>
      <c r="EVE55" s="55"/>
      <c r="EVF55" s="55"/>
      <c r="EVG55" s="55"/>
      <c r="EVH55" s="55"/>
      <c r="EVI55" s="55"/>
      <c r="EVJ55" s="55"/>
      <c r="EVK55" s="55"/>
      <c r="EVL55" s="55"/>
      <c r="EVM55" s="55"/>
      <c r="EVN55" s="55"/>
      <c r="EVO55" s="55"/>
      <c r="EVP55" s="55"/>
      <c r="EVQ55" s="55"/>
      <c r="EVR55" s="55"/>
      <c r="EVS55" s="55"/>
      <c r="EVT55" s="55"/>
      <c r="EVU55" s="55"/>
      <c r="EVV55" s="55"/>
      <c r="EVW55" s="55"/>
      <c r="EVX55" s="55"/>
      <c r="EVY55" s="55"/>
      <c r="EVZ55" s="55"/>
      <c r="EWA55" s="55"/>
      <c r="EWB55" s="55"/>
      <c r="EWC55" s="55"/>
      <c r="EWD55" s="55"/>
      <c r="EWE55" s="55"/>
      <c r="EWF55" s="55"/>
      <c r="EWG55" s="55"/>
      <c r="EWH55" s="55"/>
      <c r="EWI55" s="55"/>
      <c r="EWJ55" s="55"/>
      <c r="EWK55" s="55"/>
      <c r="EWL55" s="55"/>
      <c r="EWM55" s="55"/>
      <c r="EWN55" s="55"/>
      <c r="EWO55" s="55"/>
      <c r="EWP55" s="55"/>
      <c r="EWQ55" s="55"/>
      <c r="EWR55" s="55"/>
      <c r="EWS55" s="55"/>
      <c r="EWT55" s="55"/>
      <c r="EWU55" s="55"/>
      <c r="EWV55" s="55"/>
      <c r="EWW55" s="55"/>
      <c r="EWX55" s="55"/>
      <c r="EWY55" s="55"/>
      <c r="EWZ55" s="55"/>
      <c r="EXA55" s="55"/>
      <c r="EXB55" s="55"/>
      <c r="EXC55" s="55"/>
      <c r="EXD55" s="55"/>
      <c r="EXE55" s="55"/>
      <c r="EXF55" s="55"/>
      <c r="EXG55" s="55"/>
      <c r="EXH55" s="55"/>
      <c r="EXI55" s="55"/>
      <c r="EXJ55" s="55"/>
      <c r="EXK55" s="55"/>
      <c r="EXL55" s="55"/>
      <c r="EXM55" s="55"/>
      <c r="EXN55" s="55"/>
      <c r="EXO55" s="55"/>
      <c r="EXP55" s="55"/>
      <c r="EXQ55" s="55"/>
      <c r="EXR55" s="55"/>
      <c r="EXS55" s="55"/>
      <c r="EXT55" s="55"/>
      <c r="EXU55" s="55"/>
      <c r="EXV55" s="55"/>
      <c r="EXW55" s="55"/>
      <c r="EXX55" s="55"/>
      <c r="EXY55" s="55"/>
      <c r="EXZ55" s="55"/>
      <c r="EYA55" s="55"/>
      <c r="EYB55" s="55"/>
      <c r="EYC55" s="55"/>
      <c r="EYD55" s="55"/>
      <c r="EYE55" s="55"/>
      <c r="EYF55" s="55"/>
      <c r="EYG55" s="55"/>
      <c r="EYH55" s="55"/>
      <c r="EYI55" s="55"/>
      <c r="EYJ55" s="55"/>
      <c r="EYK55" s="55"/>
      <c r="EYL55" s="55"/>
      <c r="EYM55" s="55"/>
      <c r="EYN55" s="55"/>
      <c r="EYO55" s="55"/>
      <c r="EYP55" s="55"/>
      <c r="EYQ55" s="55"/>
      <c r="EYR55" s="55"/>
      <c r="EYS55" s="55"/>
      <c r="EYT55" s="55"/>
      <c r="EYU55" s="55"/>
      <c r="EYV55" s="55"/>
      <c r="EYW55" s="55"/>
      <c r="EYX55" s="55"/>
      <c r="EYY55" s="55"/>
      <c r="EYZ55" s="55"/>
      <c r="EZA55" s="55"/>
      <c r="EZB55" s="55"/>
      <c r="EZC55" s="55"/>
      <c r="EZD55" s="55"/>
      <c r="EZE55" s="55"/>
      <c r="EZF55" s="55"/>
      <c r="EZG55" s="55"/>
      <c r="EZH55" s="55"/>
      <c r="EZI55" s="55"/>
      <c r="EZJ55" s="55"/>
      <c r="EZK55" s="55"/>
      <c r="EZL55" s="55"/>
      <c r="EZM55" s="55"/>
      <c r="EZN55" s="55"/>
      <c r="EZO55" s="55"/>
      <c r="EZP55" s="55"/>
      <c r="EZQ55" s="55"/>
      <c r="EZR55" s="55"/>
      <c r="EZS55" s="55"/>
      <c r="EZT55" s="55"/>
      <c r="EZU55" s="55"/>
      <c r="EZV55" s="55"/>
      <c r="EZW55" s="55"/>
      <c r="EZX55" s="55"/>
      <c r="EZY55" s="55"/>
      <c r="EZZ55" s="55"/>
      <c r="FAA55" s="55"/>
      <c r="FAB55" s="55"/>
      <c r="FAC55" s="55"/>
      <c r="FAD55" s="55"/>
      <c r="FAE55" s="55"/>
      <c r="FAF55" s="55"/>
      <c r="FAG55" s="55"/>
      <c r="FAH55" s="55"/>
      <c r="FAI55" s="55"/>
      <c r="FAJ55" s="55"/>
      <c r="FAK55" s="55"/>
      <c r="FAL55" s="55"/>
      <c r="FAM55" s="55"/>
      <c r="FAN55" s="55"/>
      <c r="FAO55" s="55"/>
      <c r="FAP55" s="55"/>
      <c r="FAQ55" s="55"/>
      <c r="FAR55" s="55"/>
      <c r="FAS55" s="55"/>
      <c r="FAT55" s="55"/>
      <c r="FAU55" s="55"/>
      <c r="FAV55" s="55"/>
      <c r="FAW55" s="55"/>
      <c r="FAX55" s="55"/>
      <c r="FAY55" s="55"/>
      <c r="FAZ55" s="55"/>
      <c r="FBA55" s="55"/>
      <c r="FBB55" s="55"/>
      <c r="FBC55" s="55"/>
      <c r="FBD55" s="55"/>
      <c r="FBE55" s="55"/>
      <c r="FBF55" s="55"/>
      <c r="FBG55" s="55"/>
      <c r="FBH55" s="55"/>
      <c r="FBI55" s="55"/>
      <c r="FBJ55" s="55"/>
      <c r="FBK55" s="55"/>
      <c r="FBL55" s="55"/>
      <c r="FBM55" s="55"/>
      <c r="FBN55" s="55"/>
      <c r="FBO55" s="55"/>
      <c r="FBP55" s="55"/>
      <c r="FBQ55" s="55"/>
      <c r="FBR55" s="55"/>
      <c r="FBS55" s="55"/>
      <c r="FBT55" s="55"/>
      <c r="FBU55" s="55"/>
      <c r="FBV55" s="55"/>
      <c r="FBW55" s="55"/>
      <c r="FBX55" s="55"/>
      <c r="FBY55" s="55"/>
      <c r="FBZ55" s="55"/>
      <c r="FCA55" s="55"/>
      <c r="FCB55" s="55"/>
      <c r="FCC55" s="55"/>
      <c r="FCD55" s="55"/>
      <c r="FCE55" s="55"/>
      <c r="FCF55" s="55"/>
      <c r="FCG55" s="55"/>
      <c r="FCH55" s="55"/>
      <c r="FCI55" s="55"/>
      <c r="FCJ55" s="55"/>
      <c r="FCK55" s="55"/>
      <c r="FCL55" s="55"/>
      <c r="FCM55" s="55"/>
      <c r="FCN55" s="55"/>
      <c r="FCO55" s="55"/>
      <c r="FCP55" s="55"/>
      <c r="FCQ55" s="55"/>
      <c r="FCR55" s="55"/>
      <c r="FCS55" s="55"/>
      <c r="FCT55" s="55"/>
      <c r="FCU55" s="55"/>
      <c r="FCV55" s="55"/>
      <c r="FCW55" s="55"/>
      <c r="FCX55" s="55"/>
      <c r="FCY55" s="55"/>
      <c r="FCZ55" s="55"/>
      <c r="FDA55" s="55"/>
      <c r="FDB55" s="55"/>
      <c r="FDC55" s="55"/>
      <c r="FDD55" s="55"/>
      <c r="FDE55" s="55"/>
      <c r="FDF55" s="55"/>
      <c r="FDG55" s="55"/>
      <c r="FDH55" s="55"/>
      <c r="FDI55" s="55"/>
      <c r="FDJ55" s="55"/>
      <c r="FDK55" s="55"/>
      <c r="FDL55" s="55"/>
      <c r="FDM55" s="55"/>
      <c r="FDN55" s="55"/>
      <c r="FDO55" s="55"/>
      <c r="FDP55" s="55"/>
      <c r="FDQ55" s="55"/>
      <c r="FDR55" s="55"/>
      <c r="FDS55" s="55"/>
      <c r="FDT55" s="55"/>
      <c r="FDU55" s="55"/>
      <c r="FDV55" s="55"/>
      <c r="FDW55" s="55"/>
      <c r="FDX55" s="55"/>
      <c r="FDY55" s="55"/>
      <c r="FDZ55" s="55"/>
      <c r="FEA55" s="55"/>
      <c r="FEB55" s="55"/>
      <c r="FEC55" s="55"/>
      <c r="FED55" s="55"/>
      <c r="FEE55" s="55"/>
      <c r="FEF55" s="55"/>
      <c r="FEG55" s="55"/>
      <c r="FEH55" s="55"/>
      <c r="FEI55" s="55"/>
      <c r="FEJ55" s="55"/>
      <c r="FEK55" s="55"/>
      <c r="FEL55" s="55"/>
      <c r="FEM55" s="55"/>
      <c r="FEN55" s="55"/>
      <c r="FEO55" s="55"/>
      <c r="FEP55" s="55"/>
      <c r="FEQ55" s="55"/>
      <c r="FER55" s="55"/>
      <c r="FES55" s="55"/>
      <c r="FET55" s="55"/>
      <c r="FEU55" s="55"/>
      <c r="FEV55" s="55"/>
      <c r="FEW55" s="55"/>
      <c r="FEX55" s="55"/>
      <c r="FEY55" s="55"/>
      <c r="FEZ55" s="55"/>
      <c r="FFA55" s="55"/>
      <c r="FFB55" s="55"/>
      <c r="FFC55" s="55"/>
      <c r="FFD55" s="55"/>
      <c r="FFE55" s="55"/>
      <c r="FFF55" s="55"/>
      <c r="FFG55" s="55"/>
      <c r="FFH55" s="55"/>
      <c r="FFI55" s="55"/>
      <c r="FFJ55" s="55"/>
      <c r="FFK55" s="55"/>
      <c r="FFL55" s="55"/>
      <c r="FFM55" s="55"/>
      <c r="FFN55" s="55"/>
      <c r="FFO55" s="55"/>
      <c r="FFP55" s="55"/>
      <c r="FFQ55" s="55"/>
      <c r="FFR55" s="55"/>
      <c r="FFS55" s="55"/>
      <c r="FFT55" s="55"/>
      <c r="FFU55" s="55"/>
      <c r="FFV55" s="55"/>
      <c r="FFW55" s="55"/>
      <c r="FFX55" s="55"/>
      <c r="FFY55" s="55"/>
      <c r="FFZ55" s="55"/>
      <c r="FGA55" s="55"/>
      <c r="FGB55" s="55"/>
      <c r="FGC55" s="55"/>
      <c r="FGD55" s="55"/>
      <c r="FGE55" s="55"/>
      <c r="FGF55" s="55"/>
      <c r="FGG55" s="55"/>
      <c r="FGH55" s="55"/>
      <c r="FGI55" s="55"/>
      <c r="FGJ55" s="55"/>
      <c r="FGK55" s="55"/>
      <c r="FGL55" s="55"/>
      <c r="FGM55" s="55"/>
      <c r="FGN55" s="55"/>
      <c r="FGO55" s="55"/>
      <c r="FGP55" s="55"/>
      <c r="FGQ55" s="55"/>
      <c r="FGR55" s="55"/>
      <c r="FGS55" s="55"/>
      <c r="FGT55" s="55"/>
      <c r="FGU55" s="55"/>
      <c r="FGV55" s="55"/>
      <c r="FGW55" s="55"/>
      <c r="FGX55" s="55"/>
      <c r="FGY55" s="55"/>
      <c r="FGZ55" s="55"/>
      <c r="FHA55" s="55"/>
      <c r="FHB55" s="55"/>
      <c r="FHC55" s="55"/>
      <c r="FHD55" s="55"/>
      <c r="FHE55" s="55"/>
      <c r="FHF55" s="55"/>
      <c r="FHG55" s="55"/>
      <c r="FHH55" s="55"/>
      <c r="FHI55" s="55"/>
      <c r="FHJ55" s="55"/>
      <c r="FHK55" s="55"/>
      <c r="FHL55" s="55"/>
      <c r="FHM55" s="55"/>
      <c r="FHN55" s="55"/>
      <c r="FHO55" s="55"/>
      <c r="FHP55" s="55"/>
      <c r="FHQ55" s="55"/>
      <c r="FHR55" s="55"/>
      <c r="FHS55" s="55"/>
      <c r="FHT55" s="55"/>
      <c r="FHU55" s="55"/>
      <c r="FHV55" s="55"/>
      <c r="FHW55" s="55"/>
      <c r="FHX55" s="55"/>
      <c r="FHY55" s="55"/>
      <c r="FHZ55" s="55"/>
      <c r="FIA55" s="55"/>
      <c r="FIB55" s="55"/>
      <c r="FIC55" s="55"/>
      <c r="FID55" s="55"/>
      <c r="FIE55" s="55"/>
      <c r="FIF55" s="55"/>
      <c r="FIG55" s="55"/>
      <c r="FIH55" s="55"/>
      <c r="FII55" s="55"/>
      <c r="FIJ55" s="55"/>
      <c r="FIK55" s="55"/>
      <c r="FIL55" s="55"/>
      <c r="FIM55" s="55"/>
      <c r="FIN55" s="55"/>
      <c r="FIO55" s="55"/>
      <c r="FIP55" s="55"/>
      <c r="FIQ55" s="55"/>
      <c r="FIR55" s="55"/>
      <c r="FIS55" s="55"/>
      <c r="FIT55" s="55"/>
      <c r="FIU55" s="55"/>
      <c r="FIV55" s="55"/>
      <c r="FIW55" s="55"/>
      <c r="FIX55" s="55"/>
      <c r="FIY55" s="55"/>
      <c r="FIZ55" s="55"/>
      <c r="FJA55" s="55"/>
      <c r="FJB55" s="55"/>
      <c r="FJC55" s="55"/>
      <c r="FJD55" s="55"/>
      <c r="FJE55" s="55"/>
      <c r="FJF55" s="55"/>
      <c r="FJG55" s="55"/>
      <c r="FJH55" s="55"/>
      <c r="FJI55" s="55"/>
      <c r="FJJ55" s="55"/>
      <c r="FJK55" s="55"/>
      <c r="FJL55" s="55"/>
      <c r="FJM55" s="55"/>
      <c r="FJN55" s="55"/>
      <c r="FJO55" s="55"/>
      <c r="FJP55" s="55"/>
      <c r="FJQ55" s="55"/>
      <c r="FJR55" s="55"/>
      <c r="FJS55" s="55"/>
      <c r="FJT55" s="55"/>
      <c r="FJU55" s="55"/>
      <c r="FJV55" s="55"/>
      <c r="FJW55" s="55"/>
      <c r="FJX55" s="55"/>
      <c r="FJY55" s="55"/>
      <c r="FJZ55" s="55"/>
      <c r="FKA55" s="55"/>
      <c r="FKB55" s="55"/>
      <c r="FKC55" s="55"/>
      <c r="FKD55" s="55"/>
      <c r="FKE55" s="55"/>
      <c r="FKF55" s="55"/>
      <c r="FKG55" s="55"/>
      <c r="FKH55" s="55"/>
      <c r="FKI55" s="55"/>
      <c r="FKJ55" s="55"/>
      <c r="FKK55" s="55"/>
      <c r="FKL55" s="55"/>
      <c r="FKM55" s="55"/>
      <c r="FKN55" s="55"/>
      <c r="FKO55" s="55"/>
      <c r="FKP55" s="55"/>
      <c r="FKQ55" s="55"/>
      <c r="FKR55" s="55"/>
      <c r="FKS55" s="55"/>
      <c r="FKT55" s="55"/>
      <c r="FKU55" s="55"/>
      <c r="FKV55" s="55"/>
      <c r="FKW55" s="55"/>
      <c r="FKX55" s="55"/>
      <c r="FKY55" s="55"/>
      <c r="FKZ55" s="55"/>
      <c r="FLA55" s="55"/>
      <c r="FLB55" s="55"/>
      <c r="FLC55" s="55"/>
      <c r="FLD55" s="55"/>
      <c r="FLE55" s="55"/>
      <c r="FLF55" s="55"/>
      <c r="FLG55" s="55"/>
      <c r="FLH55" s="55"/>
      <c r="FLI55" s="55"/>
      <c r="FLJ55" s="55"/>
      <c r="FLK55" s="55"/>
      <c r="FLL55" s="55"/>
      <c r="FLM55" s="55"/>
      <c r="FLN55" s="55"/>
      <c r="FLO55" s="55"/>
      <c r="FLP55" s="55"/>
      <c r="FLQ55" s="55"/>
      <c r="FLR55" s="55"/>
      <c r="FLS55" s="55"/>
      <c r="FLT55" s="55"/>
      <c r="FLU55" s="55"/>
      <c r="FLV55" s="55"/>
      <c r="FLW55" s="55"/>
      <c r="FLX55" s="55"/>
      <c r="FLY55" s="55"/>
      <c r="FLZ55" s="55"/>
      <c r="FMA55" s="55"/>
      <c r="FMB55" s="55"/>
      <c r="FMC55" s="55"/>
      <c r="FMD55" s="55"/>
      <c r="FME55" s="55"/>
      <c r="FMF55" s="55"/>
      <c r="FMG55" s="55"/>
      <c r="FMH55" s="55"/>
      <c r="FMI55" s="55"/>
      <c r="FMJ55" s="55"/>
      <c r="FMK55" s="55"/>
      <c r="FML55" s="55"/>
      <c r="FMM55" s="55"/>
      <c r="FMN55" s="55"/>
      <c r="FMO55" s="55"/>
      <c r="FMP55" s="55"/>
      <c r="FMQ55" s="55"/>
      <c r="FMR55" s="55"/>
      <c r="FMS55" s="55"/>
      <c r="FMT55" s="55"/>
      <c r="FMU55" s="55"/>
      <c r="FMV55" s="55"/>
      <c r="FMW55" s="55"/>
      <c r="FMX55" s="55"/>
      <c r="FMY55" s="55"/>
      <c r="FMZ55" s="55"/>
      <c r="FNA55" s="55"/>
      <c r="FNB55" s="55"/>
      <c r="FNC55" s="55"/>
      <c r="FND55" s="55"/>
      <c r="FNE55" s="55"/>
      <c r="FNF55" s="55"/>
      <c r="FNG55" s="55"/>
      <c r="FNH55" s="55"/>
      <c r="FNI55" s="55"/>
      <c r="FNJ55" s="55"/>
      <c r="FNK55" s="55"/>
      <c r="FNL55" s="55"/>
      <c r="FNM55" s="55"/>
      <c r="FNN55" s="55"/>
      <c r="FNO55" s="55"/>
      <c r="FNP55" s="55"/>
      <c r="FNQ55" s="55"/>
      <c r="FNR55" s="55"/>
      <c r="FNS55" s="55"/>
      <c r="FNT55" s="55"/>
      <c r="FNU55" s="55"/>
      <c r="FNV55" s="55"/>
      <c r="FNW55" s="55"/>
      <c r="FNX55" s="55"/>
      <c r="FNY55" s="55"/>
      <c r="FNZ55" s="55"/>
      <c r="FOA55" s="55"/>
      <c r="FOB55" s="55"/>
      <c r="FOC55" s="55"/>
      <c r="FOD55" s="55"/>
      <c r="FOE55" s="55"/>
      <c r="FOF55" s="55"/>
      <c r="FOG55" s="55"/>
      <c r="FOH55" s="55"/>
      <c r="FOI55" s="55"/>
      <c r="FOJ55" s="55"/>
      <c r="FOK55" s="55"/>
      <c r="FOL55" s="55"/>
      <c r="FOM55" s="55"/>
      <c r="FON55" s="55"/>
      <c r="FOO55" s="55"/>
      <c r="FOP55" s="55"/>
      <c r="FOQ55" s="55"/>
      <c r="FOR55" s="55"/>
      <c r="FOS55" s="55"/>
      <c r="FOT55" s="55"/>
      <c r="FOU55" s="55"/>
      <c r="FOV55" s="55"/>
      <c r="FOW55" s="55"/>
      <c r="FOX55" s="55"/>
      <c r="FOY55" s="55"/>
      <c r="FOZ55" s="55"/>
      <c r="FPA55" s="55"/>
      <c r="FPB55" s="55"/>
      <c r="FPC55" s="55"/>
      <c r="FPD55" s="55"/>
      <c r="FPE55" s="55"/>
      <c r="FPF55" s="55"/>
      <c r="FPG55" s="55"/>
      <c r="FPH55" s="55"/>
      <c r="FPI55" s="55"/>
      <c r="FPJ55" s="55"/>
      <c r="FPK55" s="55"/>
      <c r="FPL55" s="55"/>
      <c r="FPM55" s="55"/>
      <c r="FPN55" s="55"/>
      <c r="FPO55" s="55"/>
      <c r="FPP55" s="55"/>
      <c r="FPQ55" s="55"/>
      <c r="FPR55" s="55"/>
      <c r="FPS55" s="55"/>
      <c r="FPT55" s="55"/>
      <c r="FPU55" s="55"/>
      <c r="FPV55" s="55"/>
      <c r="FPW55" s="55"/>
      <c r="FPX55" s="55"/>
      <c r="FPY55" s="55"/>
      <c r="FPZ55" s="55"/>
      <c r="FQA55" s="55"/>
      <c r="FQB55" s="55"/>
      <c r="FQC55" s="55"/>
      <c r="FQD55" s="55"/>
      <c r="FQE55" s="55"/>
      <c r="FQF55" s="55"/>
      <c r="FQG55" s="55"/>
      <c r="FQH55" s="55"/>
      <c r="FQI55" s="55"/>
      <c r="FQJ55" s="55"/>
      <c r="FQK55" s="55"/>
      <c r="FQL55" s="55"/>
      <c r="FQM55" s="55"/>
      <c r="FQN55" s="55"/>
      <c r="FQO55" s="55"/>
      <c r="FQP55" s="55"/>
      <c r="FQQ55" s="55"/>
      <c r="FQR55" s="55"/>
      <c r="FQS55" s="55"/>
      <c r="FQT55" s="55"/>
      <c r="FQU55" s="55"/>
      <c r="FQV55" s="55"/>
      <c r="FQW55" s="55"/>
      <c r="FQX55" s="55"/>
      <c r="FQY55" s="55"/>
      <c r="FQZ55" s="55"/>
      <c r="FRA55" s="55"/>
      <c r="FRB55" s="55"/>
      <c r="FRC55" s="55"/>
      <c r="FRD55" s="55"/>
      <c r="FRE55" s="55"/>
      <c r="FRF55" s="55"/>
      <c r="FRG55" s="55"/>
      <c r="FRH55" s="55"/>
      <c r="FRI55" s="55"/>
      <c r="FRJ55" s="55"/>
      <c r="FRK55" s="55"/>
      <c r="FRL55" s="55"/>
      <c r="FRM55" s="55"/>
      <c r="FRN55" s="55"/>
      <c r="FRO55" s="55"/>
      <c r="FRP55" s="55"/>
      <c r="FRQ55" s="55"/>
      <c r="FRR55" s="55"/>
      <c r="FRS55" s="55"/>
      <c r="FRT55" s="55"/>
      <c r="FRU55" s="55"/>
      <c r="FRV55" s="55"/>
      <c r="FRW55" s="55"/>
      <c r="FRX55" s="55"/>
      <c r="FRY55" s="55"/>
      <c r="FRZ55" s="55"/>
      <c r="FSA55" s="55"/>
      <c r="FSB55" s="55"/>
      <c r="FSC55" s="55"/>
      <c r="FSD55" s="55"/>
      <c r="FSE55" s="55"/>
      <c r="FSF55" s="55"/>
      <c r="FSG55" s="55"/>
      <c r="FSH55" s="55"/>
      <c r="FSI55" s="55"/>
      <c r="FSJ55" s="55"/>
      <c r="FSK55" s="55"/>
      <c r="FSL55" s="55"/>
      <c r="FSM55" s="55"/>
      <c r="FSN55" s="55"/>
      <c r="FSO55" s="55"/>
      <c r="FSP55" s="55"/>
      <c r="FSQ55" s="55"/>
      <c r="FSR55" s="55"/>
      <c r="FSS55" s="55"/>
      <c r="FST55" s="55"/>
      <c r="FSU55" s="55"/>
      <c r="FSV55" s="55"/>
      <c r="FSW55" s="55"/>
      <c r="FSX55" s="55"/>
      <c r="FSY55" s="55"/>
      <c r="FSZ55" s="55"/>
      <c r="FTA55" s="55"/>
      <c r="FTB55" s="55"/>
      <c r="FTC55" s="55"/>
      <c r="FTD55" s="55"/>
      <c r="FTE55" s="55"/>
      <c r="FTF55" s="55"/>
      <c r="FTG55" s="55"/>
      <c r="FTH55" s="55"/>
      <c r="FTI55" s="55"/>
      <c r="FTJ55" s="55"/>
      <c r="FTK55" s="55"/>
      <c r="FTL55" s="55"/>
      <c r="FTM55" s="55"/>
      <c r="FTN55" s="55"/>
      <c r="FTO55" s="55"/>
      <c r="FTP55" s="55"/>
      <c r="FTQ55" s="55"/>
      <c r="FTR55" s="55"/>
      <c r="FTS55" s="55"/>
      <c r="FTT55" s="55"/>
      <c r="FTU55" s="55"/>
      <c r="FTV55" s="55"/>
      <c r="FTW55" s="55"/>
      <c r="FTX55" s="55"/>
      <c r="FTY55" s="55"/>
      <c r="FTZ55" s="55"/>
      <c r="FUA55" s="55"/>
      <c r="FUB55" s="55"/>
      <c r="FUC55" s="55"/>
      <c r="FUD55" s="55"/>
      <c r="FUE55" s="55"/>
      <c r="FUF55" s="55"/>
      <c r="FUG55" s="55"/>
      <c r="FUH55" s="55"/>
      <c r="FUI55" s="55"/>
      <c r="FUJ55" s="55"/>
      <c r="FUK55" s="55"/>
      <c r="FUL55" s="55"/>
      <c r="FUM55" s="55"/>
      <c r="FUN55" s="55"/>
      <c r="FUO55" s="55"/>
      <c r="FUP55" s="55"/>
      <c r="FUQ55" s="55"/>
      <c r="FUR55" s="55"/>
      <c r="FUS55" s="55"/>
      <c r="FUT55" s="55"/>
      <c r="FUU55" s="55"/>
      <c r="FUV55" s="55"/>
      <c r="FUW55" s="55"/>
      <c r="FUX55" s="55"/>
      <c r="FUY55" s="55"/>
      <c r="FUZ55" s="55"/>
      <c r="FVA55" s="55"/>
      <c r="FVB55" s="55"/>
      <c r="FVC55" s="55"/>
      <c r="FVD55" s="55"/>
      <c r="FVE55" s="55"/>
      <c r="FVF55" s="55"/>
      <c r="FVG55" s="55"/>
      <c r="FVH55" s="55"/>
      <c r="FVI55" s="55"/>
      <c r="FVJ55" s="55"/>
      <c r="FVK55" s="55"/>
      <c r="FVL55" s="55"/>
      <c r="FVM55" s="55"/>
      <c r="FVN55" s="55"/>
      <c r="FVO55" s="55"/>
      <c r="FVP55" s="55"/>
      <c r="FVQ55" s="55"/>
      <c r="FVR55" s="55"/>
      <c r="FVS55" s="55"/>
      <c r="FVT55" s="55"/>
      <c r="FVU55" s="55"/>
      <c r="FVV55" s="55"/>
      <c r="FVW55" s="55"/>
      <c r="FVX55" s="55"/>
      <c r="FVY55" s="55"/>
      <c r="FVZ55" s="55"/>
      <c r="FWA55" s="55"/>
      <c r="FWB55" s="55"/>
      <c r="FWC55" s="55"/>
      <c r="FWD55" s="55"/>
      <c r="FWE55" s="55"/>
      <c r="FWF55" s="55"/>
      <c r="FWG55" s="55"/>
      <c r="FWH55" s="55"/>
      <c r="FWI55" s="55"/>
      <c r="FWJ55" s="55"/>
      <c r="FWK55" s="55"/>
      <c r="FWL55" s="55"/>
      <c r="FWM55" s="55"/>
      <c r="FWN55" s="55"/>
      <c r="FWO55" s="55"/>
      <c r="FWP55" s="55"/>
      <c r="FWQ55" s="55"/>
      <c r="FWR55" s="55"/>
      <c r="FWS55" s="55"/>
      <c r="FWT55" s="55"/>
      <c r="FWU55" s="55"/>
      <c r="FWV55" s="55"/>
      <c r="FWW55" s="55"/>
      <c r="FWX55" s="55"/>
      <c r="FWY55" s="55"/>
      <c r="FWZ55" s="55"/>
      <c r="FXA55" s="55"/>
      <c r="FXB55" s="55"/>
      <c r="FXC55" s="55"/>
      <c r="FXD55" s="55"/>
      <c r="FXE55" s="55"/>
      <c r="FXF55" s="55"/>
      <c r="FXG55" s="55"/>
      <c r="FXH55" s="55"/>
      <c r="FXI55" s="55"/>
      <c r="FXJ55" s="55"/>
      <c r="FXK55" s="55"/>
      <c r="FXL55" s="55"/>
      <c r="FXM55" s="55"/>
      <c r="FXN55" s="55"/>
      <c r="FXO55" s="55"/>
      <c r="FXP55" s="55"/>
      <c r="FXQ55" s="55"/>
      <c r="FXR55" s="55"/>
      <c r="FXS55" s="55"/>
      <c r="FXT55" s="55"/>
      <c r="FXU55" s="55"/>
      <c r="FXV55" s="55"/>
      <c r="FXW55" s="55"/>
      <c r="FXX55" s="55"/>
      <c r="FXY55" s="55"/>
      <c r="FXZ55" s="55"/>
      <c r="FYA55" s="55"/>
      <c r="FYB55" s="55"/>
      <c r="FYC55" s="55"/>
      <c r="FYD55" s="55"/>
      <c r="FYE55" s="55"/>
      <c r="FYF55" s="55"/>
      <c r="FYG55" s="55"/>
      <c r="FYH55" s="55"/>
      <c r="FYI55" s="55"/>
      <c r="FYJ55" s="55"/>
      <c r="FYK55" s="55"/>
      <c r="FYL55" s="55"/>
      <c r="FYM55" s="55"/>
      <c r="FYN55" s="55"/>
      <c r="FYO55" s="55"/>
      <c r="FYP55" s="55"/>
      <c r="FYQ55" s="55"/>
      <c r="FYR55" s="55"/>
      <c r="FYS55" s="55"/>
      <c r="FYT55" s="55"/>
      <c r="FYU55" s="55"/>
      <c r="FYV55" s="55"/>
      <c r="FYW55" s="55"/>
      <c r="FYX55" s="55"/>
      <c r="FYY55" s="55"/>
      <c r="FYZ55" s="55"/>
      <c r="FZA55" s="55"/>
      <c r="FZB55" s="55"/>
      <c r="FZC55" s="55"/>
      <c r="FZD55" s="55"/>
      <c r="FZE55" s="55"/>
      <c r="FZF55" s="55"/>
      <c r="FZG55" s="55"/>
      <c r="FZH55" s="55"/>
      <c r="FZI55" s="55"/>
      <c r="FZJ55" s="55"/>
      <c r="FZK55" s="55"/>
      <c r="FZL55" s="55"/>
      <c r="FZM55" s="55"/>
      <c r="FZN55" s="55"/>
      <c r="FZO55" s="55"/>
      <c r="FZP55" s="55"/>
      <c r="FZQ55" s="55"/>
      <c r="FZR55" s="55"/>
      <c r="FZS55" s="55"/>
      <c r="FZT55" s="55"/>
      <c r="FZU55" s="55"/>
      <c r="FZV55" s="55"/>
      <c r="FZW55" s="55"/>
      <c r="FZX55" s="55"/>
      <c r="FZY55" s="55"/>
      <c r="FZZ55" s="55"/>
      <c r="GAA55" s="55"/>
      <c r="GAB55" s="55"/>
      <c r="GAC55" s="55"/>
      <c r="GAD55" s="55"/>
      <c r="GAE55" s="55"/>
      <c r="GAF55" s="55"/>
      <c r="GAG55" s="55"/>
      <c r="GAH55" s="55"/>
      <c r="GAI55" s="55"/>
      <c r="GAJ55" s="55"/>
      <c r="GAK55" s="55"/>
      <c r="GAL55" s="55"/>
      <c r="GAM55" s="55"/>
      <c r="GAN55" s="55"/>
      <c r="GAO55" s="55"/>
      <c r="GAP55" s="55"/>
      <c r="GAQ55" s="55"/>
      <c r="GAR55" s="55"/>
      <c r="GAS55" s="55"/>
      <c r="GAT55" s="55"/>
      <c r="GAU55" s="55"/>
      <c r="GAV55" s="55"/>
      <c r="GAW55" s="55"/>
      <c r="GAX55" s="55"/>
      <c r="GAY55" s="55"/>
      <c r="GAZ55" s="55"/>
      <c r="GBA55" s="55"/>
      <c r="GBB55" s="55"/>
      <c r="GBC55" s="55"/>
      <c r="GBD55" s="55"/>
      <c r="GBE55" s="55"/>
      <c r="GBF55" s="55"/>
      <c r="GBG55" s="55"/>
      <c r="GBH55" s="55"/>
      <c r="GBI55" s="55"/>
      <c r="GBJ55" s="55"/>
      <c r="GBK55" s="55"/>
      <c r="GBL55" s="55"/>
      <c r="GBM55" s="55"/>
      <c r="GBN55" s="55"/>
      <c r="GBO55" s="55"/>
      <c r="GBP55" s="55"/>
      <c r="GBQ55" s="55"/>
      <c r="GBR55" s="55"/>
      <c r="GBS55" s="55"/>
      <c r="GBT55" s="55"/>
      <c r="GBU55" s="55"/>
      <c r="GBV55" s="55"/>
      <c r="GBW55" s="55"/>
      <c r="GBX55" s="55"/>
      <c r="GBY55" s="55"/>
      <c r="GBZ55" s="55"/>
      <c r="GCA55" s="55"/>
      <c r="GCB55" s="55"/>
      <c r="GCC55" s="55"/>
      <c r="GCD55" s="55"/>
      <c r="GCE55" s="55"/>
      <c r="GCF55" s="55"/>
      <c r="GCG55" s="55"/>
      <c r="GCH55" s="55"/>
      <c r="GCI55" s="55"/>
      <c r="GCJ55" s="55"/>
      <c r="GCK55" s="55"/>
      <c r="GCL55" s="55"/>
      <c r="GCM55" s="55"/>
      <c r="GCN55" s="55"/>
      <c r="GCO55" s="55"/>
      <c r="GCP55" s="55"/>
      <c r="GCQ55" s="55"/>
      <c r="GCR55" s="55"/>
      <c r="GCS55" s="55"/>
      <c r="GCT55" s="55"/>
      <c r="GCU55" s="55"/>
      <c r="GCV55" s="55"/>
      <c r="GCW55" s="55"/>
      <c r="GCX55" s="55"/>
      <c r="GCY55" s="55"/>
      <c r="GCZ55" s="55"/>
      <c r="GDA55" s="55"/>
      <c r="GDB55" s="55"/>
      <c r="GDC55" s="55"/>
      <c r="GDD55" s="55"/>
      <c r="GDE55" s="55"/>
      <c r="GDF55" s="55"/>
      <c r="GDG55" s="55"/>
      <c r="GDH55" s="55"/>
      <c r="GDI55" s="55"/>
      <c r="GDJ55" s="55"/>
      <c r="GDK55" s="55"/>
      <c r="GDL55" s="55"/>
      <c r="GDM55" s="55"/>
      <c r="GDN55" s="55"/>
      <c r="GDO55" s="55"/>
      <c r="GDP55" s="55"/>
      <c r="GDQ55" s="55"/>
      <c r="GDR55" s="55"/>
      <c r="GDS55" s="55"/>
      <c r="GDT55" s="55"/>
      <c r="GDU55" s="55"/>
      <c r="GDV55" s="55"/>
      <c r="GDW55" s="55"/>
      <c r="GDX55" s="55"/>
      <c r="GDY55" s="55"/>
      <c r="GDZ55" s="55"/>
      <c r="GEA55" s="55"/>
      <c r="GEB55" s="55"/>
      <c r="GEC55" s="55"/>
      <c r="GED55" s="55"/>
      <c r="GEE55" s="55"/>
      <c r="GEF55" s="55"/>
      <c r="GEG55" s="55"/>
      <c r="GEH55" s="55"/>
      <c r="GEI55" s="55"/>
      <c r="GEJ55" s="55"/>
      <c r="GEK55" s="55"/>
      <c r="GEL55" s="55"/>
      <c r="GEM55" s="55"/>
      <c r="GEN55" s="55"/>
      <c r="GEO55" s="55"/>
      <c r="GEP55" s="55"/>
      <c r="GEQ55" s="55"/>
      <c r="GER55" s="55"/>
      <c r="GES55" s="55"/>
      <c r="GET55" s="55"/>
      <c r="GEU55" s="55"/>
      <c r="GEV55" s="55"/>
      <c r="GEW55" s="55"/>
      <c r="GEX55" s="55"/>
      <c r="GEY55" s="55"/>
      <c r="GEZ55" s="55"/>
      <c r="GFA55" s="55"/>
      <c r="GFB55" s="55"/>
      <c r="GFC55" s="55"/>
      <c r="GFD55" s="55"/>
      <c r="GFE55" s="55"/>
      <c r="GFF55" s="55"/>
      <c r="GFG55" s="55"/>
      <c r="GFH55" s="55"/>
      <c r="GFI55" s="55"/>
      <c r="GFJ55" s="55"/>
      <c r="GFK55" s="55"/>
      <c r="GFL55" s="55"/>
      <c r="GFM55" s="55"/>
      <c r="GFN55" s="55"/>
      <c r="GFO55" s="55"/>
      <c r="GFP55" s="55"/>
      <c r="GFQ55" s="55"/>
      <c r="GFR55" s="55"/>
      <c r="GFS55" s="55"/>
      <c r="GFT55" s="55"/>
      <c r="GFU55" s="55"/>
      <c r="GFV55" s="55"/>
      <c r="GFW55" s="55"/>
      <c r="GFX55" s="55"/>
      <c r="GFY55" s="55"/>
      <c r="GFZ55" s="55"/>
      <c r="GGA55" s="55"/>
      <c r="GGB55" s="55"/>
      <c r="GGC55" s="55"/>
      <c r="GGD55" s="55"/>
      <c r="GGE55" s="55"/>
      <c r="GGF55" s="55"/>
      <c r="GGG55" s="55"/>
      <c r="GGH55" s="55"/>
      <c r="GGI55" s="55"/>
      <c r="GGJ55" s="55"/>
      <c r="GGK55" s="55"/>
      <c r="GGL55" s="55"/>
      <c r="GGM55" s="55"/>
      <c r="GGN55" s="55"/>
      <c r="GGO55" s="55"/>
      <c r="GGP55" s="55"/>
      <c r="GGQ55" s="55"/>
      <c r="GGR55" s="55"/>
      <c r="GGS55" s="55"/>
      <c r="GGT55" s="55"/>
      <c r="GGU55" s="55"/>
      <c r="GGV55" s="55"/>
      <c r="GGW55" s="55"/>
      <c r="GGX55" s="55"/>
      <c r="GGY55" s="55"/>
      <c r="GGZ55" s="55"/>
      <c r="GHA55" s="55"/>
      <c r="GHB55" s="55"/>
      <c r="GHC55" s="55"/>
      <c r="GHD55" s="55"/>
      <c r="GHE55" s="55"/>
      <c r="GHF55" s="55"/>
      <c r="GHG55" s="55"/>
      <c r="GHH55" s="55"/>
      <c r="GHI55" s="55"/>
      <c r="GHJ55" s="55"/>
      <c r="GHK55" s="55"/>
      <c r="GHL55" s="55"/>
      <c r="GHM55" s="55"/>
      <c r="GHN55" s="55"/>
      <c r="GHO55" s="55"/>
      <c r="GHP55" s="55"/>
      <c r="GHQ55" s="55"/>
      <c r="GHR55" s="55"/>
      <c r="GHS55" s="55"/>
      <c r="GHT55" s="55"/>
      <c r="GHU55" s="55"/>
      <c r="GHV55" s="55"/>
      <c r="GHW55" s="55"/>
      <c r="GHX55" s="55"/>
      <c r="GHY55" s="55"/>
      <c r="GHZ55" s="55"/>
      <c r="GIA55" s="55"/>
      <c r="GIB55" s="55"/>
      <c r="GIC55" s="55"/>
      <c r="GID55" s="55"/>
      <c r="GIE55" s="55"/>
      <c r="GIF55" s="55"/>
      <c r="GIG55" s="55"/>
      <c r="GIH55" s="55"/>
      <c r="GII55" s="55"/>
      <c r="GIJ55" s="55"/>
      <c r="GIK55" s="55"/>
      <c r="GIL55" s="55"/>
      <c r="GIM55" s="55"/>
      <c r="GIN55" s="55"/>
      <c r="GIO55" s="55"/>
      <c r="GIP55" s="55"/>
      <c r="GIQ55" s="55"/>
      <c r="GIR55" s="55"/>
      <c r="GIS55" s="55"/>
      <c r="GIT55" s="55"/>
      <c r="GIU55" s="55"/>
      <c r="GIV55" s="55"/>
      <c r="GIW55" s="55"/>
      <c r="GIX55" s="55"/>
      <c r="GIY55" s="55"/>
      <c r="GIZ55" s="55"/>
      <c r="GJA55" s="55"/>
      <c r="GJB55" s="55"/>
      <c r="GJC55" s="55"/>
      <c r="GJD55" s="55"/>
      <c r="GJE55" s="55"/>
      <c r="GJF55" s="55"/>
      <c r="GJG55" s="55"/>
      <c r="GJH55" s="55"/>
      <c r="GJI55" s="55"/>
      <c r="GJJ55" s="55"/>
      <c r="GJK55" s="55"/>
      <c r="GJL55" s="55"/>
      <c r="GJM55" s="55"/>
      <c r="GJN55" s="55"/>
      <c r="GJO55" s="55"/>
      <c r="GJP55" s="55"/>
      <c r="GJQ55" s="55"/>
      <c r="GJR55" s="55"/>
      <c r="GJS55" s="55"/>
      <c r="GJT55" s="55"/>
      <c r="GJU55" s="55"/>
      <c r="GJV55" s="55"/>
      <c r="GJW55" s="55"/>
      <c r="GJX55" s="55"/>
      <c r="GJY55" s="55"/>
      <c r="GJZ55" s="55"/>
      <c r="GKA55" s="55"/>
      <c r="GKB55" s="55"/>
      <c r="GKC55" s="55"/>
      <c r="GKD55" s="55"/>
      <c r="GKE55" s="55"/>
      <c r="GKF55" s="55"/>
      <c r="GKG55" s="55"/>
      <c r="GKH55" s="55"/>
      <c r="GKI55" s="55"/>
      <c r="GKJ55" s="55"/>
      <c r="GKK55" s="55"/>
      <c r="GKL55" s="55"/>
      <c r="GKM55" s="55"/>
      <c r="GKN55" s="55"/>
      <c r="GKO55" s="55"/>
      <c r="GKP55" s="55"/>
      <c r="GKQ55" s="55"/>
      <c r="GKR55" s="55"/>
      <c r="GKS55" s="55"/>
      <c r="GKT55" s="55"/>
      <c r="GKU55" s="55"/>
      <c r="GKV55" s="55"/>
      <c r="GKW55" s="55"/>
      <c r="GKX55" s="55"/>
      <c r="GKY55" s="55"/>
      <c r="GKZ55" s="55"/>
      <c r="GLA55" s="55"/>
      <c r="GLB55" s="55"/>
      <c r="GLC55" s="55"/>
      <c r="GLD55" s="55"/>
      <c r="GLE55" s="55"/>
      <c r="GLF55" s="55"/>
      <c r="GLG55" s="55"/>
      <c r="GLH55" s="55"/>
      <c r="GLI55" s="55"/>
      <c r="GLJ55" s="55"/>
      <c r="GLK55" s="55"/>
      <c r="GLL55" s="55"/>
      <c r="GLM55" s="55"/>
      <c r="GLN55" s="55"/>
      <c r="GLO55" s="55"/>
      <c r="GLP55" s="55"/>
      <c r="GLQ55" s="55"/>
      <c r="GLR55" s="55"/>
      <c r="GLS55" s="55"/>
      <c r="GLT55" s="55"/>
      <c r="GLU55" s="55"/>
      <c r="GLV55" s="55"/>
      <c r="GLW55" s="55"/>
      <c r="GLX55" s="55"/>
      <c r="GLY55" s="55"/>
      <c r="GLZ55" s="55"/>
      <c r="GMA55" s="55"/>
      <c r="GMB55" s="55"/>
      <c r="GMC55" s="55"/>
      <c r="GMD55" s="55"/>
      <c r="GME55" s="55"/>
      <c r="GMF55" s="55"/>
      <c r="GMG55" s="55"/>
      <c r="GMH55" s="55"/>
      <c r="GMI55" s="55"/>
      <c r="GMJ55" s="55"/>
      <c r="GMK55" s="55"/>
      <c r="GML55" s="55"/>
      <c r="GMM55" s="55"/>
      <c r="GMN55" s="55"/>
      <c r="GMO55" s="55"/>
      <c r="GMP55" s="55"/>
      <c r="GMQ55" s="55"/>
      <c r="GMR55" s="55"/>
      <c r="GMS55" s="55"/>
      <c r="GMT55" s="55"/>
      <c r="GMU55" s="55"/>
      <c r="GMV55" s="55"/>
      <c r="GMW55" s="55"/>
      <c r="GMX55" s="55"/>
      <c r="GMY55" s="55"/>
      <c r="GMZ55" s="55"/>
      <c r="GNA55" s="55"/>
      <c r="GNB55" s="55"/>
      <c r="GNC55" s="55"/>
      <c r="GND55" s="55"/>
      <c r="GNE55" s="55"/>
      <c r="GNF55" s="55"/>
      <c r="GNG55" s="55"/>
      <c r="GNH55" s="55"/>
      <c r="GNI55" s="55"/>
      <c r="GNJ55" s="55"/>
      <c r="GNK55" s="55"/>
      <c r="GNL55" s="55"/>
      <c r="GNM55" s="55"/>
      <c r="GNN55" s="55"/>
      <c r="GNO55" s="55"/>
      <c r="GNP55" s="55"/>
      <c r="GNQ55" s="55"/>
      <c r="GNR55" s="55"/>
      <c r="GNS55" s="55"/>
      <c r="GNT55" s="55"/>
      <c r="GNU55" s="55"/>
      <c r="GNV55" s="55"/>
      <c r="GNW55" s="55"/>
      <c r="GNX55" s="55"/>
      <c r="GNY55" s="55"/>
      <c r="GNZ55" s="55"/>
      <c r="GOA55" s="55"/>
      <c r="GOB55" s="55"/>
      <c r="GOC55" s="55"/>
      <c r="GOD55" s="55"/>
      <c r="GOE55" s="55"/>
      <c r="GOF55" s="55"/>
      <c r="GOG55" s="55"/>
      <c r="GOH55" s="55"/>
      <c r="GOI55" s="55"/>
      <c r="GOJ55" s="55"/>
      <c r="GOK55" s="55"/>
      <c r="GOL55" s="55"/>
      <c r="GOM55" s="55"/>
      <c r="GON55" s="55"/>
      <c r="GOO55" s="55"/>
      <c r="GOP55" s="55"/>
      <c r="GOQ55" s="55"/>
      <c r="GOR55" s="55"/>
      <c r="GOS55" s="55"/>
      <c r="GOT55" s="55"/>
      <c r="GOU55" s="55"/>
      <c r="GOV55" s="55"/>
      <c r="GOW55" s="55"/>
      <c r="GOX55" s="55"/>
      <c r="GOY55" s="55"/>
      <c r="GOZ55" s="55"/>
      <c r="GPA55" s="55"/>
      <c r="GPB55" s="55"/>
      <c r="GPC55" s="55"/>
      <c r="GPD55" s="55"/>
      <c r="GPE55" s="55"/>
      <c r="GPF55" s="55"/>
      <c r="GPG55" s="55"/>
      <c r="GPH55" s="55"/>
      <c r="GPI55" s="55"/>
      <c r="GPJ55" s="55"/>
      <c r="GPK55" s="55"/>
      <c r="GPL55" s="55"/>
      <c r="GPM55" s="55"/>
      <c r="GPN55" s="55"/>
      <c r="GPO55" s="55"/>
      <c r="GPP55" s="55"/>
      <c r="GPQ55" s="55"/>
      <c r="GPR55" s="55"/>
      <c r="GPS55" s="55"/>
      <c r="GPT55" s="55"/>
      <c r="GPU55" s="55"/>
      <c r="GPV55" s="55"/>
      <c r="GPW55" s="55"/>
      <c r="GPX55" s="55"/>
      <c r="GPY55" s="55"/>
      <c r="GPZ55" s="55"/>
      <c r="GQA55" s="55"/>
      <c r="GQB55" s="55"/>
      <c r="GQC55" s="55"/>
      <c r="GQD55" s="55"/>
      <c r="GQE55" s="55"/>
      <c r="GQF55" s="55"/>
      <c r="GQG55" s="55"/>
      <c r="GQH55" s="55"/>
      <c r="GQI55" s="55"/>
      <c r="GQJ55" s="55"/>
      <c r="GQK55" s="55"/>
      <c r="GQL55" s="55"/>
      <c r="GQM55" s="55"/>
      <c r="GQN55" s="55"/>
      <c r="GQO55" s="55"/>
      <c r="GQP55" s="55"/>
      <c r="GQQ55" s="55"/>
      <c r="GQR55" s="55"/>
      <c r="GQS55" s="55"/>
      <c r="GQT55" s="55"/>
      <c r="GQU55" s="55"/>
      <c r="GQV55" s="55"/>
      <c r="GQW55" s="55"/>
      <c r="GQX55" s="55"/>
      <c r="GQY55" s="55"/>
      <c r="GQZ55" s="55"/>
      <c r="GRA55" s="55"/>
      <c r="GRB55" s="55"/>
      <c r="GRC55" s="55"/>
      <c r="GRD55" s="55"/>
      <c r="GRE55" s="55"/>
      <c r="GRF55" s="55"/>
      <c r="GRG55" s="55"/>
      <c r="GRH55" s="55"/>
      <c r="GRI55" s="55"/>
      <c r="GRJ55" s="55"/>
      <c r="GRK55" s="55"/>
      <c r="GRL55" s="55"/>
      <c r="GRM55" s="55"/>
      <c r="GRN55" s="55"/>
      <c r="GRO55" s="55"/>
      <c r="GRP55" s="55"/>
      <c r="GRQ55" s="55"/>
      <c r="GRR55" s="55"/>
      <c r="GRS55" s="55"/>
      <c r="GRT55" s="55"/>
      <c r="GRU55" s="55"/>
      <c r="GRV55" s="55"/>
      <c r="GRW55" s="55"/>
      <c r="GRX55" s="55"/>
      <c r="GRY55" s="55"/>
      <c r="GRZ55" s="55"/>
      <c r="GSA55" s="55"/>
      <c r="GSB55" s="55"/>
      <c r="GSC55" s="55"/>
      <c r="GSD55" s="55"/>
      <c r="GSE55" s="55"/>
      <c r="GSF55" s="55"/>
      <c r="GSG55" s="55"/>
      <c r="GSH55" s="55"/>
      <c r="GSI55" s="55"/>
      <c r="GSJ55" s="55"/>
      <c r="GSK55" s="55"/>
      <c r="GSL55" s="55"/>
      <c r="GSM55" s="55"/>
      <c r="GSN55" s="55"/>
      <c r="GSO55" s="55"/>
      <c r="GSP55" s="55"/>
      <c r="GSQ55" s="55"/>
      <c r="GSR55" s="55"/>
      <c r="GSS55" s="55"/>
      <c r="GST55" s="55"/>
      <c r="GSU55" s="55"/>
      <c r="GSV55" s="55"/>
      <c r="GSW55" s="55"/>
      <c r="GSX55" s="55"/>
      <c r="GSY55" s="55"/>
      <c r="GSZ55" s="55"/>
      <c r="GTA55" s="55"/>
      <c r="GTB55" s="55"/>
      <c r="GTC55" s="55"/>
      <c r="GTD55" s="55"/>
      <c r="GTE55" s="55"/>
      <c r="GTF55" s="55"/>
      <c r="GTG55" s="55"/>
      <c r="GTH55" s="55"/>
      <c r="GTI55" s="55"/>
      <c r="GTJ55" s="55"/>
      <c r="GTK55" s="55"/>
      <c r="GTL55" s="55"/>
      <c r="GTM55" s="55"/>
      <c r="GTN55" s="55"/>
      <c r="GTO55" s="55"/>
      <c r="GTP55" s="55"/>
      <c r="GTQ55" s="55"/>
      <c r="GTR55" s="55"/>
      <c r="GTS55" s="55"/>
      <c r="GTT55" s="55"/>
      <c r="GTU55" s="55"/>
      <c r="GTV55" s="55"/>
      <c r="GTW55" s="55"/>
      <c r="GTX55" s="55"/>
      <c r="GTY55" s="55"/>
      <c r="GTZ55" s="55"/>
      <c r="GUA55" s="55"/>
      <c r="GUB55" s="55"/>
      <c r="GUC55" s="55"/>
      <c r="GUD55" s="55"/>
      <c r="GUE55" s="55"/>
      <c r="GUF55" s="55"/>
      <c r="GUG55" s="55"/>
      <c r="GUH55" s="55"/>
      <c r="GUI55" s="55"/>
      <c r="GUJ55" s="55"/>
      <c r="GUK55" s="55"/>
      <c r="GUL55" s="55"/>
      <c r="GUM55" s="55"/>
      <c r="GUN55" s="55"/>
      <c r="GUO55" s="55"/>
      <c r="GUP55" s="55"/>
      <c r="GUQ55" s="55"/>
      <c r="GUR55" s="55"/>
      <c r="GUS55" s="55"/>
      <c r="GUT55" s="55"/>
      <c r="GUU55" s="55"/>
      <c r="GUV55" s="55"/>
      <c r="GUW55" s="55"/>
      <c r="GUX55" s="55"/>
      <c r="GUY55" s="55"/>
      <c r="GUZ55" s="55"/>
      <c r="GVA55" s="55"/>
      <c r="GVB55" s="55"/>
      <c r="GVC55" s="55"/>
      <c r="GVD55" s="55"/>
      <c r="GVE55" s="55"/>
      <c r="GVF55" s="55"/>
      <c r="GVG55" s="55"/>
      <c r="GVH55" s="55"/>
      <c r="GVI55" s="55"/>
      <c r="GVJ55" s="55"/>
      <c r="GVK55" s="55"/>
      <c r="GVL55" s="55"/>
      <c r="GVM55" s="55"/>
      <c r="GVN55" s="55"/>
      <c r="GVO55" s="55"/>
      <c r="GVP55" s="55"/>
      <c r="GVQ55" s="55"/>
      <c r="GVR55" s="55"/>
      <c r="GVS55" s="55"/>
      <c r="GVT55" s="55"/>
      <c r="GVU55" s="55"/>
      <c r="GVV55" s="55"/>
      <c r="GVW55" s="55"/>
      <c r="GVX55" s="55"/>
      <c r="GVY55" s="55"/>
      <c r="GVZ55" s="55"/>
      <c r="GWA55" s="55"/>
      <c r="GWB55" s="55"/>
      <c r="GWC55" s="55"/>
      <c r="GWD55" s="55"/>
      <c r="GWE55" s="55"/>
      <c r="GWF55" s="55"/>
      <c r="GWG55" s="55"/>
      <c r="GWH55" s="55"/>
      <c r="GWI55" s="55"/>
      <c r="GWJ55" s="55"/>
      <c r="GWK55" s="55"/>
      <c r="GWL55" s="55"/>
      <c r="GWM55" s="55"/>
      <c r="GWN55" s="55"/>
      <c r="GWO55" s="55"/>
      <c r="GWP55" s="55"/>
      <c r="GWQ55" s="55"/>
      <c r="GWR55" s="55"/>
      <c r="GWS55" s="55"/>
      <c r="GWT55" s="55"/>
      <c r="GWU55" s="55"/>
      <c r="GWV55" s="55"/>
      <c r="GWW55" s="55"/>
      <c r="GWX55" s="55"/>
      <c r="GWY55" s="55"/>
      <c r="GWZ55" s="55"/>
      <c r="GXA55" s="55"/>
      <c r="GXB55" s="55"/>
      <c r="GXC55" s="55"/>
      <c r="GXD55" s="55"/>
      <c r="GXE55" s="55"/>
      <c r="GXF55" s="55"/>
      <c r="GXG55" s="55"/>
      <c r="GXH55" s="55"/>
      <c r="GXI55" s="55"/>
      <c r="GXJ55" s="55"/>
      <c r="GXK55" s="55"/>
      <c r="GXL55" s="55"/>
      <c r="GXM55" s="55"/>
      <c r="GXN55" s="55"/>
      <c r="GXO55" s="55"/>
      <c r="GXP55" s="55"/>
      <c r="GXQ55" s="55"/>
      <c r="GXR55" s="55"/>
      <c r="GXS55" s="55"/>
      <c r="GXT55" s="55"/>
      <c r="GXU55" s="55"/>
      <c r="GXV55" s="55"/>
      <c r="GXW55" s="55"/>
      <c r="GXX55" s="55"/>
      <c r="GXY55" s="55"/>
      <c r="GXZ55" s="55"/>
      <c r="GYA55" s="55"/>
      <c r="GYB55" s="55"/>
      <c r="GYC55" s="55"/>
      <c r="GYD55" s="55"/>
      <c r="GYE55" s="55"/>
      <c r="GYF55" s="55"/>
      <c r="GYG55" s="55"/>
      <c r="GYH55" s="55"/>
      <c r="GYI55" s="55"/>
      <c r="GYJ55" s="55"/>
      <c r="GYK55" s="55"/>
      <c r="GYL55" s="55"/>
      <c r="GYM55" s="55"/>
      <c r="GYN55" s="55"/>
      <c r="GYO55" s="55"/>
      <c r="GYP55" s="55"/>
      <c r="GYQ55" s="55"/>
      <c r="GYR55" s="55"/>
      <c r="GYS55" s="55"/>
      <c r="GYT55" s="55"/>
      <c r="GYU55" s="55"/>
      <c r="GYV55" s="55"/>
      <c r="GYW55" s="55"/>
      <c r="GYX55" s="55"/>
      <c r="GYY55" s="55"/>
      <c r="GYZ55" s="55"/>
      <c r="GZA55" s="55"/>
      <c r="GZB55" s="55"/>
      <c r="GZC55" s="55"/>
      <c r="GZD55" s="55"/>
      <c r="GZE55" s="55"/>
      <c r="GZF55" s="55"/>
      <c r="GZG55" s="55"/>
      <c r="GZH55" s="55"/>
      <c r="GZI55" s="55"/>
      <c r="GZJ55" s="55"/>
      <c r="GZK55" s="55"/>
      <c r="GZL55" s="55"/>
      <c r="GZM55" s="55"/>
      <c r="GZN55" s="55"/>
      <c r="GZO55" s="55"/>
      <c r="GZP55" s="55"/>
      <c r="GZQ55" s="55"/>
      <c r="GZR55" s="55"/>
      <c r="GZS55" s="55"/>
      <c r="GZT55" s="55"/>
      <c r="GZU55" s="55"/>
      <c r="GZV55" s="55"/>
      <c r="GZW55" s="55"/>
      <c r="GZX55" s="55"/>
      <c r="GZY55" s="55"/>
      <c r="GZZ55" s="55"/>
      <c r="HAA55" s="55"/>
      <c r="HAB55" s="55"/>
      <c r="HAC55" s="55"/>
      <c r="HAD55" s="55"/>
      <c r="HAE55" s="55"/>
      <c r="HAF55" s="55"/>
      <c r="HAG55" s="55"/>
      <c r="HAH55" s="55"/>
      <c r="HAI55" s="55"/>
      <c r="HAJ55" s="55"/>
      <c r="HAK55" s="55"/>
      <c r="HAL55" s="55"/>
      <c r="HAM55" s="55"/>
      <c r="HAN55" s="55"/>
      <c r="HAO55" s="55"/>
      <c r="HAP55" s="55"/>
      <c r="HAQ55" s="55"/>
      <c r="HAR55" s="55"/>
      <c r="HAS55" s="55"/>
      <c r="HAT55" s="55"/>
      <c r="HAU55" s="55"/>
      <c r="HAV55" s="55"/>
      <c r="HAW55" s="55"/>
      <c r="HAX55" s="55"/>
      <c r="HAY55" s="55"/>
      <c r="HAZ55" s="55"/>
      <c r="HBA55" s="55"/>
      <c r="HBB55" s="55"/>
      <c r="HBC55" s="55"/>
      <c r="HBD55" s="55"/>
      <c r="HBE55" s="55"/>
      <c r="HBF55" s="55"/>
      <c r="HBG55" s="55"/>
      <c r="HBH55" s="55"/>
      <c r="HBI55" s="55"/>
      <c r="HBJ55" s="55"/>
      <c r="HBK55" s="55"/>
      <c r="HBL55" s="55"/>
      <c r="HBM55" s="55"/>
      <c r="HBN55" s="55"/>
      <c r="HBO55" s="55"/>
      <c r="HBP55" s="55"/>
      <c r="HBQ55" s="55"/>
      <c r="HBR55" s="55"/>
      <c r="HBS55" s="55"/>
      <c r="HBT55" s="55"/>
      <c r="HBU55" s="55"/>
      <c r="HBV55" s="55"/>
      <c r="HBW55" s="55"/>
      <c r="HBX55" s="55"/>
      <c r="HBY55" s="55"/>
      <c r="HBZ55" s="55"/>
      <c r="HCA55" s="55"/>
      <c r="HCB55" s="55"/>
      <c r="HCC55" s="55"/>
      <c r="HCD55" s="55"/>
      <c r="HCE55" s="55"/>
      <c r="HCF55" s="55"/>
      <c r="HCG55" s="55"/>
      <c r="HCH55" s="55"/>
      <c r="HCI55" s="55"/>
      <c r="HCJ55" s="55"/>
      <c r="HCK55" s="55"/>
      <c r="HCL55" s="55"/>
      <c r="HCM55" s="55"/>
      <c r="HCN55" s="55"/>
      <c r="HCO55" s="55"/>
      <c r="HCP55" s="55"/>
      <c r="HCQ55" s="55"/>
      <c r="HCR55" s="55"/>
      <c r="HCS55" s="55"/>
      <c r="HCT55" s="55"/>
      <c r="HCU55" s="55"/>
      <c r="HCV55" s="55"/>
      <c r="HCW55" s="55"/>
      <c r="HCX55" s="55"/>
      <c r="HCY55" s="55"/>
      <c r="HCZ55" s="55"/>
      <c r="HDA55" s="55"/>
      <c r="HDB55" s="55"/>
      <c r="HDC55" s="55"/>
      <c r="HDD55" s="55"/>
      <c r="HDE55" s="55"/>
      <c r="HDF55" s="55"/>
      <c r="HDG55" s="55"/>
      <c r="HDH55" s="55"/>
      <c r="HDI55" s="55"/>
      <c r="HDJ55" s="55"/>
      <c r="HDK55" s="55"/>
      <c r="HDL55" s="55"/>
      <c r="HDM55" s="55"/>
      <c r="HDN55" s="55"/>
      <c r="HDO55" s="55"/>
      <c r="HDP55" s="55"/>
      <c r="HDQ55" s="55"/>
      <c r="HDR55" s="55"/>
      <c r="HDS55" s="55"/>
      <c r="HDT55" s="55"/>
      <c r="HDU55" s="55"/>
      <c r="HDV55" s="55"/>
      <c r="HDW55" s="55"/>
      <c r="HDX55" s="55"/>
      <c r="HDY55" s="55"/>
      <c r="HDZ55" s="55"/>
      <c r="HEA55" s="55"/>
      <c r="HEB55" s="55"/>
      <c r="HEC55" s="55"/>
      <c r="HED55" s="55"/>
      <c r="HEE55" s="55"/>
      <c r="HEF55" s="55"/>
      <c r="HEG55" s="55"/>
      <c r="HEH55" s="55"/>
      <c r="HEI55" s="55"/>
      <c r="HEJ55" s="55"/>
      <c r="HEK55" s="55"/>
      <c r="HEL55" s="55"/>
      <c r="HEM55" s="55"/>
      <c r="HEN55" s="55"/>
      <c r="HEO55" s="55"/>
      <c r="HEP55" s="55"/>
      <c r="HEQ55" s="55"/>
      <c r="HER55" s="55"/>
      <c r="HES55" s="55"/>
      <c r="HET55" s="55"/>
      <c r="HEU55" s="55"/>
      <c r="HEV55" s="55"/>
      <c r="HEW55" s="55"/>
      <c r="HEX55" s="55"/>
      <c r="HEY55" s="55"/>
      <c r="HEZ55" s="55"/>
      <c r="HFA55" s="55"/>
      <c r="HFB55" s="55"/>
      <c r="HFC55" s="55"/>
      <c r="HFD55" s="55"/>
      <c r="HFE55" s="55"/>
      <c r="HFF55" s="55"/>
      <c r="HFG55" s="55"/>
      <c r="HFH55" s="55"/>
      <c r="HFI55" s="55"/>
      <c r="HFJ55" s="55"/>
      <c r="HFK55" s="55"/>
      <c r="HFL55" s="55"/>
      <c r="HFM55" s="55"/>
      <c r="HFN55" s="55"/>
      <c r="HFO55" s="55"/>
      <c r="HFP55" s="55"/>
      <c r="HFQ55" s="55"/>
      <c r="HFR55" s="55"/>
      <c r="HFS55" s="55"/>
      <c r="HFT55" s="55"/>
      <c r="HFU55" s="55"/>
      <c r="HFV55" s="55"/>
      <c r="HFW55" s="55"/>
      <c r="HFX55" s="55"/>
      <c r="HFY55" s="55"/>
      <c r="HFZ55" s="55"/>
      <c r="HGA55" s="55"/>
      <c r="HGB55" s="55"/>
      <c r="HGC55" s="55"/>
      <c r="HGD55" s="55"/>
      <c r="HGE55" s="55"/>
      <c r="HGF55" s="55"/>
      <c r="HGG55" s="55"/>
      <c r="HGH55" s="55"/>
      <c r="HGI55" s="55"/>
      <c r="HGJ55" s="55"/>
      <c r="HGK55" s="55"/>
      <c r="HGL55" s="55"/>
      <c r="HGM55" s="55"/>
      <c r="HGN55" s="55"/>
      <c r="HGO55" s="55"/>
      <c r="HGP55" s="55"/>
      <c r="HGQ55" s="55"/>
      <c r="HGR55" s="55"/>
      <c r="HGS55" s="55"/>
      <c r="HGT55" s="55"/>
      <c r="HGU55" s="55"/>
      <c r="HGV55" s="55"/>
      <c r="HGW55" s="55"/>
      <c r="HGX55" s="55"/>
      <c r="HGY55" s="55"/>
      <c r="HGZ55" s="55"/>
      <c r="HHA55" s="55"/>
      <c r="HHB55" s="55"/>
      <c r="HHC55" s="55"/>
      <c r="HHD55" s="55"/>
      <c r="HHE55" s="55"/>
      <c r="HHF55" s="55"/>
      <c r="HHG55" s="55"/>
      <c r="HHH55" s="55"/>
      <c r="HHI55" s="55"/>
      <c r="HHJ55" s="55"/>
      <c r="HHK55" s="55"/>
      <c r="HHL55" s="55"/>
      <c r="HHM55" s="55"/>
      <c r="HHN55" s="55"/>
      <c r="HHO55" s="55"/>
      <c r="HHP55" s="55"/>
      <c r="HHQ55" s="55"/>
      <c r="HHR55" s="55"/>
      <c r="HHS55" s="55"/>
      <c r="HHT55" s="55"/>
      <c r="HHU55" s="55"/>
      <c r="HHV55" s="55"/>
      <c r="HHW55" s="55"/>
      <c r="HHX55" s="55"/>
      <c r="HHY55" s="55"/>
      <c r="HHZ55" s="55"/>
      <c r="HIA55" s="55"/>
      <c r="HIB55" s="55"/>
      <c r="HIC55" s="55"/>
      <c r="HID55" s="55"/>
      <c r="HIE55" s="55"/>
      <c r="HIF55" s="55"/>
      <c r="HIG55" s="55"/>
      <c r="HIH55" s="55"/>
      <c r="HII55" s="55"/>
      <c r="HIJ55" s="55"/>
      <c r="HIK55" s="55"/>
      <c r="HIL55" s="55"/>
      <c r="HIM55" s="55"/>
      <c r="HIN55" s="55"/>
      <c r="HIO55" s="55"/>
      <c r="HIP55" s="55"/>
      <c r="HIQ55" s="55"/>
      <c r="HIR55" s="55"/>
      <c r="HIS55" s="55"/>
      <c r="HIT55" s="55"/>
      <c r="HIU55" s="55"/>
      <c r="HIV55" s="55"/>
      <c r="HIW55" s="55"/>
      <c r="HIX55" s="55"/>
      <c r="HIY55" s="55"/>
      <c r="HIZ55" s="55"/>
      <c r="HJA55" s="55"/>
      <c r="HJB55" s="55"/>
      <c r="HJC55" s="55"/>
      <c r="HJD55" s="55"/>
      <c r="HJE55" s="55"/>
      <c r="HJF55" s="55"/>
      <c r="HJG55" s="55"/>
      <c r="HJH55" s="55"/>
      <c r="HJI55" s="55"/>
      <c r="HJJ55" s="55"/>
      <c r="HJK55" s="55"/>
      <c r="HJL55" s="55"/>
      <c r="HJM55" s="55"/>
      <c r="HJN55" s="55"/>
      <c r="HJO55" s="55"/>
      <c r="HJP55" s="55"/>
      <c r="HJQ55" s="55"/>
      <c r="HJR55" s="55"/>
      <c r="HJS55" s="55"/>
      <c r="HJT55" s="55"/>
      <c r="HJU55" s="55"/>
      <c r="HJV55" s="55"/>
      <c r="HJW55" s="55"/>
      <c r="HJX55" s="55"/>
      <c r="HJY55" s="55"/>
      <c r="HJZ55" s="55"/>
      <c r="HKA55" s="55"/>
      <c r="HKB55" s="55"/>
      <c r="HKC55" s="55"/>
      <c r="HKD55" s="55"/>
      <c r="HKE55" s="55"/>
      <c r="HKF55" s="55"/>
      <c r="HKG55" s="55"/>
      <c r="HKH55" s="55"/>
      <c r="HKI55" s="55"/>
      <c r="HKJ55" s="55"/>
      <c r="HKK55" s="55"/>
      <c r="HKL55" s="55"/>
      <c r="HKM55" s="55"/>
      <c r="HKN55" s="55"/>
      <c r="HKO55" s="55"/>
      <c r="HKP55" s="55"/>
      <c r="HKQ55" s="55"/>
      <c r="HKR55" s="55"/>
      <c r="HKS55" s="55"/>
      <c r="HKT55" s="55"/>
      <c r="HKU55" s="55"/>
      <c r="HKV55" s="55"/>
      <c r="HKW55" s="55"/>
      <c r="HKX55" s="55"/>
      <c r="HKY55" s="55"/>
      <c r="HKZ55" s="55"/>
      <c r="HLA55" s="55"/>
      <c r="HLB55" s="55"/>
      <c r="HLC55" s="55"/>
      <c r="HLD55" s="55"/>
      <c r="HLE55" s="55"/>
      <c r="HLF55" s="55"/>
      <c r="HLG55" s="55"/>
      <c r="HLH55" s="55"/>
      <c r="HLI55" s="55"/>
      <c r="HLJ55" s="55"/>
      <c r="HLK55" s="55"/>
      <c r="HLL55" s="55"/>
      <c r="HLM55" s="55"/>
      <c r="HLN55" s="55"/>
      <c r="HLO55" s="55"/>
      <c r="HLP55" s="55"/>
      <c r="HLQ55" s="55"/>
      <c r="HLR55" s="55"/>
      <c r="HLS55" s="55"/>
      <c r="HLT55" s="55"/>
      <c r="HLU55" s="55"/>
      <c r="HLV55" s="55"/>
      <c r="HLW55" s="55"/>
      <c r="HLX55" s="55"/>
      <c r="HLY55" s="55"/>
      <c r="HLZ55" s="55"/>
      <c r="HMA55" s="55"/>
      <c r="HMB55" s="55"/>
      <c r="HMC55" s="55"/>
      <c r="HMD55" s="55"/>
      <c r="HME55" s="55"/>
      <c r="HMF55" s="55"/>
      <c r="HMG55" s="55"/>
      <c r="HMH55" s="55"/>
      <c r="HMI55" s="55"/>
      <c r="HMJ55" s="55"/>
      <c r="HMK55" s="55"/>
      <c r="HML55" s="55"/>
      <c r="HMM55" s="55"/>
      <c r="HMN55" s="55"/>
      <c r="HMO55" s="55"/>
      <c r="HMP55" s="55"/>
      <c r="HMQ55" s="55"/>
      <c r="HMR55" s="55"/>
      <c r="HMS55" s="55"/>
      <c r="HMT55" s="55"/>
      <c r="HMU55" s="55"/>
      <c r="HMV55" s="55"/>
      <c r="HMW55" s="55"/>
      <c r="HMX55" s="55"/>
      <c r="HMY55" s="55"/>
      <c r="HMZ55" s="55"/>
      <c r="HNA55" s="55"/>
      <c r="HNB55" s="55"/>
      <c r="HNC55" s="55"/>
      <c r="HND55" s="55"/>
      <c r="HNE55" s="55"/>
      <c r="HNF55" s="55"/>
      <c r="HNG55" s="55"/>
      <c r="HNH55" s="55"/>
      <c r="HNI55" s="55"/>
      <c r="HNJ55" s="55"/>
      <c r="HNK55" s="55"/>
      <c r="HNL55" s="55"/>
      <c r="HNM55" s="55"/>
      <c r="HNN55" s="55"/>
      <c r="HNO55" s="55"/>
      <c r="HNP55" s="55"/>
      <c r="HNQ55" s="55"/>
      <c r="HNR55" s="55"/>
      <c r="HNS55" s="55"/>
      <c r="HNT55" s="55"/>
      <c r="HNU55" s="55"/>
      <c r="HNV55" s="55"/>
      <c r="HNW55" s="55"/>
      <c r="HNX55" s="55"/>
      <c r="HNY55" s="55"/>
      <c r="HNZ55" s="55"/>
      <c r="HOA55" s="55"/>
      <c r="HOB55" s="55"/>
      <c r="HOC55" s="55"/>
      <c r="HOD55" s="55"/>
      <c r="HOE55" s="55"/>
      <c r="HOF55" s="55"/>
      <c r="HOG55" s="55"/>
      <c r="HOH55" s="55"/>
      <c r="HOI55" s="55"/>
      <c r="HOJ55" s="55"/>
      <c r="HOK55" s="55"/>
      <c r="HOL55" s="55"/>
      <c r="HOM55" s="55"/>
      <c r="HON55" s="55"/>
      <c r="HOO55" s="55"/>
      <c r="HOP55" s="55"/>
      <c r="HOQ55" s="55"/>
      <c r="HOR55" s="55"/>
      <c r="HOS55" s="55"/>
      <c r="HOT55" s="55"/>
      <c r="HOU55" s="55"/>
      <c r="HOV55" s="55"/>
      <c r="HOW55" s="55"/>
      <c r="HOX55" s="55"/>
      <c r="HOY55" s="55"/>
      <c r="HOZ55" s="55"/>
      <c r="HPA55" s="55"/>
      <c r="HPB55" s="55"/>
      <c r="HPC55" s="55"/>
      <c r="HPD55" s="55"/>
      <c r="HPE55" s="55"/>
      <c r="HPF55" s="55"/>
      <c r="HPG55" s="55"/>
      <c r="HPH55" s="55"/>
      <c r="HPI55" s="55"/>
      <c r="HPJ55" s="55"/>
      <c r="HPK55" s="55"/>
      <c r="HPL55" s="55"/>
      <c r="HPM55" s="55"/>
      <c r="HPN55" s="55"/>
      <c r="HPO55" s="55"/>
      <c r="HPP55" s="55"/>
      <c r="HPQ55" s="55"/>
      <c r="HPR55" s="55"/>
      <c r="HPS55" s="55"/>
      <c r="HPT55" s="55"/>
      <c r="HPU55" s="55"/>
      <c r="HPV55" s="55"/>
      <c r="HPW55" s="55"/>
      <c r="HPX55" s="55"/>
      <c r="HPY55" s="55"/>
      <c r="HPZ55" s="55"/>
      <c r="HQA55" s="55"/>
      <c r="HQB55" s="55"/>
      <c r="HQC55" s="55"/>
      <c r="HQD55" s="55"/>
      <c r="HQE55" s="55"/>
      <c r="HQF55" s="55"/>
      <c r="HQG55" s="55"/>
      <c r="HQH55" s="55"/>
      <c r="HQI55" s="55"/>
      <c r="HQJ55" s="55"/>
      <c r="HQK55" s="55"/>
      <c r="HQL55" s="55"/>
      <c r="HQM55" s="55"/>
      <c r="HQN55" s="55"/>
      <c r="HQO55" s="55"/>
      <c r="HQP55" s="55"/>
      <c r="HQQ55" s="55"/>
      <c r="HQR55" s="55"/>
      <c r="HQS55" s="55"/>
      <c r="HQT55" s="55"/>
      <c r="HQU55" s="55"/>
      <c r="HQV55" s="55"/>
      <c r="HQW55" s="55"/>
      <c r="HQX55" s="55"/>
      <c r="HQY55" s="55"/>
      <c r="HQZ55" s="55"/>
      <c r="HRA55" s="55"/>
      <c r="HRB55" s="55"/>
      <c r="HRC55" s="55"/>
      <c r="HRD55" s="55"/>
      <c r="HRE55" s="55"/>
      <c r="HRF55" s="55"/>
      <c r="HRG55" s="55"/>
      <c r="HRH55" s="55"/>
      <c r="HRI55" s="55"/>
      <c r="HRJ55" s="55"/>
      <c r="HRK55" s="55"/>
      <c r="HRL55" s="55"/>
      <c r="HRM55" s="55"/>
      <c r="HRN55" s="55"/>
      <c r="HRO55" s="55"/>
      <c r="HRP55" s="55"/>
      <c r="HRQ55" s="55"/>
      <c r="HRR55" s="55"/>
      <c r="HRS55" s="55"/>
      <c r="HRT55" s="55"/>
      <c r="HRU55" s="55"/>
      <c r="HRV55" s="55"/>
      <c r="HRW55" s="55"/>
      <c r="HRX55" s="55"/>
      <c r="HRY55" s="55"/>
      <c r="HRZ55" s="55"/>
      <c r="HSA55" s="55"/>
      <c r="HSB55" s="55"/>
      <c r="HSC55" s="55"/>
      <c r="HSD55" s="55"/>
      <c r="HSE55" s="55"/>
      <c r="HSF55" s="55"/>
      <c r="HSG55" s="55"/>
      <c r="HSH55" s="55"/>
      <c r="HSI55" s="55"/>
      <c r="HSJ55" s="55"/>
      <c r="HSK55" s="55"/>
      <c r="HSL55" s="55"/>
      <c r="HSM55" s="55"/>
      <c r="HSN55" s="55"/>
      <c r="HSO55" s="55"/>
      <c r="HSP55" s="55"/>
      <c r="HSQ55" s="55"/>
      <c r="HSR55" s="55"/>
      <c r="HSS55" s="55"/>
      <c r="HST55" s="55"/>
      <c r="HSU55" s="55"/>
      <c r="HSV55" s="55"/>
      <c r="HSW55" s="55"/>
      <c r="HSX55" s="55"/>
      <c r="HSY55" s="55"/>
      <c r="HSZ55" s="55"/>
      <c r="HTA55" s="55"/>
      <c r="HTB55" s="55"/>
      <c r="HTC55" s="55"/>
      <c r="HTD55" s="55"/>
      <c r="HTE55" s="55"/>
      <c r="HTF55" s="55"/>
      <c r="HTG55" s="55"/>
      <c r="HTH55" s="55"/>
      <c r="HTI55" s="55"/>
      <c r="HTJ55" s="55"/>
      <c r="HTK55" s="55"/>
      <c r="HTL55" s="55"/>
      <c r="HTM55" s="55"/>
      <c r="HTN55" s="55"/>
      <c r="HTO55" s="55"/>
      <c r="HTP55" s="55"/>
      <c r="HTQ55" s="55"/>
      <c r="HTR55" s="55"/>
      <c r="HTS55" s="55"/>
      <c r="HTT55" s="55"/>
      <c r="HTU55" s="55"/>
      <c r="HTV55" s="55"/>
      <c r="HTW55" s="55"/>
      <c r="HTX55" s="55"/>
      <c r="HTY55" s="55"/>
      <c r="HTZ55" s="55"/>
      <c r="HUA55" s="55"/>
      <c r="HUB55" s="55"/>
      <c r="HUC55" s="55"/>
      <c r="HUD55" s="55"/>
      <c r="HUE55" s="55"/>
      <c r="HUF55" s="55"/>
      <c r="HUG55" s="55"/>
      <c r="HUH55" s="55"/>
      <c r="HUI55" s="55"/>
      <c r="HUJ55" s="55"/>
      <c r="HUK55" s="55"/>
      <c r="HUL55" s="55"/>
      <c r="HUM55" s="55"/>
      <c r="HUN55" s="55"/>
      <c r="HUO55" s="55"/>
      <c r="HUP55" s="55"/>
      <c r="HUQ55" s="55"/>
      <c r="HUR55" s="55"/>
      <c r="HUS55" s="55"/>
      <c r="HUT55" s="55"/>
      <c r="HUU55" s="55"/>
      <c r="HUV55" s="55"/>
      <c r="HUW55" s="55"/>
      <c r="HUX55" s="55"/>
      <c r="HUY55" s="55"/>
      <c r="HUZ55" s="55"/>
      <c r="HVA55" s="55"/>
      <c r="HVB55" s="55"/>
      <c r="HVC55" s="55"/>
      <c r="HVD55" s="55"/>
      <c r="HVE55" s="55"/>
      <c r="HVF55" s="55"/>
      <c r="HVG55" s="55"/>
      <c r="HVH55" s="55"/>
      <c r="HVI55" s="55"/>
      <c r="HVJ55" s="55"/>
      <c r="HVK55" s="55"/>
      <c r="HVL55" s="55"/>
      <c r="HVM55" s="55"/>
      <c r="HVN55" s="55"/>
      <c r="HVO55" s="55"/>
      <c r="HVP55" s="55"/>
      <c r="HVQ55" s="55"/>
      <c r="HVR55" s="55"/>
      <c r="HVS55" s="55"/>
      <c r="HVT55" s="55"/>
      <c r="HVU55" s="55"/>
      <c r="HVV55" s="55"/>
      <c r="HVW55" s="55"/>
      <c r="HVX55" s="55"/>
      <c r="HVY55" s="55"/>
      <c r="HVZ55" s="55"/>
      <c r="HWA55" s="55"/>
      <c r="HWB55" s="55"/>
      <c r="HWC55" s="55"/>
      <c r="HWD55" s="55"/>
      <c r="HWE55" s="55"/>
      <c r="HWF55" s="55"/>
      <c r="HWG55" s="55"/>
      <c r="HWH55" s="55"/>
      <c r="HWI55" s="55"/>
      <c r="HWJ55" s="55"/>
      <c r="HWK55" s="55"/>
      <c r="HWL55" s="55"/>
      <c r="HWM55" s="55"/>
      <c r="HWN55" s="55"/>
      <c r="HWO55" s="55"/>
      <c r="HWP55" s="55"/>
      <c r="HWQ55" s="55"/>
      <c r="HWR55" s="55"/>
      <c r="HWS55" s="55"/>
      <c r="HWT55" s="55"/>
      <c r="HWU55" s="55"/>
      <c r="HWV55" s="55"/>
      <c r="HWW55" s="55"/>
      <c r="HWX55" s="55"/>
      <c r="HWY55" s="55"/>
      <c r="HWZ55" s="55"/>
      <c r="HXA55" s="55"/>
      <c r="HXB55" s="55"/>
      <c r="HXC55" s="55"/>
      <c r="HXD55" s="55"/>
      <c r="HXE55" s="55"/>
      <c r="HXF55" s="55"/>
      <c r="HXG55" s="55"/>
      <c r="HXH55" s="55"/>
      <c r="HXI55" s="55"/>
      <c r="HXJ55" s="55"/>
      <c r="HXK55" s="55"/>
      <c r="HXL55" s="55"/>
      <c r="HXM55" s="55"/>
      <c r="HXN55" s="55"/>
      <c r="HXO55" s="55"/>
      <c r="HXP55" s="55"/>
      <c r="HXQ55" s="55"/>
      <c r="HXR55" s="55"/>
      <c r="HXS55" s="55"/>
      <c r="HXT55" s="55"/>
      <c r="HXU55" s="55"/>
      <c r="HXV55" s="55"/>
      <c r="HXW55" s="55"/>
      <c r="HXX55" s="55"/>
      <c r="HXY55" s="55"/>
      <c r="HXZ55" s="55"/>
      <c r="HYA55" s="55"/>
      <c r="HYB55" s="55"/>
      <c r="HYC55" s="55"/>
      <c r="HYD55" s="55"/>
      <c r="HYE55" s="55"/>
      <c r="HYF55" s="55"/>
      <c r="HYG55" s="55"/>
      <c r="HYH55" s="55"/>
      <c r="HYI55" s="55"/>
      <c r="HYJ55" s="55"/>
      <c r="HYK55" s="55"/>
      <c r="HYL55" s="55"/>
      <c r="HYM55" s="55"/>
      <c r="HYN55" s="55"/>
      <c r="HYO55" s="55"/>
      <c r="HYP55" s="55"/>
      <c r="HYQ55" s="55"/>
      <c r="HYR55" s="55"/>
      <c r="HYS55" s="55"/>
      <c r="HYT55" s="55"/>
      <c r="HYU55" s="55"/>
      <c r="HYV55" s="55"/>
      <c r="HYW55" s="55"/>
      <c r="HYX55" s="55"/>
      <c r="HYY55" s="55"/>
      <c r="HYZ55" s="55"/>
      <c r="HZA55" s="55"/>
      <c r="HZB55" s="55"/>
      <c r="HZC55" s="55"/>
      <c r="HZD55" s="55"/>
      <c r="HZE55" s="55"/>
      <c r="HZF55" s="55"/>
      <c r="HZG55" s="55"/>
      <c r="HZH55" s="55"/>
      <c r="HZI55" s="55"/>
      <c r="HZJ55" s="55"/>
      <c r="HZK55" s="55"/>
      <c r="HZL55" s="55"/>
      <c r="HZM55" s="55"/>
      <c r="HZN55" s="55"/>
      <c r="HZO55" s="55"/>
      <c r="HZP55" s="55"/>
      <c r="HZQ55" s="55"/>
      <c r="HZR55" s="55"/>
      <c r="HZS55" s="55"/>
      <c r="HZT55" s="55"/>
      <c r="HZU55" s="55"/>
      <c r="HZV55" s="55"/>
      <c r="HZW55" s="55"/>
      <c r="HZX55" s="55"/>
      <c r="HZY55" s="55"/>
      <c r="HZZ55" s="55"/>
      <c r="IAA55" s="55"/>
      <c r="IAB55" s="55"/>
      <c r="IAC55" s="55"/>
      <c r="IAD55" s="55"/>
      <c r="IAE55" s="55"/>
      <c r="IAF55" s="55"/>
      <c r="IAG55" s="55"/>
      <c r="IAH55" s="55"/>
      <c r="IAI55" s="55"/>
      <c r="IAJ55" s="55"/>
      <c r="IAK55" s="55"/>
      <c r="IAL55" s="55"/>
      <c r="IAM55" s="55"/>
      <c r="IAN55" s="55"/>
      <c r="IAO55" s="55"/>
      <c r="IAP55" s="55"/>
      <c r="IAQ55" s="55"/>
      <c r="IAR55" s="55"/>
      <c r="IAS55" s="55"/>
      <c r="IAT55" s="55"/>
      <c r="IAU55" s="55"/>
      <c r="IAV55" s="55"/>
      <c r="IAW55" s="55"/>
      <c r="IAX55" s="55"/>
      <c r="IAY55" s="55"/>
      <c r="IAZ55" s="55"/>
      <c r="IBA55" s="55"/>
      <c r="IBB55" s="55"/>
      <c r="IBC55" s="55"/>
      <c r="IBD55" s="55"/>
      <c r="IBE55" s="55"/>
      <c r="IBF55" s="55"/>
      <c r="IBG55" s="55"/>
      <c r="IBH55" s="55"/>
      <c r="IBI55" s="55"/>
      <c r="IBJ55" s="55"/>
      <c r="IBK55" s="55"/>
      <c r="IBL55" s="55"/>
      <c r="IBM55" s="55"/>
      <c r="IBN55" s="55"/>
      <c r="IBO55" s="55"/>
      <c r="IBP55" s="55"/>
      <c r="IBQ55" s="55"/>
      <c r="IBR55" s="55"/>
      <c r="IBS55" s="55"/>
      <c r="IBT55" s="55"/>
      <c r="IBU55" s="55"/>
      <c r="IBV55" s="55"/>
      <c r="IBW55" s="55"/>
      <c r="IBX55" s="55"/>
      <c r="IBY55" s="55"/>
      <c r="IBZ55" s="55"/>
      <c r="ICA55" s="55"/>
      <c r="ICB55" s="55"/>
      <c r="ICC55" s="55"/>
      <c r="ICD55" s="55"/>
      <c r="ICE55" s="55"/>
      <c r="ICF55" s="55"/>
      <c r="ICG55" s="55"/>
      <c r="ICH55" s="55"/>
      <c r="ICI55" s="55"/>
      <c r="ICJ55" s="55"/>
      <c r="ICK55" s="55"/>
      <c r="ICL55" s="55"/>
      <c r="ICM55" s="55"/>
      <c r="ICN55" s="55"/>
      <c r="ICO55" s="55"/>
      <c r="ICP55" s="55"/>
      <c r="ICQ55" s="55"/>
      <c r="ICR55" s="55"/>
      <c r="ICS55" s="55"/>
      <c r="ICT55" s="55"/>
      <c r="ICU55" s="55"/>
      <c r="ICV55" s="55"/>
      <c r="ICW55" s="55"/>
      <c r="ICX55" s="55"/>
      <c r="ICY55" s="55"/>
      <c r="ICZ55" s="55"/>
      <c r="IDA55" s="55"/>
      <c r="IDB55" s="55"/>
      <c r="IDC55" s="55"/>
      <c r="IDD55" s="55"/>
      <c r="IDE55" s="55"/>
      <c r="IDF55" s="55"/>
      <c r="IDG55" s="55"/>
      <c r="IDH55" s="55"/>
      <c r="IDI55" s="55"/>
      <c r="IDJ55" s="55"/>
      <c r="IDK55" s="55"/>
      <c r="IDL55" s="55"/>
      <c r="IDM55" s="55"/>
      <c r="IDN55" s="55"/>
      <c r="IDO55" s="55"/>
      <c r="IDP55" s="55"/>
      <c r="IDQ55" s="55"/>
      <c r="IDR55" s="55"/>
      <c r="IDS55" s="55"/>
      <c r="IDT55" s="55"/>
      <c r="IDU55" s="55"/>
      <c r="IDV55" s="55"/>
      <c r="IDW55" s="55"/>
      <c r="IDX55" s="55"/>
      <c r="IDY55" s="55"/>
      <c r="IDZ55" s="55"/>
      <c r="IEA55" s="55"/>
      <c r="IEB55" s="55"/>
      <c r="IEC55" s="55"/>
      <c r="IED55" s="55"/>
      <c r="IEE55" s="55"/>
      <c r="IEF55" s="55"/>
      <c r="IEG55" s="55"/>
      <c r="IEH55" s="55"/>
      <c r="IEI55" s="55"/>
      <c r="IEJ55" s="55"/>
      <c r="IEK55" s="55"/>
      <c r="IEL55" s="55"/>
      <c r="IEM55" s="55"/>
      <c r="IEN55" s="55"/>
      <c r="IEO55" s="55"/>
      <c r="IEP55" s="55"/>
      <c r="IEQ55" s="55"/>
      <c r="IER55" s="55"/>
      <c r="IES55" s="55"/>
      <c r="IET55" s="55"/>
      <c r="IEU55" s="55"/>
      <c r="IEV55" s="55"/>
      <c r="IEW55" s="55"/>
      <c r="IEX55" s="55"/>
      <c r="IEY55" s="55"/>
      <c r="IEZ55" s="55"/>
      <c r="IFA55" s="55"/>
      <c r="IFB55" s="55"/>
      <c r="IFC55" s="55"/>
      <c r="IFD55" s="55"/>
      <c r="IFE55" s="55"/>
      <c r="IFF55" s="55"/>
      <c r="IFG55" s="55"/>
      <c r="IFH55" s="55"/>
      <c r="IFI55" s="55"/>
      <c r="IFJ55" s="55"/>
      <c r="IFK55" s="55"/>
      <c r="IFL55" s="55"/>
      <c r="IFM55" s="55"/>
      <c r="IFN55" s="55"/>
      <c r="IFO55" s="55"/>
      <c r="IFP55" s="55"/>
      <c r="IFQ55" s="55"/>
      <c r="IFR55" s="55"/>
      <c r="IFS55" s="55"/>
      <c r="IFT55" s="55"/>
      <c r="IFU55" s="55"/>
      <c r="IFV55" s="55"/>
      <c r="IFW55" s="55"/>
      <c r="IFX55" s="55"/>
      <c r="IFY55" s="55"/>
      <c r="IFZ55" s="55"/>
      <c r="IGA55" s="55"/>
      <c r="IGB55" s="55"/>
      <c r="IGC55" s="55"/>
      <c r="IGD55" s="55"/>
      <c r="IGE55" s="55"/>
      <c r="IGF55" s="55"/>
      <c r="IGG55" s="55"/>
      <c r="IGH55" s="55"/>
      <c r="IGI55" s="55"/>
      <c r="IGJ55" s="55"/>
      <c r="IGK55" s="55"/>
      <c r="IGL55" s="55"/>
      <c r="IGM55" s="55"/>
      <c r="IGN55" s="55"/>
      <c r="IGO55" s="55"/>
      <c r="IGP55" s="55"/>
      <c r="IGQ55" s="55"/>
      <c r="IGR55" s="55"/>
      <c r="IGS55" s="55"/>
      <c r="IGT55" s="55"/>
      <c r="IGU55" s="55"/>
      <c r="IGV55" s="55"/>
      <c r="IGW55" s="55"/>
      <c r="IGX55" s="55"/>
      <c r="IGY55" s="55"/>
      <c r="IGZ55" s="55"/>
      <c r="IHA55" s="55"/>
      <c r="IHB55" s="55"/>
      <c r="IHC55" s="55"/>
      <c r="IHD55" s="55"/>
      <c r="IHE55" s="55"/>
      <c r="IHF55" s="55"/>
      <c r="IHG55" s="55"/>
      <c r="IHH55" s="55"/>
      <c r="IHI55" s="55"/>
      <c r="IHJ55" s="55"/>
      <c r="IHK55" s="55"/>
      <c r="IHL55" s="55"/>
      <c r="IHM55" s="55"/>
      <c r="IHN55" s="55"/>
      <c r="IHO55" s="55"/>
      <c r="IHP55" s="55"/>
      <c r="IHQ55" s="55"/>
      <c r="IHR55" s="55"/>
      <c r="IHS55" s="55"/>
      <c r="IHT55" s="55"/>
      <c r="IHU55" s="55"/>
      <c r="IHV55" s="55"/>
      <c r="IHW55" s="55"/>
      <c r="IHX55" s="55"/>
      <c r="IHY55" s="55"/>
      <c r="IHZ55" s="55"/>
      <c r="IIA55" s="55"/>
      <c r="IIB55" s="55"/>
      <c r="IIC55" s="55"/>
      <c r="IID55" s="55"/>
      <c r="IIE55" s="55"/>
      <c r="IIF55" s="55"/>
      <c r="IIG55" s="55"/>
      <c r="IIH55" s="55"/>
      <c r="III55" s="55"/>
      <c r="IIJ55" s="55"/>
      <c r="IIK55" s="55"/>
      <c r="IIL55" s="55"/>
      <c r="IIM55" s="55"/>
      <c r="IIN55" s="55"/>
      <c r="IIO55" s="55"/>
      <c r="IIP55" s="55"/>
      <c r="IIQ55" s="55"/>
      <c r="IIR55" s="55"/>
      <c r="IIS55" s="55"/>
      <c r="IIT55" s="55"/>
      <c r="IIU55" s="55"/>
      <c r="IIV55" s="55"/>
      <c r="IIW55" s="55"/>
      <c r="IIX55" s="55"/>
      <c r="IIY55" s="55"/>
      <c r="IIZ55" s="55"/>
      <c r="IJA55" s="55"/>
      <c r="IJB55" s="55"/>
      <c r="IJC55" s="55"/>
      <c r="IJD55" s="55"/>
      <c r="IJE55" s="55"/>
      <c r="IJF55" s="55"/>
      <c r="IJG55" s="55"/>
      <c r="IJH55" s="55"/>
      <c r="IJI55" s="55"/>
      <c r="IJJ55" s="55"/>
      <c r="IJK55" s="55"/>
      <c r="IJL55" s="55"/>
      <c r="IJM55" s="55"/>
      <c r="IJN55" s="55"/>
      <c r="IJO55" s="55"/>
      <c r="IJP55" s="55"/>
      <c r="IJQ55" s="55"/>
      <c r="IJR55" s="55"/>
      <c r="IJS55" s="55"/>
      <c r="IJT55" s="55"/>
      <c r="IJU55" s="55"/>
      <c r="IJV55" s="55"/>
      <c r="IJW55" s="55"/>
      <c r="IJX55" s="55"/>
      <c r="IJY55" s="55"/>
      <c r="IJZ55" s="55"/>
      <c r="IKA55" s="55"/>
      <c r="IKB55" s="55"/>
      <c r="IKC55" s="55"/>
      <c r="IKD55" s="55"/>
      <c r="IKE55" s="55"/>
      <c r="IKF55" s="55"/>
      <c r="IKG55" s="55"/>
      <c r="IKH55" s="55"/>
      <c r="IKI55" s="55"/>
      <c r="IKJ55" s="55"/>
      <c r="IKK55" s="55"/>
      <c r="IKL55" s="55"/>
      <c r="IKM55" s="55"/>
      <c r="IKN55" s="55"/>
      <c r="IKO55" s="55"/>
      <c r="IKP55" s="55"/>
      <c r="IKQ55" s="55"/>
      <c r="IKR55" s="55"/>
      <c r="IKS55" s="55"/>
      <c r="IKT55" s="55"/>
      <c r="IKU55" s="55"/>
      <c r="IKV55" s="55"/>
      <c r="IKW55" s="55"/>
      <c r="IKX55" s="55"/>
      <c r="IKY55" s="55"/>
      <c r="IKZ55" s="55"/>
      <c r="ILA55" s="55"/>
      <c r="ILB55" s="55"/>
      <c r="ILC55" s="55"/>
      <c r="ILD55" s="55"/>
      <c r="ILE55" s="55"/>
      <c r="ILF55" s="55"/>
      <c r="ILG55" s="55"/>
      <c r="ILH55" s="55"/>
      <c r="ILI55" s="55"/>
      <c r="ILJ55" s="55"/>
      <c r="ILK55" s="55"/>
      <c r="ILL55" s="55"/>
      <c r="ILM55" s="55"/>
      <c r="ILN55" s="55"/>
      <c r="ILO55" s="55"/>
      <c r="ILP55" s="55"/>
      <c r="ILQ55" s="55"/>
      <c r="ILR55" s="55"/>
      <c r="ILS55" s="55"/>
      <c r="ILT55" s="55"/>
      <c r="ILU55" s="55"/>
      <c r="ILV55" s="55"/>
      <c r="ILW55" s="55"/>
      <c r="ILX55" s="55"/>
      <c r="ILY55" s="55"/>
      <c r="ILZ55" s="55"/>
      <c r="IMA55" s="55"/>
      <c r="IMB55" s="55"/>
      <c r="IMC55" s="55"/>
      <c r="IMD55" s="55"/>
      <c r="IME55" s="55"/>
      <c r="IMF55" s="55"/>
      <c r="IMG55" s="55"/>
      <c r="IMH55" s="55"/>
      <c r="IMI55" s="55"/>
      <c r="IMJ55" s="55"/>
      <c r="IMK55" s="55"/>
      <c r="IML55" s="55"/>
      <c r="IMM55" s="55"/>
      <c r="IMN55" s="55"/>
      <c r="IMO55" s="55"/>
      <c r="IMP55" s="55"/>
      <c r="IMQ55" s="55"/>
      <c r="IMR55" s="55"/>
      <c r="IMS55" s="55"/>
      <c r="IMT55" s="55"/>
      <c r="IMU55" s="55"/>
      <c r="IMV55" s="55"/>
      <c r="IMW55" s="55"/>
      <c r="IMX55" s="55"/>
      <c r="IMY55" s="55"/>
      <c r="IMZ55" s="55"/>
      <c r="INA55" s="55"/>
      <c r="INB55" s="55"/>
      <c r="INC55" s="55"/>
      <c r="IND55" s="55"/>
      <c r="INE55" s="55"/>
      <c r="INF55" s="55"/>
      <c r="ING55" s="55"/>
      <c r="INH55" s="55"/>
      <c r="INI55" s="55"/>
      <c r="INJ55" s="55"/>
      <c r="INK55" s="55"/>
      <c r="INL55" s="55"/>
      <c r="INM55" s="55"/>
      <c r="INN55" s="55"/>
      <c r="INO55" s="55"/>
      <c r="INP55" s="55"/>
      <c r="INQ55" s="55"/>
      <c r="INR55" s="55"/>
      <c r="INS55" s="55"/>
      <c r="INT55" s="55"/>
      <c r="INU55" s="55"/>
      <c r="INV55" s="55"/>
      <c r="INW55" s="55"/>
      <c r="INX55" s="55"/>
      <c r="INY55" s="55"/>
      <c r="INZ55" s="55"/>
      <c r="IOA55" s="55"/>
      <c r="IOB55" s="55"/>
      <c r="IOC55" s="55"/>
      <c r="IOD55" s="55"/>
      <c r="IOE55" s="55"/>
      <c r="IOF55" s="55"/>
      <c r="IOG55" s="55"/>
      <c r="IOH55" s="55"/>
      <c r="IOI55" s="55"/>
      <c r="IOJ55" s="55"/>
      <c r="IOK55" s="55"/>
      <c r="IOL55" s="55"/>
      <c r="IOM55" s="55"/>
      <c r="ION55" s="55"/>
      <c r="IOO55" s="55"/>
      <c r="IOP55" s="55"/>
      <c r="IOQ55" s="55"/>
      <c r="IOR55" s="55"/>
      <c r="IOS55" s="55"/>
      <c r="IOT55" s="55"/>
      <c r="IOU55" s="55"/>
      <c r="IOV55" s="55"/>
      <c r="IOW55" s="55"/>
      <c r="IOX55" s="55"/>
      <c r="IOY55" s="55"/>
      <c r="IOZ55" s="55"/>
      <c r="IPA55" s="55"/>
      <c r="IPB55" s="55"/>
      <c r="IPC55" s="55"/>
      <c r="IPD55" s="55"/>
      <c r="IPE55" s="55"/>
      <c r="IPF55" s="55"/>
      <c r="IPG55" s="55"/>
      <c r="IPH55" s="55"/>
      <c r="IPI55" s="55"/>
      <c r="IPJ55" s="55"/>
      <c r="IPK55" s="55"/>
      <c r="IPL55" s="55"/>
      <c r="IPM55" s="55"/>
      <c r="IPN55" s="55"/>
      <c r="IPO55" s="55"/>
      <c r="IPP55" s="55"/>
      <c r="IPQ55" s="55"/>
      <c r="IPR55" s="55"/>
      <c r="IPS55" s="55"/>
      <c r="IPT55" s="55"/>
      <c r="IPU55" s="55"/>
      <c r="IPV55" s="55"/>
      <c r="IPW55" s="55"/>
      <c r="IPX55" s="55"/>
      <c r="IPY55" s="55"/>
      <c r="IPZ55" s="55"/>
      <c r="IQA55" s="55"/>
      <c r="IQB55" s="55"/>
      <c r="IQC55" s="55"/>
      <c r="IQD55" s="55"/>
      <c r="IQE55" s="55"/>
      <c r="IQF55" s="55"/>
      <c r="IQG55" s="55"/>
      <c r="IQH55" s="55"/>
      <c r="IQI55" s="55"/>
      <c r="IQJ55" s="55"/>
      <c r="IQK55" s="55"/>
      <c r="IQL55" s="55"/>
      <c r="IQM55" s="55"/>
      <c r="IQN55" s="55"/>
      <c r="IQO55" s="55"/>
      <c r="IQP55" s="55"/>
      <c r="IQQ55" s="55"/>
      <c r="IQR55" s="55"/>
      <c r="IQS55" s="55"/>
      <c r="IQT55" s="55"/>
      <c r="IQU55" s="55"/>
      <c r="IQV55" s="55"/>
      <c r="IQW55" s="55"/>
      <c r="IQX55" s="55"/>
      <c r="IQY55" s="55"/>
      <c r="IQZ55" s="55"/>
      <c r="IRA55" s="55"/>
      <c r="IRB55" s="55"/>
      <c r="IRC55" s="55"/>
      <c r="IRD55" s="55"/>
      <c r="IRE55" s="55"/>
      <c r="IRF55" s="55"/>
      <c r="IRG55" s="55"/>
      <c r="IRH55" s="55"/>
      <c r="IRI55" s="55"/>
      <c r="IRJ55" s="55"/>
      <c r="IRK55" s="55"/>
      <c r="IRL55" s="55"/>
      <c r="IRM55" s="55"/>
      <c r="IRN55" s="55"/>
      <c r="IRO55" s="55"/>
      <c r="IRP55" s="55"/>
      <c r="IRQ55" s="55"/>
      <c r="IRR55" s="55"/>
      <c r="IRS55" s="55"/>
      <c r="IRT55" s="55"/>
      <c r="IRU55" s="55"/>
      <c r="IRV55" s="55"/>
      <c r="IRW55" s="55"/>
      <c r="IRX55" s="55"/>
      <c r="IRY55" s="55"/>
      <c r="IRZ55" s="55"/>
      <c r="ISA55" s="55"/>
      <c r="ISB55" s="55"/>
      <c r="ISC55" s="55"/>
      <c r="ISD55" s="55"/>
      <c r="ISE55" s="55"/>
      <c r="ISF55" s="55"/>
      <c r="ISG55" s="55"/>
      <c r="ISH55" s="55"/>
      <c r="ISI55" s="55"/>
      <c r="ISJ55" s="55"/>
      <c r="ISK55" s="55"/>
      <c r="ISL55" s="55"/>
      <c r="ISM55" s="55"/>
      <c r="ISN55" s="55"/>
      <c r="ISO55" s="55"/>
      <c r="ISP55" s="55"/>
      <c r="ISQ55" s="55"/>
      <c r="ISR55" s="55"/>
      <c r="ISS55" s="55"/>
      <c r="IST55" s="55"/>
      <c r="ISU55" s="55"/>
      <c r="ISV55" s="55"/>
      <c r="ISW55" s="55"/>
      <c r="ISX55" s="55"/>
      <c r="ISY55" s="55"/>
      <c r="ISZ55" s="55"/>
      <c r="ITA55" s="55"/>
      <c r="ITB55" s="55"/>
      <c r="ITC55" s="55"/>
      <c r="ITD55" s="55"/>
      <c r="ITE55" s="55"/>
      <c r="ITF55" s="55"/>
      <c r="ITG55" s="55"/>
      <c r="ITH55" s="55"/>
      <c r="ITI55" s="55"/>
      <c r="ITJ55" s="55"/>
      <c r="ITK55" s="55"/>
      <c r="ITL55" s="55"/>
      <c r="ITM55" s="55"/>
      <c r="ITN55" s="55"/>
      <c r="ITO55" s="55"/>
      <c r="ITP55" s="55"/>
      <c r="ITQ55" s="55"/>
      <c r="ITR55" s="55"/>
      <c r="ITS55" s="55"/>
      <c r="ITT55" s="55"/>
      <c r="ITU55" s="55"/>
      <c r="ITV55" s="55"/>
      <c r="ITW55" s="55"/>
      <c r="ITX55" s="55"/>
      <c r="ITY55" s="55"/>
      <c r="ITZ55" s="55"/>
      <c r="IUA55" s="55"/>
      <c r="IUB55" s="55"/>
      <c r="IUC55" s="55"/>
      <c r="IUD55" s="55"/>
      <c r="IUE55" s="55"/>
      <c r="IUF55" s="55"/>
      <c r="IUG55" s="55"/>
      <c r="IUH55" s="55"/>
      <c r="IUI55" s="55"/>
      <c r="IUJ55" s="55"/>
      <c r="IUK55" s="55"/>
      <c r="IUL55" s="55"/>
      <c r="IUM55" s="55"/>
      <c r="IUN55" s="55"/>
      <c r="IUO55" s="55"/>
      <c r="IUP55" s="55"/>
      <c r="IUQ55" s="55"/>
      <c r="IUR55" s="55"/>
      <c r="IUS55" s="55"/>
      <c r="IUT55" s="55"/>
      <c r="IUU55" s="55"/>
      <c r="IUV55" s="55"/>
      <c r="IUW55" s="55"/>
      <c r="IUX55" s="55"/>
      <c r="IUY55" s="55"/>
      <c r="IUZ55" s="55"/>
      <c r="IVA55" s="55"/>
      <c r="IVB55" s="55"/>
      <c r="IVC55" s="55"/>
      <c r="IVD55" s="55"/>
      <c r="IVE55" s="55"/>
      <c r="IVF55" s="55"/>
      <c r="IVG55" s="55"/>
      <c r="IVH55" s="55"/>
      <c r="IVI55" s="55"/>
      <c r="IVJ55" s="55"/>
      <c r="IVK55" s="55"/>
      <c r="IVL55" s="55"/>
      <c r="IVM55" s="55"/>
      <c r="IVN55" s="55"/>
      <c r="IVO55" s="55"/>
      <c r="IVP55" s="55"/>
      <c r="IVQ55" s="55"/>
      <c r="IVR55" s="55"/>
      <c r="IVS55" s="55"/>
      <c r="IVT55" s="55"/>
      <c r="IVU55" s="55"/>
      <c r="IVV55" s="55"/>
      <c r="IVW55" s="55"/>
      <c r="IVX55" s="55"/>
      <c r="IVY55" s="55"/>
      <c r="IVZ55" s="55"/>
      <c r="IWA55" s="55"/>
      <c r="IWB55" s="55"/>
      <c r="IWC55" s="55"/>
      <c r="IWD55" s="55"/>
      <c r="IWE55" s="55"/>
      <c r="IWF55" s="55"/>
      <c r="IWG55" s="55"/>
      <c r="IWH55" s="55"/>
      <c r="IWI55" s="55"/>
      <c r="IWJ55" s="55"/>
      <c r="IWK55" s="55"/>
      <c r="IWL55" s="55"/>
      <c r="IWM55" s="55"/>
      <c r="IWN55" s="55"/>
      <c r="IWO55" s="55"/>
      <c r="IWP55" s="55"/>
      <c r="IWQ55" s="55"/>
      <c r="IWR55" s="55"/>
      <c r="IWS55" s="55"/>
      <c r="IWT55" s="55"/>
      <c r="IWU55" s="55"/>
      <c r="IWV55" s="55"/>
      <c r="IWW55" s="55"/>
      <c r="IWX55" s="55"/>
      <c r="IWY55" s="55"/>
      <c r="IWZ55" s="55"/>
      <c r="IXA55" s="55"/>
      <c r="IXB55" s="55"/>
      <c r="IXC55" s="55"/>
      <c r="IXD55" s="55"/>
      <c r="IXE55" s="55"/>
      <c r="IXF55" s="55"/>
      <c r="IXG55" s="55"/>
      <c r="IXH55" s="55"/>
      <c r="IXI55" s="55"/>
      <c r="IXJ55" s="55"/>
      <c r="IXK55" s="55"/>
      <c r="IXL55" s="55"/>
      <c r="IXM55" s="55"/>
      <c r="IXN55" s="55"/>
      <c r="IXO55" s="55"/>
      <c r="IXP55" s="55"/>
      <c r="IXQ55" s="55"/>
      <c r="IXR55" s="55"/>
      <c r="IXS55" s="55"/>
      <c r="IXT55" s="55"/>
      <c r="IXU55" s="55"/>
      <c r="IXV55" s="55"/>
      <c r="IXW55" s="55"/>
      <c r="IXX55" s="55"/>
      <c r="IXY55" s="55"/>
      <c r="IXZ55" s="55"/>
      <c r="IYA55" s="55"/>
      <c r="IYB55" s="55"/>
      <c r="IYC55" s="55"/>
      <c r="IYD55" s="55"/>
      <c r="IYE55" s="55"/>
      <c r="IYF55" s="55"/>
      <c r="IYG55" s="55"/>
      <c r="IYH55" s="55"/>
      <c r="IYI55" s="55"/>
      <c r="IYJ55" s="55"/>
      <c r="IYK55" s="55"/>
      <c r="IYL55" s="55"/>
      <c r="IYM55" s="55"/>
      <c r="IYN55" s="55"/>
      <c r="IYO55" s="55"/>
      <c r="IYP55" s="55"/>
      <c r="IYQ55" s="55"/>
      <c r="IYR55" s="55"/>
      <c r="IYS55" s="55"/>
      <c r="IYT55" s="55"/>
      <c r="IYU55" s="55"/>
      <c r="IYV55" s="55"/>
      <c r="IYW55" s="55"/>
      <c r="IYX55" s="55"/>
      <c r="IYY55" s="55"/>
      <c r="IYZ55" s="55"/>
      <c r="IZA55" s="55"/>
      <c r="IZB55" s="55"/>
      <c r="IZC55" s="55"/>
      <c r="IZD55" s="55"/>
      <c r="IZE55" s="55"/>
      <c r="IZF55" s="55"/>
      <c r="IZG55" s="55"/>
      <c r="IZH55" s="55"/>
      <c r="IZI55" s="55"/>
      <c r="IZJ55" s="55"/>
      <c r="IZK55" s="55"/>
      <c r="IZL55" s="55"/>
      <c r="IZM55" s="55"/>
      <c r="IZN55" s="55"/>
      <c r="IZO55" s="55"/>
      <c r="IZP55" s="55"/>
      <c r="IZQ55" s="55"/>
      <c r="IZR55" s="55"/>
      <c r="IZS55" s="55"/>
      <c r="IZT55" s="55"/>
      <c r="IZU55" s="55"/>
      <c r="IZV55" s="55"/>
      <c r="IZW55" s="55"/>
      <c r="IZX55" s="55"/>
      <c r="IZY55" s="55"/>
      <c r="IZZ55" s="55"/>
      <c r="JAA55" s="55"/>
      <c r="JAB55" s="55"/>
      <c r="JAC55" s="55"/>
      <c r="JAD55" s="55"/>
      <c r="JAE55" s="55"/>
      <c r="JAF55" s="55"/>
      <c r="JAG55" s="55"/>
      <c r="JAH55" s="55"/>
      <c r="JAI55" s="55"/>
      <c r="JAJ55" s="55"/>
      <c r="JAK55" s="55"/>
      <c r="JAL55" s="55"/>
      <c r="JAM55" s="55"/>
      <c r="JAN55" s="55"/>
      <c r="JAO55" s="55"/>
      <c r="JAP55" s="55"/>
      <c r="JAQ55" s="55"/>
      <c r="JAR55" s="55"/>
      <c r="JAS55" s="55"/>
      <c r="JAT55" s="55"/>
      <c r="JAU55" s="55"/>
      <c r="JAV55" s="55"/>
      <c r="JAW55" s="55"/>
      <c r="JAX55" s="55"/>
      <c r="JAY55" s="55"/>
      <c r="JAZ55" s="55"/>
      <c r="JBA55" s="55"/>
      <c r="JBB55" s="55"/>
      <c r="JBC55" s="55"/>
      <c r="JBD55" s="55"/>
      <c r="JBE55" s="55"/>
      <c r="JBF55" s="55"/>
      <c r="JBG55" s="55"/>
      <c r="JBH55" s="55"/>
      <c r="JBI55" s="55"/>
      <c r="JBJ55" s="55"/>
      <c r="JBK55" s="55"/>
      <c r="JBL55" s="55"/>
      <c r="JBM55" s="55"/>
      <c r="JBN55" s="55"/>
      <c r="JBO55" s="55"/>
      <c r="JBP55" s="55"/>
      <c r="JBQ55" s="55"/>
      <c r="JBR55" s="55"/>
      <c r="JBS55" s="55"/>
      <c r="JBT55" s="55"/>
      <c r="JBU55" s="55"/>
      <c r="JBV55" s="55"/>
      <c r="JBW55" s="55"/>
      <c r="JBX55" s="55"/>
      <c r="JBY55" s="55"/>
      <c r="JBZ55" s="55"/>
      <c r="JCA55" s="55"/>
      <c r="JCB55" s="55"/>
      <c r="JCC55" s="55"/>
      <c r="JCD55" s="55"/>
      <c r="JCE55" s="55"/>
      <c r="JCF55" s="55"/>
      <c r="JCG55" s="55"/>
      <c r="JCH55" s="55"/>
      <c r="JCI55" s="55"/>
      <c r="JCJ55" s="55"/>
      <c r="JCK55" s="55"/>
      <c r="JCL55" s="55"/>
      <c r="JCM55" s="55"/>
      <c r="JCN55" s="55"/>
      <c r="JCO55" s="55"/>
      <c r="JCP55" s="55"/>
      <c r="JCQ55" s="55"/>
      <c r="JCR55" s="55"/>
      <c r="JCS55" s="55"/>
      <c r="JCT55" s="55"/>
      <c r="JCU55" s="55"/>
      <c r="JCV55" s="55"/>
      <c r="JCW55" s="55"/>
      <c r="JCX55" s="55"/>
      <c r="JCY55" s="55"/>
      <c r="JCZ55" s="55"/>
      <c r="JDA55" s="55"/>
      <c r="JDB55" s="55"/>
      <c r="JDC55" s="55"/>
      <c r="JDD55" s="55"/>
      <c r="JDE55" s="55"/>
      <c r="JDF55" s="55"/>
      <c r="JDG55" s="55"/>
      <c r="JDH55" s="55"/>
      <c r="JDI55" s="55"/>
      <c r="JDJ55" s="55"/>
      <c r="JDK55" s="55"/>
      <c r="JDL55" s="55"/>
      <c r="JDM55" s="55"/>
      <c r="JDN55" s="55"/>
      <c r="JDO55" s="55"/>
      <c r="JDP55" s="55"/>
      <c r="JDQ55" s="55"/>
      <c r="JDR55" s="55"/>
      <c r="JDS55" s="55"/>
      <c r="JDT55" s="55"/>
      <c r="JDU55" s="55"/>
      <c r="JDV55" s="55"/>
      <c r="JDW55" s="55"/>
      <c r="JDX55" s="55"/>
      <c r="JDY55" s="55"/>
      <c r="JDZ55" s="55"/>
      <c r="JEA55" s="55"/>
      <c r="JEB55" s="55"/>
      <c r="JEC55" s="55"/>
      <c r="JED55" s="55"/>
      <c r="JEE55" s="55"/>
      <c r="JEF55" s="55"/>
      <c r="JEG55" s="55"/>
      <c r="JEH55" s="55"/>
      <c r="JEI55" s="55"/>
      <c r="JEJ55" s="55"/>
      <c r="JEK55" s="55"/>
      <c r="JEL55" s="55"/>
      <c r="JEM55" s="55"/>
      <c r="JEN55" s="55"/>
      <c r="JEO55" s="55"/>
      <c r="JEP55" s="55"/>
      <c r="JEQ55" s="55"/>
      <c r="JER55" s="55"/>
      <c r="JES55" s="55"/>
      <c r="JET55" s="55"/>
      <c r="JEU55" s="55"/>
      <c r="JEV55" s="55"/>
      <c r="JEW55" s="55"/>
      <c r="JEX55" s="55"/>
      <c r="JEY55" s="55"/>
      <c r="JEZ55" s="55"/>
      <c r="JFA55" s="55"/>
      <c r="JFB55" s="55"/>
      <c r="JFC55" s="55"/>
      <c r="JFD55" s="55"/>
      <c r="JFE55" s="55"/>
      <c r="JFF55" s="55"/>
      <c r="JFG55" s="55"/>
      <c r="JFH55" s="55"/>
      <c r="JFI55" s="55"/>
      <c r="JFJ55" s="55"/>
      <c r="JFK55" s="55"/>
      <c r="JFL55" s="55"/>
      <c r="JFM55" s="55"/>
      <c r="JFN55" s="55"/>
      <c r="JFO55" s="55"/>
      <c r="JFP55" s="55"/>
      <c r="JFQ55" s="55"/>
      <c r="JFR55" s="55"/>
      <c r="JFS55" s="55"/>
      <c r="JFT55" s="55"/>
      <c r="JFU55" s="55"/>
      <c r="JFV55" s="55"/>
      <c r="JFW55" s="55"/>
      <c r="JFX55" s="55"/>
      <c r="JFY55" s="55"/>
      <c r="JFZ55" s="55"/>
      <c r="JGA55" s="55"/>
      <c r="JGB55" s="55"/>
      <c r="JGC55" s="55"/>
      <c r="JGD55" s="55"/>
      <c r="JGE55" s="55"/>
      <c r="JGF55" s="55"/>
      <c r="JGG55" s="55"/>
      <c r="JGH55" s="55"/>
      <c r="JGI55" s="55"/>
      <c r="JGJ55" s="55"/>
      <c r="JGK55" s="55"/>
      <c r="JGL55" s="55"/>
      <c r="JGM55" s="55"/>
      <c r="JGN55" s="55"/>
      <c r="JGO55" s="55"/>
      <c r="JGP55" s="55"/>
      <c r="JGQ55" s="55"/>
      <c r="JGR55" s="55"/>
      <c r="JGS55" s="55"/>
      <c r="JGT55" s="55"/>
      <c r="JGU55" s="55"/>
      <c r="JGV55" s="55"/>
      <c r="JGW55" s="55"/>
      <c r="JGX55" s="55"/>
      <c r="JGY55" s="55"/>
      <c r="JGZ55" s="55"/>
      <c r="JHA55" s="55"/>
      <c r="JHB55" s="55"/>
      <c r="JHC55" s="55"/>
      <c r="JHD55" s="55"/>
      <c r="JHE55" s="55"/>
      <c r="JHF55" s="55"/>
      <c r="JHG55" s="55"/>
      <c r="JHH55" s="55"/>
      <c r="JHI55" s="55"/>
      <c r="JHJ55" s="55"/>
      <c r="JHK55" s="55"/>
      <c r="JHL55" s="55"/>
      <c r="JHM55" s="55"/>
      <c r="JHN55" s="55"/>
      <c r="JHO55" s="55"/>
      <c r="JHP55" s="55"/>
      <c r="JHQ55" s="55"/>
      <c r="JHR55" s="55"/>
      <c r="JHS55" s="55"/>
      <c r="JHT55" s="55"/>
      <c r="JHU55" s="55"/>
      <c r="JHV55" s="55"/>
      <c r="JHW55" s="55"/>
      <c r="JHX55" s="55"/>
      <c r="JHY55" s="55"/>
      <c r="JHZ55" s="55"/>
      <c r="JIA55" s="55"/>
      <c r="JIB55" s="55"/>
      <c r="JIC55" s="55"/>
      <c r="JID55" s="55"/>
      <c r="JIE55" s="55"/>
      <c r="JIF55" s="55"/>
      <c r="JIG55" s="55"/>
      <c r="JIH55" s="55"/>
      <c r="JII55" s="55"/>
      <c r="JIJ55" s="55"/>
      <c r="JIK55" s="55"/>
      <c r="JIL55" s="55"/>
      <c r="JIM55" s="55"/>
      <c r="JIN55" s="55"/>
      <c r="JIO55" s="55"/>
      <c r="JIP55" s="55"/>
      <c r="JIQ55" s="55"/>
      <c r="JIR55" s="55"/>
      <c r="JIS55" s="55"/>
      <c r="JIT55" s="55"/>
      <c r="JIU55" s="55"/>
      <c r="JIV55" s="55"/>
      <c r="JIW55" s="55"/>
      <c r="JIX55" s="55"/>
      <c r="JIY55" s="55"/>
      <c r="JIZ55" s="55"/>
      <c r="JJA55" s="55"/>
      <c r="JJB55" s="55"/>
      <c r="JJC55" s="55"/>
      <c r="JJD55" s="55"/>
      <c r="JJE55" s="55"/>
      <c r="JJF55" s="55"/>
      <c r="JJG55" s="55"/>
      <c r="JJH55" s="55"/>
      <c r="JJI55" s="55"/>
      <c r="JJJ55" s="55"/>
      <c r="JJK55" s="55"/>
      <c r="JJL55" s="55"/>
      <c r="JJM55" s="55"/>
      <c r="JJN55" s="55"/>
      <c r="JJO55" s="55"/>
      <c r="JJP55" s="55"/>
      <c r="JJQ55" s="55"/>
      <c r="JJR55" s="55"/>
      <c r="JJS55" s="55"/>
      <c r="JJT55" s="55"/>
      <c r="JJU55" s="55"/>
      <c r="JJV55" s="55"/>
      <c r="JJW55" s="55"/>
      <c r="JJX55" s="55"/>
      <c r="JJY55" s="55"/>
      <c r="JJZ55" s="55"/>
      <c r="JKA55" s="55"/>
      <c r="JKB55" s="55"/>
      <c r="JKC55" s="55"/>
      <c r="JKD55" s="55"/>
      <c r="JKE55" s="55"/>
      <c r="JKF55" s="55"/>
      <c r="JKG55" s="55"/>
      <c r="JKH55" s="55"/>
      <c r="JKI55" s="55"/>
      <c r="JKJ55" s="55"/>
      <c r="JKK55" s="55"/>
      <c r="JKL55" s="55"/>
      <c r="JKM55" s="55"/>
      <c r="JKN55" s="55"/>
      <c r="JKO55" s="55"/>
      <c r="JKP55" s="55"/>
      <c r="JKQ55" s="55"/>
      <c r="JKR55" s="55"/>
      <c r="JKS55" s="55"/>
      <c r="JKT55" s="55"/>
      <c r="JKU55" s="55"/>
      <c r="JKV55" s="55"/>
      <c r="JKW55" s="55"/>
      <c r="JKX55" s="55"/>
      <c r="JKY55" s="55"/>
      <c r="JKZ55" s="55"/>
      <c r="JLA55" s="55"/>
      <c r="JLB55" s="55"/>
      <c r="JLC55" s="55"/>
      <c r="JLD55" s="55"/>
      <c r="JLE55" s="55"/>
      <c r="JLF55" s="55"/>
      <c r="JLG55" s="55"/>
      <c r="JLH55" s="55"/>
      <c r="JLI55" s="55"/>
      <c r="JLJ55" s="55"/>
      <c r="JLK55" s="55"/>
      <c r="JLL55" s="55"/>
      <c r="JLM55" s="55"/>
      <c r="JLN55" s="55"/>
      <c r="JLO55" s="55"/>
      <c r="JLP55" s="55"/>
      <c r="JLQ55" s="55"/>
      <c r="JLR55" s="55"/>
      <c r="JLS55" s="55"/>
      <c r="JLT55" s="55"/>
      <c r="JLU55" s="55"/>
      <c r="JLV55" s="55"/>
      <c r="JLW55" s="55"/>
      <c r="JLX55" s="55"/>
      <c r="JLY55" s="55"/>
      <c r="JLZ55" s="55"/>
      <c r="JMA55" s="55"/>
      <c r="JMB55" s="55"/>
      <c r="JMC55" s="55"/>
      <c r="JMD55" s="55"/>
      <c r="JME55" s="55"/>
      <c r="JMF55" s="55"/>
      <c r="JMG55" s="55"/>
      <c r="JMH55" s="55"/>
      <c r="JMI55" s="55"/>
      <c r="JMJ55" s="55"/>
      <c r="JMK55" s="55"/>
      <c r="JML55" s="55"/>
      <c r="JMM55" s="55"/>
      <c r="JMN55" s="55"/>
      <c r="JMO55" s="55"/>
      <c r="JMP55" s="55"/>
      <c r="JMQ55" s="55"/>
      <c r="JMR55" s="55"/>
      <c r="JMS55" s="55"/>
      <c r="JMT55" s="55"/>
      <c r="JMU55" s="55"/>
      <c r="JMV55" s="55"/>
      <c r="JMW55" s="55"/>
      <c r="JMX55" s="55"/>
      <c r="JMY55" s="55"/>
      <c r="JMZ55" s="55"/>
      <c r="JNA55" s="55"/>
      <c r="JNB55" s="55"/>
      <c r="JNC55" s="55"/>
      <c r="JND55" s="55"/>
      <c r="JNE55" s="55"/>
      <c r="JNF55" s="55"/>
      <c r="JNG55" s="55"/>
      <c r="JNH55" s="55"/>
      <c r="JNI55" s="55"/>
      <c r="JNJ55" s="55"/>
      <c r="JNK55" s="55"/>
      <c r="JNL55" s="55"/>
      <c r="JNM55" s="55"/>
      <c r="JNN55" s="55"/>
      <c r="JNO55" s="55"/>
      <c r="JNP55" s="55"/>
      <c r="JNQ55" s="55"/>
      <c r="JNR55" s="55"/>
      <c r="JNS55" s="55"/>
      <c r="JNT55" s="55"/>
      <c r="JNU55" s="55"/>
      <c r="JNV55" s="55"/>
      <c r="JNW55" s="55"/>
      <c r="JNX55" s="55"/>
      <c r="JNY55" s="55"/>
      <c r="JNZ55" s="55"/>
      <c r="JOA55" s="55"/>
      <c r="JOB55" s="55"/>
      <c r="JOC55" s="55"/>
      <c r="JOD55" s="55"/>
      <c r="JOE55" s="55"/>
      <c r="JOF55" s="55"/>
      <c r="JOG55" s="55"/>
      <c r="JOH55" s="55"/>
      <c r="JOI55" s="55"/>
      <c r="JOJ55" s="55"/>
      <c r="JOK55" s="55"/>
      <c r="JOL55" s="55"/>
      <c r="JOM55" s="55"/>
      <c r="JON55" s="55"/>
      <c r="JOO55" s="55"/>
      <c r="JOP55" s="55"/>
      <c r="JOQ55" s="55"/>
      <c r="JOR55" s="55"/>
      <c r="JOS55" s="55"/>
      <c r="JOT55" s="55"/>
      <c r="JOU55" s="55"/>
      <c r="JOV55" s="55"/>
      <c r="JOW55" s="55"/>
      <c r="JOX55" s="55"/>
      <c r="JOY55" s="55"/>
      <c r="JOZ55" s="55"/>
      <c r="JPA55" s="55"/>
      <c r="JPB55" s="55"/>
      <c r="JPC55" s="55"/>
      <c r="JPD55" s="55"/>
      <c r="JPE55" s="55"/>
      <c r="JPF55" s="55"/>
      <c r="JPG55" s="55"/>
      <c r="JPH55" s="55"/>
      <c r="JPI55" s="55"/>
      <c r="JPJ55" s="55"/>
      <c r="JPK55" s="55"/>
      <c r="JPL55" s="55"/>
      <c r="JPM55" s="55"/>
      <c r="JPN55" s="55"/>
      <c r="JPO55" s="55"/>
      <c r="JPP55" s="55"/>
      <c r="JPQ55" s="55"/>
      <c r="JPR55" s="55"/>
      <c r="JPS55" s="55"/>
      <c r="JPT55" s="55"/>
      <c r="JPU55" s="55"/>
      <c r="JPV55" s="55"/>
      <c r="JPW55" s="55"/>
      <c r="JPX55" s="55"/>
      <c r="JPY55" s="55"/>
      <c r="JPZ55" s="55"/>
      <c r="JQA55" s="55"/>
      <c r="JQB55" s="55"/>
      <c r="JQC55" s="55"/>
      <c r="JQD55" s="55"/>
      <c r="JQE55" s="55"/>
      <c r="JQF55" s="55"/>
      <c r="JQG55" s="55"/>
      <c r="JQH55" s="55"/>
      <c r="JQI55" s="55"/>
      <c r="JQJ55" s="55"/>
      <c r="JQK55" s="55"/>
      <c r="JQL55" s="55"/>
      <c r="JQM55" s="55"/>
      <c r="JQN55" s="55"/>
      <c r="JQO55" s="55"/>
      <c r="JQP55" s="55"/>
      <c r="JQQ55" s="55"/>
      <c r="JQR55" s="55"/>
      <c r="JQS55" s="55"/>
      <c r="JQT55" s="55"/>
      <c r="JQU55" s="55"/>
      <c r="JQV55" s="55"/>
      <c r="JQW55" s="55"/>
      <c r="JQX55" s="55"/>
      <c r="JQY55" s="55"/>
      <c r="JQZ55" s="55"/>
      <c r="JRA55" s="55"/>
      <c r="JRB55" s="55"/>
      <c r="JRC55" s="55"/>
      <c r="JRD55" s="55"/>
      <c r="JRE55" s="55"/>
      <c r="JRF55" s="55"/>
      <c r="JRG55" s="55"/>
      <c r="JRH55" s="55"/>
      <c r="JRI55" s="55"/>
      <c r="JRJ55" s="55"/>
      <c r="JRK55" s="55"/>
      <c r="JRL55" s="55"/>
      <c r="JRM55" s="55"/>
      <c r="JRN55" s="55"/>
      <c r="JRO55" s="55"/>
      <c r="JRP55" s="55"/>
      <c r="JRQ55" s="55"/>
      <c r="JRR55" s="55"/>
      <c r="JRS55" s="55"/>
      <c r="JRT55" s="55"/>
      <c r="JRU55" s="55"/>
      <c r="JRV55" s="55"/>
      <c r="JRW55" s="55"/>
      <c r="JRX55" s="55"/>
      <c r="JRY55" s="55"/>
      <c r="JRZ55" s="55"/>
      <c r="JSA55" s="55"/>
      <c r="JSB55" s="55"/>
      <c r="JSC55" s="55"/>
      <c r="JSD55" s="55"/>
      <c r="JSE55" s="55"/>
      <c r="JSF55" s="55"/>
      <c r="JSG55" s="55"/>
      <c r="JSH55" s="55"/>
      <c r="JSI55" s="55"/>
      <c r="JSJ55" s="55"/>
      <c r="JSK55" s="55"/>
      <c r="JSL55" s="55"/>
      <c r="JSM55" s="55"/>
      <c r="JSN55" s="55"/>
      <c r="JSO55" s="55"/>
      <c r="JSP55" s="55"/>
      <c r="JSQ55" s="55"/>
      <c r="JSR55" s="55"/>
      <c r="JSS55" s="55"/>
      <c r="JST55" s="55"/>
      <c r="JSU55" s="55"/>
      <c r="JSV55" s="55"/>
      <c r="JSW55" s="55"/>
      <c r="JSX55" s="55"/>
      <c r="JSY55" s="55"/>
      <c r="JSZ55" s="55"/>
      <c r="JTA55" s="55"/>
      <c r="JTB55" s="55"/>
      <c r="JTC55" s="55"/>
      <c r="JTD55" s="55"/>
      <c r="JTE55" s="55"/>
      <c r="JTF55" s="55"/>
      <c r="JTG55" s="55"/>
      <c r="JTH55" s="55"/>
      <c r="JTI55" s="55"/>
      <c r="JTJ55" s="55"/>
      <c r="JTK55" s="55"/>
      <c r="JTL55" s="55"/>
      <c r="JTM55" s="55"/>
      <c r="JTN55" s="55"/>
      <c r="JTO55" s="55"/>
      <c r="JTP55" s="55"/>
      <c r="JTQ55" s="55"/>
      <c r="JTR55" s="55"/>
      <c r="JTS55" s="55"/>
      <c r="JTT55" s="55"/>
      <c r="JTU55" s="55"/>
      <c r="JTV55" s="55"/>
      <c r="JTW55" s="55"/>
      <c r="JTX55" s="55"/>
      <c r="JTY55" s="55"/>
      <c r="JTZ55" s="55"/>
      <c r="JUA55" s="55"/>
      <c r="JUB55" s="55"/>
      <c r="JUC55" s="55"/>
      <c r="JUD55" s="55"/>
      <c r="JUE55" s="55"/>
      <c r="JUF55" s="55"/>
      <c r="JUG55" s="55"/>
      <c r="JUH55" s="55"/>
      <c r="JUI55" s="55"/>
      <c r="JUJ55" s="55"/>
      <c r="JUK55" s="55"/>
      <c r="JUL55" s="55"/>
      <c r="JUM55" s="55"/>
      <c r="JUN55" s="55"/>
      <c r="JUO55" s="55"/>
      <c r="JUP55" s="55"/>
      <c r="JUQ55" s="55"/>
      <c r="JUR55" s="55"/>
      <c r="JUS55" s="55"/>
      <c r="JUT55" s="55"/>
      <c r="JUU55" s="55"/>
      <c r="JUV55" s="55"/>
      <c r="JUW55" s="55"/>
      <c r="JUX55" s="55"/>
      <c r="JUY55" s="55"/>
      <c r="JUZ55" s="55"/>
      <c r="JVA55" s="55"/>
      <c r="JVB55" s="55"/>
      <c r="JVC55" s="55"/>
      <c r="JVD55" s="55"/>
      <c r="JVE55" s="55"/>
      <c r="JVF55" s="55"/>
      <c r="JVG55" s="55"/>
      <c r="JVH55" s="55"/>
      <c r="JVI55" s="55"/>
      <c r="JVJ55" s="55"/>
      <c r="JVK55" s="55"/>
      <c r="JVL55" s="55"/>
      <c r="JVM55" s="55"/>
      <c r="JVN55" s="55"/>
      <c r="JVO55" s="55"/>
      <c r="JVP55" s="55"/>
      <c r="JVQ55" s="55"/>
      <c r="JVR55" s="55"/>
      <c r="JVS55" s="55"/>
      <c r="JVT55" s="55"/>
      <c r="JVU55" s="55"/>
      <c r="JVV55" s="55"/>
      <c r="JVW55" s="55"/>
      <c r="JVX55" s="55"/>
      <c r="JVY55" s="55"/>
      <c r="JVZ55" s="55"/>
      <c r="JWA55" s="55"/>
      <c r="JWB55" s="55"/>
      <c r="JWC55" s="55"/>
      <c r="JWD55" s="55"/>
      <c r="JWE55" s="55"/>
      <c r="JWF55" s="55"/>
      <c r="JWG55" s="55"/>
      <c r="JWH55" s="55"/>
      <c r="JWI55" s="55"/>
      <c r="JWJ55" s="55"/>
      <c r="JWK55" s="55"/>
      <c r="JWL55" s="55"/>
      <c r="JWM55" s="55"/>
      <c r="JWN55" s="55"/>
      <c r="JWO55" s="55"/>
      <c r="JWP55" s="55"/>
      <c r="JWQ55" s="55"/>
      <c r="JWR55" s="55"/>
      <c r="JWS55" s="55"/>
      <c r="JWT55" s="55"/>
      <c r="JWU55" s="55"/>
      <c r="JWV55" s="55"/>
      <c r="JWW55" s="55"/>
      <c r="JWX55" s="55"/>
      <c r="JWY55" s="55"/>
      <c r="JWZ55" s="55"/>
      <c r="JXA55" s="55"/>
      <c r="JXB55" s="55"/>
      <c r="JXC55" s="55"/>
      <c r="JXD55" s="55"/>
      <c r="JXE55" s="55"/>
      <c r="JXF55" s="55"/>
      <c r="JXG55" s="55"/>
      <c r="JXH55" s="55"/>
      <c r="JXI55" s="55"/>
      <c r="JXJ55" s="55"/>
      <c r="JXK55" s="55"/>
      <c r="JXL55" s="55"/>
      <c r="JXM55" s="55"/>
      <c r="JXN55" s="55"/>
      <c r="JXO55" s="55"/>
      <c r="JXP55" s="55"/>
      <c r="JXQ55" s="55"/>
      <c r="JXR55" s="55"/>
      <c r="JXS55" s="55"/>
      <c r="JXT55" s="55"/>
      <c r="JXU55" s="55"/>
      <c r="JXV55" s="55"/>
      <c r="JXW55" s="55"/>
      <c r="JXX55" s="55"/>
      <c r="JXY55" s="55"/>
      <c r="JXZ55" s="55"/>
      <c r="JYA55" s="55"/>
      <c r="JYB55" s="55"/>
      <c r="JYC55" s="55"/>
      <c r="JYD55" s="55"/>
      <c r="JYE55" s="55"/>
      <c r="JYF55" s="55"/>
      <c r="JYG55" s="55"/>
      <c r="JYH55" s="55"/>
      <c r="JYI55" s="55"/>
      <c r="JYJ55" s="55"/>
      <c r="JYK55" s="55"/>
      <c r="JYL55" s="55"/>
      <c r="JYM55" s="55"/>
      <c r="JYN55" s="55"/>
      <c r="JYO55" s="55"/>
      <c r="JYP55" s="55"/>
      <c r="JYQ55" s="55"/>
      <c r="JYR55" s="55"/>
      <c r="JYS55" s="55"/>
      <c r="JYT55" s="55"/>
      <c r="JYU55" s="55"/>
      <c r="JYV55" s="55"/>
      <c r="JYW55" s="55"/>
      <c r="JYX55" s="55"/>
      <c r="JYY55" s="55"/>
      <c r="JYZ55" s="55"/>
      <c r="JZA55" s="55"/>
      <c r="JZB55" s="55"/>
      <c r="JZC55" s="55"/>
      <c r="JZD55" s="55"/>
      <c r="JZE55" s="55"/>
      <c r="JZF55" s="55"/>
      <c r="JZG55" s="55"/>
      <c r="JZH55" s="55"/>
      <c r="JZI55" s="55"/>
      <c r="JZJ55" s="55"/>
      <c r="JZK55" s="55"/>
      <c r="JZL55" s="55"/>
      <c r="JZM55" s="55"/>
      <c r="JZN55" s="55"/>
      <c r="JZO55" s="55"/>
      <c r="JZP55" s="55"/>
      <c r="JZQ55" s="55"/>
      <c r="JZR55" s="55"/>
      <c r="JZS55" s="55"/>
      <c r="JZT55" s="55"/>
      <c r="JZU55" s="55"/>
      <c r="JZV55" s="55"/>
      <c r="JZW55" s="55"/>
      <c r="JZX55" s="55"/>
      <c r="JZY55" s="55"/>
      <c r="JZZ55" s="55"/>
      <c r="KAA55" s="55"/>
      <c r="KAB55" s="55"/>
      <c r="KAC55" s="55"/>
      <c r="KAD55" s="55"/>
      <c r="KAE55" s="55"/>
      <c r="KAF55" s="55"/>
      <c r="KAG55" s="55"/>
      <c r="KAH55" s="55"/>
      <c r="KAI55" s="55"/>
      <c r="KAJ55" s="55"/>
      <c r="KAK55" s="55"/>
      <c r="KAL55" s="55"/>
      <c r="KAM55" s="55"/>
      <c r="KAN55" s="55"/>
      <c r="KAO55" s="55"/>
      <c r="KAP55" s="55"/>
      <c r="KAQ55" s="55"/>
      <c r="KAR55" s="55"/>
      <c r="KAS55" s="55"/>
      <c r="KAT55" s="55"/>
      <c r="KAU55" s="55"/>
      <c r="KAV55" s="55"/>
      <c r="KAW55" s="55"/>
      <c r="KAX55" s="55"/>
      <c r="KAY55" s="55"/>
      <c r="KAZ55" s="55"/>
      <c r="KBA55" s="55"/>
      <c r="KBB55" s="55"/>
      <c r="KBC55" s="55"/>
      <c r="KBD55" s="55"/>
      <c r="KBE55" s="55"/>
      <c r="KBF55" s="55"/>
      <c r="KBG55" s="55"/>
      <c r="KBH55" s="55"/>
      <c r="KBI55" s="55"/>
      <c r="KBJ55" s="55"/>
      <c r="KBK55" s="55"/>
      <c r="KBL55" s="55"/>
      <c r="KBM55" s="55"/>
      <c r="KBN55" s="55"/>
      <c r="KBO55" s="55"/>
      <c r="KBP55" s="55"/>
      <c r="KBQ55" s="55"/>
      <c r="KBR55" s="55"/>
      <c r="KBS55" s="55"/>
      <c r="KBT55" s="55"/>
      <c r="KBU55" s="55"/>
      <c r="KBV55" s="55"/>
      <c r="KBW55" s="55"/>
      <c r="KBX55" s="55"/>
      <c r="KBY55" s="55"/>
      <c r="KBZ55" s="55"/>
      <c r="KCA55" s="55"/>
      <c r="KCB55" s="55"/>
      <c r="KCC55" s="55"/>
      <c r="KCD55" s="55"/>
      <c r="KCE55" s="55"/>
      <c r="KCF55" s="55"/>
      <c r="KCG55" s="55"/>
      <c r="KCH55" s="55"/>
      <c r="KCI55" s="55"/>
      <c r="KCJ55" s="55"/>
      <c r="KCK55" s="55"/>
      <c r="KCL55" s="55"/>
      <c r="KCM55" s="55"/>
      <c r="KCN55" s="55"/>
      <c r="KCO55" s="55"/>
      <c r="KCP55" s="55"/>
      <c r="KCQ55" s="55"/>
      <c r="KCR55" s="55"/>
      <c r="KCS55" s="55"/>
      <c r="KCT55" s="55"/>
      <c r="KCU55" s="55"/>
      <c r="KCV55" s="55"/>
      <c r="KCW55" s="55"/>
      <c r="KCX55" s="55"/>
      <c r="KCY55" s="55"/>
      <c r="KCZ55" s="55"/>
      <c r="KDA55" s="55"/>
      <c r="KDB55" s="55"/>
      <c r="KDC55" s="55"/>
      <c r="KDD55" s="55"/>
      <c r="KDE55" s="55"/>
      <c r="KDF55" s="55"/>
      <c r="KDG55" s="55"/>
      <c r="KDH55" s="55"/>
      <c r="KDI55" s="55"/>
      <c r="KDJ55" s="55"/>
      <c r="KDK55" s="55"/>
      <c r="KDL55" s="55"/>
      <c r="KDM55" s="55"/>
      <c r="KDN55" s="55"/>
      <c r="KDO55" s="55"/>
      <c r="KDP55" s="55"/>
      <c r="KDQ55" s="55"/>
      <c r="KDR55" s="55"/>
      <c r="KDS55" s="55"/>
      <c r="KDT55" s="55"/>
      <c r="KDU55" s="55"/>
      <c r="KDV55" s="55"/>
      <c r="KDW55" s="55"/>
      <c r="KDX55" s="55"/>
      <c r="KDY55" s="55"/>
      <c r="KDZ55" s="55"/>
      <c r="KEA55" s="55"/>
      <c r="KEB55" s="55"/>
      <c r="KEC55" s="55"/>
      <c r="KED55" s="55"/>
      <c r="KEE55" s="55"/>
      <c r="KEF55" s="55"/>
      <c r="KEG55" s="55"/>
      <c r="KEH55" s="55"/>
      <c r="KEI55" s="55"/>
      <c r="KEJ55" s="55"/>
      <c r="KEK55" s="55"/>
      <c r="KEL55" s="55"/>
      <c r="KEM55" s="55"/>
      <c r="KEN55" s="55"/>
      <c r="KEO55" s="55"/>
      <c r="KEP55" s="55"/>
      <c r="KEQ55" s="55"/>
      <c r="KER55" s="55"/>
      <c r="KES55" s="55"/>
      <c r="KET55" s="55"/>
      <c r="KEU55" s="55"/>
      <c r="KEV55" s="55"/>
      <c r="KEW55" s="55"/>
      <c r="KEX55" s="55"/>
      <c r="KEY55" s="55"/>
      <c r="KEZ55" s="55"/>
      <c r="KFA55" s="55"/>
      <c r="KFB55" s="55"/>
      <c r="KFC55" s="55"/>
      <c r="KFD55" s="55"/>
      <c r="KFE55" s="55"/>
      <c r="KFF55" s="55"/>
      <c r="KFG55" s="55"/>
      <c r="KFH55" s="55"/>
      <c r="KFI55" s="55"/>
      <c r="KFJ55" s="55"/>
      <c r="KFK55" s="55"/>
      <c r="KFL55" s="55"/>
      <c r="KFM55" s="55"/>
      <c r="KFN55" s="55"/>
      <c r="KFO55" s="55"/>
      <c r="KFP55" s="55"/>
      <c r="KFQ55" s="55"/>
      <c r="KFR55" s="55"/>
      <c r="KFS55" s="55"/>
      <c r="KFT55" s="55"/>
      <c r="KFU55" s="55"/>
      <c r="KFV55" s="55"/>
      <c r="KFW55" s="55"/>
      <c r="KFX55" s="55"/>
      <c r="KFY55" s="55"/>
      <c r="KFZ55" s="55"/>
      <c r="KGA55" s="55"/>
      <c r="KGB55" s="55"/>
      <c r="KGC55" s="55"/>
      <c r="KGD55" s="55"/>
      <c r="KGE55" s="55"/>
      <c r="KGF55" s="55"/>
      <c r="KGG55" s="55"/>
      <c r="KGH55" s="55"/>
      <c r="KGI55" s="55"/>
      <c r="KGJ55" s="55"/>
      <c r="KGK55" s="55"/>
      <c r="KGL55" s="55"/>
      <c r="KGM55" s="55"/>
      <c r="KGN55" s="55"/>
      <c r="KGO55" s="55"/>
      <c r="KGP55" s="55"/>
      <c r="KGQ55" s="55"/>
      <c r="KGR55" s="55"/>
      <c r="KGS55" s="55"/>
      <c r="KGT55" s="55"/>
      <c r="KGU55" s="55"/>
      <c r="KGV55" s="55"/>
      <c r="KGW55" s="55"/>
      <c r="KGX55" s="55"/>
      <c r="KGY55" s="55"/>
      <c r="KGZ55" s="55"/>
      <c r="KHA55" s="55"/>
      <c r="KHB55" s="55"/>
      <c r="KHC55" s="55"/>
      <c r="KHD55" s="55"/>
      <c r="KHE55" s="55"/>
      <c r="KHF55" s="55"/>
      <c r="KHG55" s="55"/>
      <c r="KHH55" s="55"/>
      <c r="KHI55" s="55"/>
      <c r="KHJ55" s="55"/>
      <c r="KHK55" s="55"/>
      <c r="KHL55" s="55"/>
      <c r="KHM55" s="55"/>
      <c r="KHN55" s="55"/>
      <c r="KHO55" s="55"/>
      <c r="KHP55" s="55"/>
      <c r="KHQ55" s="55"/>
      <c r="KHR55" s="55"/>
      <c r="KHS55" s="55"/>
      <c r="KHT55" s="55"/>
      <c r="KHU55" s="55"/>
      <c r="KHV55" s="55"/>
      <c r="KHW55" s="55"/>
      <c r="KHX55" s="55"/>
      <c r="KHY55" s="55"/>
      <c r="KHZ55" s="55"/>
      <c r="KIA55" s="55"/>
      <c r="KIB55" s="55"/>
      <c r="KIC55" s="55"/>
      <c r="KID55" s="55"/>
      <c r="KIE55" s="55"/>
      <c r="KIF55" s="55"/>
      <c r="KIG55" s="55"/>
      <c r="KIH55" s="55"/>
      <c r="KII55" s="55"/>
      <c r="KIJ55" s="55"/>
      <c r="KIK55" s="55"/>
      <c r="KIL55" s="55"/>
      <c r="KIM55" s="55"/>
      <c r="KIN55" s="55"/>
      <c r="KIO55" s="55"/>
      <c r="KIP55" s="55"/>
      <c r="KIQ55" s="55"/>
      <c r="KIR55" s="55"/>
      <c r="KIS55" s="55"/>
      <c r="KIT55" s="55"/>
      <c r="KIU55" s="55"/>
      <c r="KIV55" s="55"/>
      <c r="KIW55" s="55"/>
      <c r="KIX55" s="55"/>
      <c r="KIY55" s="55"/>
      <c r="KIZ55" s="55"/>
      <c r="KJA55" s="55"/>
      <c r="KJB55" s="55"/>
      <c r="KJC55" s="55"/>
      <c r="KJD55" s="55"/>
      <c r="KJE55" s="55"/>
      <c r="KJF55" s="55"/>
      <c r="KJG55" s="55"/>
      <c r="KJH55" s="55"/>
      <c r="KJI55" s="55"/>
      <c r="KJJ55" s="55"/>
      <c r="KJK55" s="55"/>
      <c r="KJL55" s="55"/>
      <c r="KJM55" s="55"/>
      <c r="KJN55" s="55"/>
      <c r="KJO55" s="55"/>
      <c r="KJP55" s="55"/>
      <c r="KJQ55" s="55"/>
      <c r="KJR55" s="55"/>
      <c r="KJS55" s="55"/>
      <c r="KJT55" s="55"/>
      <c r="KJU55" s="55"/>
      <c r="KJV55" s="55"/>
      <c r="KJW55" s="55"/>
      <c r="KJX55" s="55"/>
      <c r="KJY55" s="55"/>
      <c r="KJZ55" s="55"/>
      <c r="KKA55" s="55"/>
      <c r="KKB55" s="55"/>
      <c r="KKC55" s="55"/>
      <c r="KKD55" s="55"/>
      <c r="KKE55" s="55"/>
      <c r="KKF55" s="55"/>
      <c r="KKG55" s="55"/>
      <c r="KKH55" s="55"/>
      <c r="KKI55" s="55"/>
      <c r="KKJ55" s="55"/>
      <c r="KKK55" s="55"/>
      <c r="KKL55" s="55"/>
      <c r="KKM55" s="55"/>
      <c r="KKN55" s="55"/>
      <c r="KKO55" s="55"/>
      <c r="KKP55" s="55"/>
      <c r="KKQ55" s="55"/>
      <c r="KKR55" s="55"/>
      <c r="KKS55" s="55"/>
      <c r="KKT55" s="55"/>
      <c r="KKU55" s="55"/>
      <c r="KKV55" s="55"/>
      <c r="KKW55" s="55"/>
      <c r="KKX55" s="55"/>
      <c r="KKY55" s="55"/>
      <c r="KKZ55" s="55"/>
      <c r="KLA55" s="55"/>
      <c r="KLB55" s="55"/>
      <c r="KLC55" s="55"/>
      <c r="KLD55" s="55"/>
      <c r="KLE55" s="55"/>
      <c r="KLF55" s="55"/>
      <c r="KLG55" s="55"/>
      <c r="KLH55" s="55"/>
      <c r="KLI55" s="55"/>
      <c r="KLJ55" s="55"/>
      <c r="KLK55" s="55"/>
      <c r="KLL55" s="55"/>
      <c r="KLM55" s="55"/>
      <c r="KLN55" s="55"/>
      <c r="KLO55" s="55"/>
      <c r="KLP55" s="55"/>
      <c r="KLQ55" s="55"/>
      <c r="KLR55" s="55"/>
      <c r="KLS55" s="55"/>
      <c r="KLT55" s="55"/>
      <c r="KLU55" s="55"/>
      <c r="KLV55" s="55"/>
      <c r="KLW55" s="55"/>
      <c r="KLX55" s="55"/>
      <c r="KLY55" s="55"/>
      <c r="KLZ55" s="55"/>
      <c r="KMA55" s="55"/>
      <c r="KMB55" s="55"/>
      <c r="KMC55" s="55"/>
      <c r="KMD55" s="55"/>
      <c r="KME55" s="55"/>
      <c r="KMF55" s="55"/>
      <c r="KMG55" s="55"/>
      <c r="KMH55" s="55"/>
      <c r="KMI55" s="55"/>
      <c r="KMJ55" s="55"/>
      <c r="KMK55" s="55"/>
      <c r="KML55" s="55"/>
      <c r="KMM55" s="55"/>
      <c r="KMN55" s="55"/>
      <c r="KMO55" s="55"/>
      <c r="KMP55" s="55"/>
      <c r="KMQ55" s="55"/>
      <c r="KMR55" s="55"/>
      <c r="KMS55" s="55"/>
      <c r="KMT55" s="55"/>
      <c r="KMU55" s="55"/>
      <c r="KMV55" s="55"/>
      <c r="KMW55" s="55"/>
      <c r="KMX55" s="55"/>
      <c r="KMY55" s="55"/>
      <c r="KMZ55" s="55"/>
      <c r="KNA55" s="55"/>
      <c r="KNB55" s="55"/>
      <c r="KNC55" s="55"/>
      <c r="KND55" s="55"/>
      <c r="KNE55" s="55"/>
      <c r="KNF55" s="55"/>
      <c r="KNG55" s="55"/>
      <c r="KNH55" s="55"/>
      <c r="KNI55" s="55"/>
      <c r="KNJ55" s="55"/>
      <c r="KNK55" s="55"/>
      <c r="KNL55" s="55"/>
      <c r="KNM55" s="55"/>
      <c r="KNN55" s="55"/>
      <c r="KNO55" s="55"/>
      <c r="KNP55" s="55"/>
      <c r="KNQ55" s="55"/>
      <c r="KNR55" s="55"/>
      <c r="KNS55" s="55"/>
      <c r="KNT55" s="55"/>
      <c r="KNU55" s="55"/>
      <c r="KNV55" s="55"/>
      <c r="KNW55" s="55"/>
      <c r="KNX55" s="55"/>
      <c r="KNY55" s="55"/>
      <c r="KNZ55" s="55"/>
      <c r="KOA55" s="55"/>
      <c r="KOB55" s="55"/>
      <c r="KOC55" s="55"/>
      <c r="KOD55" s="55"/>
      <c r="KOE55" s="55"/>
      <c r="KOF55" s="55"/>
      <c r="KOG55" s="55"/>
      <c r="KOH55" s="55"/>
      <c r="KOI55" s="55"/>
      <c r="KOJ55" s="55"/>
      <c r="KOK55" s="55"/>
      <c r="KOL55" s="55"/>
      <c r="KOM55" s="55"/>
      <c r="KON55" s="55"/>
      <c r="KOO55" s="55"/>
      <c r="KOP55" s="55"/>
      <c r="KOQ55" s="55"/>
      <c r="KOR55" s="55"/>
      <c r="KOS55" s="55"/>
      <c r="KOT55" s="55"/>
      <c r="KOU55" s="55"/>
      <c r="KOV55" s="55"/>
      <c r="KOW55" s="55"/>
      <c r="KOX55" s="55"/>
      <c r="KOY55" s="55"/>
      <c r="KOZ55" s="55"/>
      <c r="KPA55" s="55"/>
      <c r="KPB55" s="55"/>
      <c r="KPC55" s="55"/>
      <c r="KPD55" s="55"/>
      <c r="KPE55" s="55"/>
      <c r="KPF55" s="55"/>
      <c r="KPG55" s="55"/>
      <c r="KPH55" s="55"/>
      <c r="KPI55" s="55"/>
      <c r="KPJ55" s="55"/>
      <c r="KPK55" s="55"/>
      <c r="KPL55" s="55"/>
      <c r="KPM55" s="55"/>
      <c r="KPN55" s="55"/>
      <c r="KPO55" s="55"/>
      <c r="KPP55" s="55"/>
      <c r="KPQ55" s="55"/>
      <c r="KPR55" s="55"/>
      <c r="KPS55" s="55"/>
      <c r="KPT55" s="55"/>
      <c r="KPU55" s="55"/>
      <c r="KPV55" s="55"/>
      <c r="KPW55" s="55"/>
      <c r="KPX55" s="55"/>
      <c r="KPY55" s="55"/>
      <c r="KPZ55" s="55"/>
      <c r="KQA55" s="55"/>
      <c r="KQB55" s="55"/>
      <c r="KQC55" s="55"/>
      <c r="KQD55" s="55"/>
      <c r="KQE55" s="55"/>
      <c r="KQF55" s="55"/>
      <c r="KQG55" s="55"/>
      <c r="KQH55" s="55"/>
      <c r="KQI55" s="55"/>
      <c r="KQJ55" s="55"/>
      <c r="KQK55" s="55"/>
      <c r="KQL55" s="55"/>
      <c r="KQM55" s="55"/>
      <c r="KQN55" s="55"/>
      <c r="KQO55" s="55"/>
      <c r="KQP55" s="55"/>
      <c r="KQQ55" s="55"/>
      <c r="KQR55" s="55"/>
      <c r="KQS55" s="55"/>
      <c r="KQT55" s="55"/>
      <c r="KQU55" s="55"/>
      <c r="KQV55" s="55"/>
      <c r="KQW55" s="55"/>
      <c r="KQX55" s="55"/>
      <c r="KQY55" s="55"/>
      <c r="KQZ55" s="55"/>
      <c r="KRA55" s="55"/>
      <c r="KRB55" s="55"/>
      <c r="KRC55" s="55"/>
      <c r="KRD55" s="55"/>
      <c r="KRE55" s="55"/>
      <c r="KRF55" s="55"/>
      <c r="KRG55" s="55"/>
      <c r="KRH55" s="55"/>
      <c r="KRI55" s="55"/>
      <c r="KRJ55" s="55"/>
      <c r="KRK55" s="55"/>
      <c r="KRL55" s="55"/>
      <c r="KRM55" s="55"/>
      <c r="KRN55" s="55"/>
      <c r="KRO55" s="55"/>
      <c r="KRP55" s="55"/>
      <c r="KRQ55" s="55"/>
      <c r="KRR55" s="55"/>
      <c r="KRS55" s="55"/>
      <c r="KRT55" s="55"/>
      <c r="KRU55" s="55"/>
      <c r="KRV55" s="55"/>
      <c r="KRW55" s="55"/>
      <c r="KRX55" s="55"/>
      <c r="KRY55" s="55"/>
      <c r="KRZ55" s="55"/>
      <c r="KSA55" s="55"/>
      <c r="KSB55" s="55"/>
      <c r="KSC55" s="55"/>
      <c r="KSD55" s="55"/>
      <c r="KSE55" s="55"/>
      <c r="KSF55" s="55"/>
      <c r="KSG55" s="55"/>
      <c r="KSH55" s="55"/>
      <c r="KSI55" s="55"/>
      <c r="KSJ55" s="55"/>
      <c r="KSK55" s="55"/>
      <c r="KSL55" s="55"/>
      <c r="KSM55" s="55"/>
      <c r="KSN55" s="55"/>
      <c r="KSO55" s="55"/>
      <c r="KSP55" s="55"/>
      <c r="KSQ55" s="55"/>
      <c r="KSR55" s="55"/>
      <c r="KSS55" s="55"/>
      <c r="KST55" s="55"/>
      <c r="KSU55" s="55"/>
      <c r="KSV55" s="55"/>
      <c r="KSW55" s="55"/>
      <c r="KSX55" s="55"/>
      <c r="KSY55" s="55"/>
      <c r="KSZ55" s="55"/>
      <c r="KTA55" s="55"/>
      <c r="KTB55" s="55"/>
      <c r="KTC55" s="55"/>
      <c r="KTD55" s="55"/>
      <c r="KTE55" s="55"/>
      <c r="KTF55" s="55"/>
      <c r="KTG55" s="55"/>
      <c r="KTH55" s="55"/>
      <c r="KTI55" s="55"/>
      <c r="KTJ55" s="55"/>
      <c r="KTK55" s="55"/>
      <c r="KTL55" s="55"/>
      <c r="KTM55" s="55"/>
      <c r="KTN55" s="55"/>
      <c r="KTO55" s="55"/>
      <c r="KTP55" s="55"/>
      <c r="KTQ55" s="55"/>
      <c r="KTR55" s="55"/>
      <c r="KTS55" s="55"/>
      <c r="KTT55" s="55"/>
      <c r="KTU55" s="55"/>
      <c r="KTV55" s="55"/>
      <c r="KTW55" s="55"/>
      <c r="KTX55" s="55"/>
      <c r="KTY55" s="55"/>
      <c r="KTZ55" s="55"/>
      <c r="KUA55" s="55"/>
      <c r="KUB55" s="55"/>
      <c r="KUC55" s="55"/>
      <c r="KUD55" s="55"/>
      <c r="KUE55" s="55"/>
      <c r="KUF55" s="55"/>
      <c r="KUG55" s="55"/>
      <c r="KUH55" s="55"/>
      <c r="KUI55" s="55"/>
      <c r="KUJ55" s="55"/>
      <c r="KUK55" s="55"/>
      <c r="KUL55" s="55"/>
      <c r="KUM55" s="55"/>
      <c r="KUN55" s="55"/>
      <c r="KUO55" s="55"/>
      <c r="KUP55" s="55"/>
      <c r="KUQ55" s="55"/>
      <c r="KUR55" s="55"/>
      <c r="KUS55" s="55"/>
      <c r="KUT55" s="55"/>
      <c r="KUU55" s="55"/>
      <c r="KUV55" s="55"/>
      <c r="KUW55" s="55"/>
      <c r="KUX55" s="55"/>
      <c r="KUY55" s="55"/>
      <c r="KUZ55" s="55"/>
      <c r="KVA55" s="55"/>
      <c r="KVB55" s="55"/>
      <c r="KVC55" s="55"/>
      <c r="KVD55" s="55"/>
      <c r="KVE55" s="55"/>
      <c r="KVF55" s="55"/>
      <c r="KVG55" s="55"/>
      <c r="KVH55" s="55"/>
      <c r="KVI55" s="55"/>
      <c r="KVJ55" s="55"/>
      <c r="KVK55" s="55"/>
      <c r="KVL55" s="55"/>
      <c r="KVM55" s="55"/>
      <c r="KVN55" s="55"/>
      <c r="KVO55" s="55"/>
      <c r="KVP55" s="55"/>
      <c r="KVQ55" s="55"/>
      <c r="KVR55" s="55"/>
      <c r="KVS55" s="55"/>
      <c r="KVT55" s="55"/>
      <c r="KVU55" s="55"/>
      <c r="KVV55" s="55"/>
      <c r="KVW55" s="55"/>
      <c r="KVX55" s="55"/>
      <c r="KVY55" s="55"/>
      <c r="KVZ55" s="55"/>
      <c r="KWA55" s="55"/>
      <c r="KWB55" s="55"/>
      <c r="KWC55" s="55"/>
      <c r="KWD55" s="55"/>
      <c r="KWE55" s="55"/>
      <c r="KWF55" s="55"/>
      <c r="KWG55" s="55"/>
      <c r="KWH55" s="55"/>
      <c r="KWI55" s="55"/>
      <c r="KWJ55" s="55"/>
      <c r="KWK55" s="55"/>
      <c r="KWL55" s="55"/>
      <c r="KWM55" s="55"/>
      <c r="KWN55" s="55"/>
      <c r="KWO55" s="55"/>
      <c r="KWP55" s="55"/>
      <c r="KWQ55" s="55"/>
      <c r="KWR55" s="55"/>
      <c r="KWS55" s="55"/>
      <c r="KWT55" s="55"/>
      <c r="KWU55" s="55"/>
      <c r="KWV55" s="55"/>
      <c r="KWW55" s="55"/>
      <c r="KWX55" s="55"/>
      <c r="KWY55" s="55"/>
      <c r="KWZ55" s="55"/>
      <c r="KXA55" s="55"/>
      <c r="KXB55" s="55"/>
      <c r="KXC55" s="55"/>
      <c r="KXD55" s="55"/>
      <c r="KXE55" s="55"/>
      <c r="KXF55" s="55"/>
      <c r="KXG55" s="55"/>
      <c r="KXH55" s="55"/>
      <c r="KXI55" s="55"/>
      <c r="KXJ55" s="55"/>
      <c r="KXK55" s="55"/>
      <c r="KXL55" s="55"/>
      <c r="KXM55" s="55"/>
      <c r="KXN55" s="55"/>
      <c r="KXO55" s="55"/>
      <c r="KXP55" s="55"/>
      <c r="KXQ55" s="55"/>
      <c r="KXR55" s="55"/>
      <c r="KXS55" s="55"/>
      <c r="KXT55" s="55"/>
      <c r="KXU55" s="55"/>
      <c r="KXV55" s="55"/>
      <c r="KXW55" s="55"/>
      <c r="KXX55" s="55"/>
      <c r="KXY55" s="55"/>
      <c r="KXZ55" s="55"/>
      <c r="KYA55" s="55"/>
      <c r="KYB55" s="55"/>
      <c r="KYC55" s="55"/>
      <c r="KYD55" s="55"/>
      <c r="KYE55" s="55"/>
      <c r="KYF55" s="55"/>
      <c r="KYG55" s="55"/>
      <c r="KYH55" s="55"/>
      <c r="KYI55" s="55"/>
      <c r="KYJ55" s="55"/>
      <c r="KYK55" s="55"/>
      <c r="KYL55" s="55"/>
      <c r="KYM55" s="55"/>
      <c r="KYN55" s="55"/>
      <c r="KYO55" s="55"/>
      <c r="KYP55" s="55"/>
      <c r="KYQ55" s="55"/>
      <c r="KYR55" s="55"/>
      <c r="KYS55" s="55"/>
      <c r="KYT55" s="55"/>
      <c r="KYU55" s="55"/>
      <c r="KYV55" s="55"/>
      <c r="KYW55" s="55"/>
      <c r="KYX55" s="55"/>
      <c r="KYY55" s="55"/>
      <c r="KYZ55" s="55"/>
      <c r="KZA55" s="55"/>
      <c r="KZB55" s="55"/>
      <c r="KZC55" s="55"/>
      <c r="KZD55" s="55"/>
      <c r="KZE55" s="55"/>
      <c r="KZF55" s="55"/>
      <c r="KZG55" s="55"/>
      <c r="KZH55" s="55"/>
      <c r="KZI55" s="55"/>
      <c r="KZJ55" s="55"/>
      <c r="KZK55" s="55"/>
      <c r="KZL55" s="55"/>
      <c r="KZM55" s="55"/>
      <c r="KZN55" s="55"/>
      <c r="KZO55" s="55"/>
      <c r="KZP55" s="55"/>
      <c r="KZQ55" s="55"/>
      <c r="KZR55" s="55"/>
      <c r="KZS55" s="55"/>
      <c r="KZT55" s="55"/>
      <c r="KZU55" s="55"/>
      <c r="KZV55" s="55"/>
      <c r="KZW55" s="55"/>
      <c r="KZX55" s="55"/>
      <c r="KZY55" s="55"/>
      <c r="KZZ55" s="55"/>
      <c r="LAA55" s="55"/>
      <c r="LAB55" s="55"/>
      <c r="LAC55" s="55"/>
      <c r="LAD55" s="55"/>
      <c r="LAE55" s="55"/>
      <c r="LAF55" s="55"/>
      <c r="LAG55" s="55"/>
      <c r="LAH55" s="55"/>
      <c r="LAI55" s="55"/>
      <c r="LAJ55" s="55"/>
      <c r="LAK55" s="55"/>
      <c r="LAL55" s="55"/>
      <c r="LAM55" s="55"/>
      <c r="LAN55" s="55"/>
      <c r="LAO55" s="55"/>
      <c r="LAP55" s="55"/>
      <c r="LAQ55" s="55"/>
      <c r="LAR55" s="55"/>
      <c r="LAS55" s="55"/>
      <c r="LAT55" s="55"/>
      <c r="LAU55" s="55"/>
      <c r="LAV55" s="55"/>
      <c r="LAW55" s="55"/>
      <c r="LAX55" s="55"/>
      <c r="LAY55" s="55"/>
      <c r="LAZ55" s="55"/>
      <c r="LBA55" s="55"/>
      <c r="LBB55" s="55"/>
      <c r="LBC55" s="55"/>
      <c r="LBD55" s="55"/>
      <c r="LBE55" s="55"/>
      <c r="LBF55" s="55"/>
      <c r="LBG55" s="55"/>
      <c r="LBH55" s="55"/>
      <c r="LBI55" s="55"/>
      <c r="LBJ55" s="55"/>
      <c r="LBK55" s="55"/>
      <c r="LBL55" s="55"/>
      <c r="LBM55" s="55"/>
      <c r="LBN55" s="55"/>
      <c r="LBO55" s="55"/>
      <c r="LBP55" s="55"/>
      <c r="LBQ55" s="55"/>
      <c r="LBR55" s="55"/>
      <c r="LBS55" s="55"/>
      <c r="LBT55" s="55"/>
      <c r="LBU55" s="55"/>
      <c r="LBV55" s="55"/>
      <c r="LBW55" s="55"/>
      <c r="LBX55" s="55"/>
      <c r="LBY55" s="55"/>
      <c r="LBZ55" s="55"/>
      <c r="LCA55" s="55"/>
      <c r="LCB55" s="55"/>
      <c r="LCC55" s="55"/>
      <c r="LCD55" s="55"/>
      <c r="LCE55" s="55"/>
      <c r="LCF55" s="55"/>
      <c r="LCG55" s="55"/>
      <c r="LCH55" s="55"/>
      <c r="LCI55" s="55"/>
      <c r="LCJ55" s="55"/>
      <c r="LCK55" s="55"/>
      <c r="LCL55" s="55"/>
      <c r="LCM55" s="55"/>
      <c r="LCN55" s="55"/>
      <c r="LCO55" s="55"/>
      <c r="LCP55" s="55"/>
      <c r="LCQ55" s="55"/>
      <c r="LCR55" s="55"/>
      <c r="LCS55" s="55"/>
      <c r="LCT55" s="55"/>
      <c r="LCU55" s="55"/>
      <c r="LCV55" s="55"/>
      <c r="LCW55" s="55"/>
      <c r="LCX55" s="55"/>
      <c r="LCY55" s="55"/>
      <c r="LCZ55" s="55"/>
      <c r="LDA55" s="55"/>
      <c r="LDB55" s="55"/>
      <c r="LDC55" s="55"/>
      <c r="LDD55" s="55"/>
      <c r="LDE55" s="55"/>
      <c r="LDF55" s="55"/>
      <c r="LDG55" s="55"/>
      <c r="LDH55" s="55"/>
      <c r="LDI55" s="55"/>
      <c r="LDJ55" s="55"/>
      <c r="LDK55" s="55"/>
      <c r="LDL55" s="55"/>
      <c r="LDM55" s="55"/>
      <c r="LDN55" s="55"/>
      <c r="LDO55" s="55"/>
      <c r="LDP55" s="55"/>
      <c r="LDQ55" s="55"/>
      <c r="LDR55" s="55"/>
      <c r="LDS55" s="55"/>
      <c r="LDT55" s="55"/>
      <c r="LDU55" s="55"/>
      <c r="LDV55" s="55"/>
      <c r="LDW55" s="55"/>
      <c r="LDX55" s="55"/>
      <c r="LDY55" s="55"/>
      <c r="LDZ55" s="55"/>
      <c r="LEA55" s="55"/>
      <c r="LEB55" s="55"/>
      <c r="LEC55" s="55"/>
      <c r="LED55" s="55"/>
      <c r="LEE55" s="55"/>
      <c r="LEF55" s="55"/>
      <c r="LEG55" s="55"/>
      <c r="LEH55" s="55"/>
      <c r="LEI55" s="55"/>
      <c r="LEJ55" s="55"/>
      <c r="LEK55" s="55"/>
      <c r="LEL55" s="55"/>
      <c r="LEM55" s="55"/>
      <c r="LEN55" s="55"/>
      <c r="LEO55" s="55"/>
      <c r="LEP55" s="55"/>
      <c r="LEQ55" s="55"/>
      <c r="LER55" s="55"/>
      <c r="LES55" s="55"/>
      <c r="LET55" s="55"/>
      <c r="LEU55" s="55"/>
      <c r="LEV55" s="55"/>
      <c r="LEW55" s="55"/>
      <c r="LEX55" s="55"/>
      <c r="LEY55" s="55"/>
      <c r="LEZ55" s="55"/>
      <c r="LFA55" s="55"/>
      <c r="LFB55" s="55"/>
      <c r="LFC55" s="55"/>
      <c r="LFD55" s="55"/>
      <c r="LFE55" s="55"/>
      <c r="LFF55" s="55"/>
      <c r="LFG55" s="55"/>
      <c r="LFH55" s="55"/>
      <c r="LFI55" s="55"/>
      <c r="LFJ55" s="55"/>
      <c r="LFK55" s="55"/>
      <c r="LFL55" s="55"/>
      <c r="LFM55" s="55"/>
      <c r="LFN55" s="55"/>
      <c r="LFO55" s="55"/>
      <c r="LFP55" s="55"/>
      <c r="LFQ55" s="55"/>
      <c r="LFR55" s="55"/>
      <c r="LFS55" s="55"/>
      <c r="LFT55" s="55"/>
      <c r="LFU55" s="55"/>
      <c r="LFV55" s="55"/>
      <c r="LFW55" s="55"/>
      <c r="LFX55" s="55"/>
      <c r="LFY55" s="55"/>
      <c r="LFZ55" s="55"/>
      <c r="LGA55" s="55"/>
      <c r="LGB55" s="55"/>
      <c r="LGC55" s="55"/>
      <c r="LGD55" s="55"/>
      <c r="LGE55" s="55"/>
      <c r="LGF55" s="55"/>
      <c r="LGG55" s="55"/>
      <c r="LGH55" s="55"/>
      <c r="LGI55" s="55"/>
      <c r="LGJ55" s="55"/>
      <c r="LGK55" s="55"/>
      <c r="LGL55" s="55"/>
      <c r="LGM55" s="55"/>
      <c r="LGN55" s="55"/>
      <c r="LGO55" s="55"/>
      <c r="LGP55" s="55"/>
      <c r="LGQ55" s="55"/>
      <c r="LGR55" s="55"/>
      <c r="LGS55" s="55"/>
      <c r="LGT55" s="55"/>
      <c r="LGU55" s="55"/>
      <c r="LGV55" s="55"/>
      <c r="LGW55" s="55"/>
      <c r="LGX55" s="55"/>
      <c r="LGY55" s="55"/>
      <c r="LGZ55" s="55"/>
      <c r="LHA55" s="55"/>
      <c r="LHB55" s="55"/>
      <c r="LHC55" s="55"/>
      <c r="LHD55" s="55"/>
      <c r="LHE55" s="55"/>
      <c r="LHF55" s="55"/>
      <c r="LHG55" s="55"/>
      <c r="LHH55" s="55"/>
      <c r="LHI55" s="55"/>
      <c r="LHJ55" s="55"/>
      <c r="LHK55" s="55"/>
      <c r="LHL55" s="55"/>
      <c r="LHM55" s="55"/>
      <c r="LHN55" s="55"/>
      <c r="LHO55" s="55"/>
      <c r="LHP55" s="55"/>
      <c r="LHQ55" s="55"/>
      <c r="LHR55" s="55"/>
      <c r="LHS55" s="55"/>
      <c r="LHT55" s="55"/>
      <c r="LHU55" s="55"/>
      <c r="LHV55" s="55"/>
      <c r="LHW55" s="55"/>
      <c r="LHX55" s="55"/>
      <c r="LHY55" s="55"/>
      <c r="LHZ55" s="55"/>
      <c r="LIA55" s="55"/>
      <c r="LIB55" s="55"/>
      <c r="LIC55" s="55"/>
      <c r="LID55" s="55"/>
      <c r="LIE55" s="55"/>
      <c r="LIF55" s="55"/>
      <c r="LIG55" s="55"/>
      <c r="LIH55" s="55"/>
      <c r="LII55" s="55"/>
      <c r="LIJ55" s="55"/>
      <c r="LIK55" s="55"/>
      <c r="LIL55" s="55"/>
      <c r="LIM55" s="55"/>
      <c r="LIN55" s="55"/>
      <c r="LIO55" s="55"/>
      <c r="LIP55" s="55"/>
      <c r="LIQ55" s="55"/>
      <c r="LIR55" s="55"/>
      <c r="LIS55" s="55"/>
      <c r="LIT55" s="55"/>
      <c r="LIU55" s="55"/>
      <c r="LIV55" s="55"/>
      <c r="LIW55" s="55"/>
      <c r="LIX55" s="55"/>
      <c r="LIY55" s="55"/>
      <c r="LIZ55" s="55"/>
      <c r="LJA55" s="55"/>
      <c r="LJB55" s="55"/>
      <c r="LJC55" s="55"/>
      <c r="LJD55" s="55"/>
      <c r="LJE55" s="55"/>
      <c r="LJF55" s="55"/>
      <c r="LJG55" s="55"/>
      <c r="LJH55" s="55"/>
      <c r="LJI55" s="55"/>
      <c r="LJJ55" s="55"/>
      <c r="LJK55" s="55"/>
      <c r="LJL55" s="55"/>
      <c r="LJM55" s="55"/>
      <c r="LJN55" s="55"/>
      <c r="LJO55" s="55"/>
      <c r="LJP55" s="55"/>
      <c r="LJQ55" s="55"/>
      <c r="LJR55" s="55"/>
      <c r="LJS55" s="55"/>
      <c r="LJT55" s="55"/>
      <c r="LJU55" s="55"/>
      <c r="LJV55" s="55"/>
      <c r="LJW55" s="55"/>
      <c r="LJX55" s="55"/>
      <c r="LJY55" s="55"/>
      <c r="LJZ55" s="55"/>
      <c r="LKA55" s="55"/>
      <c r="LKB55" s="55"/>
      <c r="LKC55" s="55"/>
      <c r="LKD55" s="55"/>
      <c r="LKE55" s="55"/>
      <c r="LKF55" s="55"/>
      <c r="LKG55" s="55"/>
      <c r="LKH55" s="55"/>
      <c r="LKI55" s="55"/>
      <c r="LKJ55" s="55"/>
      <c r="LKK55" s="55"/>
      <c r="LKL55" s="55"/>
      <c r="LKM55" s="55"/>
      <c r="LKN55" s="55"/>
      <c r="LKO55" s="55"/>
      <c r="LKP55" s="55"/>
      <c r="LKQ55" s="55"/>
      <c r="LKR55" s="55"/>
      <c r="LKS55" s="55"/>
      <c r="LKT55" s="55"/>
      <c r="LKU55" s="55"/>
      <c r="LKV55" s="55"/>
      <c r="LKW55" s="55"/>
      <c r="LKX55" s="55"/>
      <c r="LKY55" s="55"/>
      <c r="LKZ55" s="55"/>
      <c r="LLA55" s="55"/>
      <c r="LLB55" s="55"/>
      <c r="LLC55" s="55"/>
      <c r="LLD55" s="55"/>
      <c r="LLE55" s="55"/>
      <c r="LLF55" s="55"/>
      <c r="LLG55" s="55"/>
      <c r="LLH55" s="55"/>
      <c r="LLI55" s="55"/>
      <c r="LLJ55" s="55"/>
      <c r="LLK55" s="55"/>
      <c r="LLL55" s="55"/>
      <c r="LLM55" s="55"/>
      <c r="LLN55" s="55"/>
      <c r="LLO55" s="55"/>
      <c r="LLP55" s="55"/>
      <c r="LLQ55" s="55"/>
      <c r="LLR55" s="55"/>
      <c r="LLS55" s="55"/>
      <c r="LLT55" s="55"/>
      <c r="LLU55" s="55"/>
      <c r="LLV55" s="55"/>
      <c r="LLW55" s="55"/>
      <c r="LLX55" s="55"/>
      <c r="LLY55" s="55"/>
      <c r="LLZ55" s="55"/>
      <c r="LMA55" s="55"/>
      <c r="LMB55" s="55"/>
      <c r="LMC55" s="55"/>
      <c r="LMD55" s="55"/>
      <c r="LME55" s="55"/>
      <c r="LMF55" s="55"/>
      <c r="LMG55" s="55"/>
      <c r="LMH55" s="55"/>
      <c r="LMI55" s="55"/>
      <c r="LMJ55" s="55"/>
      <c r="LMK55" s="55"/>
      <c r="LML55" s="55"/>
      <c r="LMM55" s="55"/>
      <c r="LMN55" s="55"/>
      <c r="LMO55" s="55"/>
      <c r="LMP55" s="55"/>
      <c r="LMQ55" s="55"/>
      <c r="LMR55" s="55"/>
      <c r="LMS55" s="55"/>
      <c r="LMT55" s="55"/>
      <c r="LMU55" s="55"/>
      <c r="LMV55" s="55"/>
      <c r="LMW55" s="55"/>
      <c r="LMX55" s="55"/>
      <c r="LMY55" s="55"/>
      <c r="LMZ55" s="55"/>
      <c r="LNA55" s="55"/>
      <c r="LNB55" s="55"/>
      <c r="LNC55" s="55"/>
      <c r="LND55" s="55"/>
      <c r="LNE55" s="55"/>
      <c r="LNF55" s="55"/>
      <c r="LNG55" s="55"/>
      <c r="LNH55" s="55"/>
      <c r="LNI55" s="55"/>
      <c r="LNJ55" s="55"/>
      <c r="LNK55" s="55"/>
      <c r="LNL55" s="55"/>
      <c r="LNM55" s="55"/>
      <c r="LNN55" s="55"/>
      <c r="LNO55" s="55"/>
      <c r="LNP55" s="55"/>
      <c r="LNQ55" s="55"/>
      <c r="LNR55" s="55"/>
      <c r="LNS55" s="55"/>
      <c r="LNT55" s="55"/>
      <c r="LNU55" s="55"/>
      <c r="LNV55" s="55"/>
      <c r="LNW55" s="55"/>
      <c r="LNX55" s="55"/>
      <c r="LNY55" s="55"/>
      <c r="LNZ55" s="55"/>
      <c r="LOA55" s="55"/>
      <c r="LOB55" s="55"/>
      <c r="LOC55" s="55"/>
      <c r="LOD55" s="55"/>
      <c r="LOE55" s="55"/>
      <c r="LOF55" s="55"/>
      <c r="LOG55" s="55"/>
      <c r="LOH55" s="55"/>
      <c r="LOI55" s="55"/>
      <c r="LOJ55" s="55"/>
      <c r="LOK55" s="55"/>
      <c r="LOL55" s="55"/>
      <c r="LOM55" s="55"/>
      <c r="LON55" s="55"/>
      <c r="LOO55" s="55"/>
      <c r="LOP55" s="55"/>
      <c r="LOQ55" s="55"/>
      <c r="LOR55" s="55"/>
      <c r="LOS55" s="55"/>
      <c r="LOT55" s="55"/>
      <c r="LOU55" s="55"/>
      <c r="LOV55" s="55"/>
      <c r="LOW55" s="55"/>
      <c r="LOX55" s="55"/>
      <c r="LOY55" s="55"/>
      <c r="LOZ55" s="55"/>
      <c r="LPA55" s="55"/>
      <c r="LPB55" s="55"/>
      <c r="LPC55" s="55"/>
      <c r="LPD55" s="55"/>
      <c r="LPE55" s="55"/>
      <c r="LPF55" s="55"/>
      <c r="LPG55" s="55"/>
      <c r="LPH55" s="55"/>
      <c r="LPI55" s="55"/>
      <c r="LPJ55" s="55"/>
      <c r="LPK55" s="55"/>
      <c r="LPL55" s="55"/>
      <c r="LPM55" s="55"/>
      <c r="LPN55" s="55"/>
      <c r="LPO55" s="55"/>
      <c r="LPP55" s="55"/>
      <c r="LPQ55" s="55"/>
      <c r="LPR55" s="55"/>
      <c r="LPS55" s="55"/>
      <c r="LPT55" s="55"/>
      <c r="LPU55" s="55"/>
      <c r="LPV55" s="55"/>
      <c r="LPW55" s="55"/>
      <c r="LPX55" s="55"/>
      <c r="LPY55" s="55"/>
      <c r="LPZ55" s="55"/>
      <c r="LQA55" s="55"/>
      <c r="LQB55" s="55"/>
      <c r="LQC55" s="55"/>
      <c r="LQD55" s="55"/>
      <c r="LQE55" s="55"/>
      <c r="LQF55" s="55"/>
      <c r="LQG55" s="55"/>
      <c r="LQH55" s="55"/>
      <c r="LQI55" s="55"/>
      <c r="LQJ55" s="55"/>
      <c r="LQK55" s="55"/>
      <c r="LQL55" s="55"/>
      <c r="LQM55" s="55"/>
      <c r="LQN55" s="55"/>
      <c r="LQO55" s="55"/>
      <c r="LQP55" s="55"/>
      <c r="LQQ55" s="55"/>
      <c r="LQR55" s="55"/>
      <c r="LQS55" s="55"/>
      <c r="LQT55" s="55"/>
      <c r="LQU55" s="55"/>
      <c r="LQV55" s="55"/>
      <c r="LQW55" s="55"/>
      <c r="LQX55" s="55"/>
      <c r="LQY55" s="55"/>
      <c r="LQZ55" s="55"/>
      <c r="LRA55" s="55"/>
      <c r="LRB55" s="55"/>
      <c r="LRC55" s="55"/>
      <c r="LRD55" s="55"/>
      <c r="LRE55" s="55"/>
      <c r="LRF55" s="55"/>
      <c r="LRG55" s="55"/>
      <c r="LRH55" s="55"/>
      <c r="LRI55" s="55"/>
      <c r="LRJ55" s="55"/>
      <c r="LRK55" s="55"/>
      <c r="LRL55" s="55"/>
      <c r="LRM55" s="55"/>
      <c r="LRN55" s="55"/>
      <c r="LRO55" s="55"/>
      <c r="LRP55" s="55"/>
      <c r="LRQ55" s="55"/>
      <c r="LRR55" s="55"/>
      <c r="LRS55" s="55"/>
      <c r="LRT55" s="55"/>
      <c r="LRU55" s="55"/>
      <c r="LRV55" s="55"/>
      <c r="LRW55" s="55"/>
      <c r="LRX55" s="55"/>
      <c r="LRY55" s="55"/>
      <c r="LRZ55" s="55"/>
      <c r="LSA55" s="55"/>
      <c r="LSB55" s="55"/>
      <c r="LSC55" s="55"/>
      <c r="LSD55" s="55"/>
      <c r="LSE55" s="55"/>
      <c r="LSF55" s="55"/>
      <c r="LSG55" s="55"/>
      <c r="LSH55" s="55"/>
      <c r="LSI55" s="55"/>
      <c r="LSJ55" s="55"/>
      <c r="LSK55" s="55"/>
      <c r="LSL55" s="55"/>
      <c r="LSM55" s="55"/>
      <c r="LSN55" s="55"/>
      <c r="LSO55" s="55"/>
      <c r="LSP55" s="55"/>
      <c r="LSQ55" s="55"/>
      <c r="LSR55" s="55"/>
      <c r="LSS55" s="55"/>
      <c r="LST55" s="55"/>
      <c r="LSU55" s="55"/>
      <c r="LSV55" s="55"/>
      <c r="LSW55" s="55"/>
      <c r="LSX55" s="55"/>
      <c r="LSY55" s="55"/>
      <c r="LSZ55" s="55"/>
      <c r="LTA55" s="55"/>
      <c r="LTB55" s="55"/>
      <c r="LTC55" s="55"/>
      <c r="LTD55" s="55"/>
      <c r="LTE55" s="55"/>
      <c r="LTF55" s="55"/>
      <c r="LTG55" s="55"/>
      <c r="LTH55" s="55"/>
      <c r="LTI55" s="55"/>
      <c r="LTJ55" s="55"/>
      <c r="LTK55" s="55"/>
      <c r="LTL55" s="55"/>
      <c r="LTM55" s="55"/>
      <c r="LTN55" s="55"/>
      <c r="LTO55" s="55"/>
      <c r="LTP55" s="55"/>
      <c r="LTQ55" s="55"/>
      <c r="LTR55" s="55"/>
      <c r="LTS55" s="55"/>
      <c r="LTT55" s="55"/>
      <c r="LTU55" s="55"/>
      <c r="LTV55" s="55"/>
      <c r="LTW55" s="55"/>
      <c r="LTX55" s="55"/>
      <c r="LTY55" s="55"/>
      <c r="LTZ55" s="55"/>
      <c r="LUA55" s="55"/>
      <c r="LUB55" s="55"/>
      <c r="LUC55" s="55"/>
      <c r="LUD55" s="55"/>
      <c r="LUE55" s="55"/>
      <c r="LUF55" s="55"/>
      <c r="LUG55" s="55"/>
      <c r="LUH55" s="55"/>
      <c r="LUI55" s="55"/>
      <c r="LUJ55" s="55"/>
      <c r="LUK55" s="55"/>
      <c r="LUL55" s="55"/>
      <c r="LUM55" s="55"/>
      <c r="LUN55" s="55"/>
      <c r="LUO55" s="55"/>
      <c r="LUP55" s="55"/>
      <c r="LUQ55" s="55"/>
      <c r="LUR55" s="55"/>
      <c r="LUS55" s="55"/>
      <c r="LUT55" s="55"/>
      <c r="LUU55" s="55"/>
      <c r="LUV55" s="55"/>
      <c r="LUW55" s="55"/>
      <c r="LUX55" s="55"/>
      <c r="LUY55" s="55"/>
      <c r="LUZ55" s="55"/>
      <c r="LVA55" s="55"/>
      <c r="LVB55" s="55"/>
      <c r="LVC55" s="55"/>
      <c r="LVD55" s="55"/>
      <c r="LVE55" s="55"/>
      <c r="LVF55" s="55"/>
      <c r="LVG55" s="55"/>
      <c r="LVH55" s="55"/>
      <c r="LVI55" s="55"/>
      <c r="LVJ55" s="55"/>
      <c r="LVK55" s="55"/>
      <c r="LVL55" s="55"/>
      <c r="LVM55" s="55"/>
      <c r="LVN55" s="55"/>
      <c r="LVO55" s="55"/>
      <c r="LVP55" s="55"/>
      <c r="LVQ55" s="55"/>
      <c r="LVR55" s="55"/>
      <c r="LVS55" s="55"/>
      <c r="LVT55" s="55"/>
      <c r="LVU55" s="55"/>
      <c r="LVV55" s="55"/>
      <c r="LVW55" s="55"/>
      <c r="LVX55" s="55"/>
      <c r="LVY55" s="55"/>
      <c r="LVZ55" s="55"/>
      <c r="LWA55" s="55"/>
      <c r="LWB55" s="55"/>
      <c r="LWC55" s="55"/>
      <c r="LWD55" s="55"/>
      <c r="LWE55" s="55"/>
      <c r="LWF55" s="55"/>
      <c r="LWG55" s="55"/>
      <c r="LWH55" s="55"/>
      <c r="LWI55" s="55"/>
      <c r="LWJ55" s="55"/>
      <c r="LWK55" s="55"/>
      <c r="LWL55" s="55"/>
      <c r="LWM55" s="55"/>
      <c r="LWN55" s="55"/>
      <c r="LWO55" s="55"/>
      <c r="LWP55" s="55"/>
      <c r="LWQ55" s="55"/>
      <c r="LWR55" s="55"/>
      <c r="LWS55" s="55"/>
      <c r="LWT55" s="55"/>
      <c r="LWU55" s="55"/>
      <c r="LWV55" s="55"/>
      <c r="LWW55" s="55"/>
      <c r="LWX55" s="55"/>
      <c r="LWY55" s="55"/>
      <c r="LWZ55" s="55"/>
      <c r="LXA55" s="55"/>
      <c r="LXB55" s="55"/>
      <c r="LXC55" s="55"/>
      <c r="LXD55" s="55"/>
      <c r="LXE55" s="55"/>
      <c r="LXF55" s="55"/>
      <c r="LXG55" s="55"/>
      <c r="LXH55" s="55"/>
      <c r="LXI55" s="55"/>
      <c r="LXJ55" s="55"/>
      <c r="LXK55" s="55"/>
      <c r="LXL55" s="55"/>
      <c r="LXM55" s="55"/>
      <c r="LXN55" s="55"/>
      <c r="LXO55" s="55"/>
      <c r="LXP55" s="55"/>
      <c r="LXQ55" s="55"/>
      <c r="LXR55" s="55"/>
      <c r="LXS55" s="55"/>
      <c r="LXT55" s="55"/>
      <c r="LXU55" s="55"/>
      <c r="LXV55" s="55"/>
      <c r="LXW55" s="55"/>
      <c r="LXX55" s="55"/>
      <c r="LXY55" s="55"/>
      <c r="LXZ55" s="55"/>
      <c r="LYA55" s="55"/>
      <c r="LYB55" s="55"/>
      <c r="LYC55" s="55"/>
      <c r="LYD55" s="55"/>
      <c r="LYE55" s="55"/>
      <c r="LYF55" s="55"/>
      <c r="LYG55" s="55"/>
      <c r="LYH55" s="55"/>
      <c r="LYI55" s="55"/>
      <c r="LYJ55" s="55"/>
      <c r="LYK55" s="55"/>
      <c r="LYL55" s="55"/>
      <c r="LYM55" s="55"/>
      <c r="LYN55" s="55"/>
      <c r="LYO55" s="55"/>
      <c r="LYP55" s="55"/>
      <c r="LYQ55" s="55"/>
      <c r="LYR55" s="55"/>
      <c r="LYS55" s="55"/>
      <c r="LYT55" s="55"/>
      <c r="LYU55" s="55"/>
      <c r="LYV55" s="55"/>
      <c r="LYW55" s="55"/>
      <c r="LYX55" s="55"/>
      <c r="LYY55" s="55"/>
      <c r="LYZ55" s="55"/>
      <c r="LZA55" s="55"/>
      <c r="LZB55" s="55"/>
      <c r="LZC55" s="55"/>
      <c r="LZD55" s="55"/>
      <c r="LZE55" s="55"/>
      <c r="LZF55" s="55"/>
      <c r="LZG55" s="55"/>
      <c r="LZH55" s="55"/>
      <c r="LZI55" s="55"/>
      <c r="LZJ55" s="55"/>
      <c r="LZK55" s="55"/>
      <c r="LZL55" s="55"/>
      <c r="LZM55" s="55"/>
      <c r="LZN55" s="55"/>
      <c r="LZO55" s="55"/>
      <c r="LZP55" s="55"/>
      <c r="LZQ55" s="55"/>
      <c r="LZR55" s="55"/>
      <c r="LZS55" s="55"/>
      <c r="LZT55" s="55"/>
      <c r="LZU55" s="55"/>
      <c r="LZV55" s="55"/>
      <c r="LZW55" s="55"/>
      <c r="LZX55" s="55"/>
      <c r="LZY55" s="55"/>
      <c r="LZZ55" s="55"/>
      <c r="MAA55" s="55"/>
      <c r="MAB55" s="55"/>
      <c r="MAC55" s="55"/>
      <c r="MAD55" s="55"/>
      <c r="MAE55" s="55"/>
      <c r="MAF55" s="55"/>
      <c r="MAG55" s="55"/>
      <c r="MAH55" s="55"/>
      <c r="MAI55" s="55"/>
      <c r="MAJ55" s="55"/>
      <c r="MAK55" s="55"/>
      <c r="MAL55" s="55"/>
      <c r="MAM55" s="55"/>
      <c r="MAN55" s="55"/>
      <c r="MAO55" s="55"/>
      <c r="MAP55" s="55"/>
      <c r="MAQ55" s="55"/>
      <c r="MAR55" s="55"/>
      <c r="MAS55" s="55"/>
      <c r="MAT55" s="55"/>
      <c r="MAU55" s="55"/>
      <c r="MAV55" s="55"/>
      <c r="MAW55" s="55"/>
      <c r="MAX55" s="55"/>
      <c r="MAY55" s="55"/>
      <c r="MAZ55" s="55"/>
      <c r="MBA55" s="55"/>
      <c r="MBB55" s="55"/>
      <c r="MBC55" s="55"/>
      <c r="MBD55" s="55"/>
      <c r="MBE55" s="55"/>
      <c r="MBF55" s="55"/>
      <c r="MBG55" s="55"/>
      <c r="MBH55" s="55"/>
      <c r="MBI55" s="55"/>
      <c r="MBJ55" s="55"/>
      <c r="MBK55" s="55"/>
      <c r="MBL55" s="55"/>
      <c r="MBM55" s="55"/>
      <c r="MBN55" s="55"/>
      <c r="MBO55" s="55"/>
      <c r="MBP55" s="55"/>
      <c r="MBQ55" s="55"/>
      <c r="MBR55" s="55"/>
      <c r="MBS55" s="55"/>
      <c r="MBT55" s="55"/>
      <c r="MBU55" s="55"/>
      <c r="MBV55" s="55"/>
      <c r="MBW55" s="55"/>
      <c r="MBX55" s="55"/>
      <c r="MBY55" s="55"/>
      <c r="MBZ55" s="55"/>
      <c r="MCA55" s="55"/>
      <c r="MCB55" s="55"/>
      <c r="MCC55" s="55"/>
      <c r="MCD55" s="55"/>
      <c r="MCE55" s="55"/>
      <c r="MCF55" s="55"/>
      <c r="MCG55" s="55"/>
      <c r="MCH55" s="55"/>
      <c r="MCI55" s="55"/>
      <c r="MCJ55" s="55"/>
      <c r="MCK55" s="55"/>
      <c r="MCL55" s="55"/>
      <c r="MCM55" s="55"/>
      <c r="MCN55" s="55"/>
      <c r="MCO55" s="55"/>
      <c r="MCP55" s="55"/>
      <c r="MCQ55" s="55"/>
      <c r="MCR55" s="55"/>
      <c r="MCS55" s="55"/>
      <c r="MCT55" s="55"/>
      <c r="MCU55" s="55"/>
      <c r="MCV55" s="55"/>
      <c r="MCW55" s="55"/>
      <c r="MCX55" s="55"/>
      <c r="MCY55" s="55"/>
      <c r="MCZ55" s="55"/>
      <c r="MDA55" s="55"/>
      <c r="MDB55" s="55"/>
      <c r="MDC55" s="55"/>
      <c r="MDD55" s="55"/>
      <c r="MDE55" s="55"/>
      <c r="MDF55" s="55"/>
      <c r="MDG55" s="55"/>
      <c r="MDH55" s="55"/>
      <c r="MDI55" s="55"/>
      <c r="MDJ55" s="55"/>
      <c r="MDK55" s="55"/>
      <c r="MDL55" s="55"/>
      <c r="MDM55" s="55"/>
      <c r="MDN55" s="55"/>
      <c r="MDO55" s="55"/>
      <c r="MDP55" s="55"/>
      <c r="MDQ55" s="55"/>
      <c r="MDR55" s="55"/>
      <c r="MDS55" s="55"/>
      <c r="MDT55" s="55"/>
      <c r="MDU55" s="55"/>
      <c r="MDV55" s="55"/>
      <c r="MDW55" s="55"/>
      <c r="MDX55" s="55"/>
      <c r="MDY55" s="55"/>
      <c r="MDZ55" s="55"/>
      <c r="MEA55" s="55"/>
      <c r="MEB55" s="55"/>
      <c r="MEC55" s="55"/>
      <c r="MED55" s="55"/>
      <c r="MEE55" s="55"/>
      <c r="MEF55" s="55"/>
      <c r="MEG55" s="55"/>
      <c r="MEH55" s="55"/>
      <c r="MEI55" s="55"/>
      <c r="MEJ55" s="55"/>
      <c r="MEK55" s="55"/>
      <c r="MEL55" s="55"/>
      <c r="MEM55" s="55"/>
      <c r="MEN55" s="55"/>
      <c r="MEO55" s="55"/>
      <c r="MEP55" s="55"/>
      <c r="MEQ55" s="55"/>
      <c r="MER55" s="55"/>
      <c r="MES55" s="55"/>
      <c r="MET55" s="55"/>
      <c r="MEU55" s="55"/>
      <c r="MEV55" s="55"/>
      <c r="MEW55" s="55"/>
      <c r="MEX55" s="55"/>
      <c r="MEY55" s="55"/>
      <c r="MEZ55" s="55"/>
      <c r="MFA55" s="55"/>
      <c r="MFB55" s="55"/>
      <c r="MFC55" s="55"/>
      <c r="MFD55" s="55"/>
      <c r="MFE55" s="55"/>
      <c r="MFF55" s="55"/>
      <c r="MFG55" s="55"/>
      <c r="MFH55" s="55"/>
      <c r="MFI55" s="55"/>
      <c r="MFJ55" s="55"/>
      <c r="MFK55" s="55"/>
      <c r="MFL55" s="55"/>
      <c r="MFM55" s="55"/>
      <c r="MFN55" s="55"/>
      <c r="MFO55" s="55"/>
      <c r="MFP55" s="55"/>
      <c r="MFQ55" s="55"/>
      <c r="MFR55" s="55"/>
      <c r="MFS55" s="55"/>
      <c r="MFT55" s="55"/>
      <c r="MFU55" s="55"/>
      <c r="MFV55" s="55"/>
      <c r="MFW55" s="55"/>
      <c r="MFX55" s="55"/>
      <c r="MFY55" s="55"/>
      <c r="MFZ55" s="55"/>
      <c r="MGA55" s="55"/>
      <c r="MGB55" s="55"/>
      <c r="MGC55" s="55"/>
      <c r="MGD55" s="55"/>
      <c r="MGE55" s="55"/>
      <c r="MGF55" s="55"/>
      <c r="MGG55" s="55"/>
      <c r="MGH55" s="55"/>
      <c r="MGI55" s="55"/>
      <c r="MGJ55" s="55"/>
      <c r="MGK55" s="55"/>
      <c r="MGL55" s="55"/>
      <c r="MGM55" s="55"/>
      <c r="MGN55" s="55"/>
      <c r="MGO55" s="55"/>
      <c r="MGP55" s="55"/>
      <c r="MGQ55" s="55"/>
      <c r="MGR55" s="55"/>
      <c r="MGS55" s="55"/>
      <c r="MGT55" s="55"/>
      <c r="MGU55" s="55"/>
      <c r="MGV55" s="55"/>
      <c r="MGW55" s="55"/>
      <c r="MGX55" s="55"/>
      <c r="MGY55" s="55"/>
      <c r="MGZ55" s="55"/>
      <c r="MHA55" s="55"/>
      <c r="MHB55" s="55"/>
      <c r="MHC55" s="55"/>
      <c r="MHD55" s="55"/>
      <c r="MHE55" s="55"/>
      <c r="MHF55" s="55"/>
      <c r="MHG55" s="55"/>
      <c r="MHH55" s="55"/>
      <c r="MHI55" s="55"/>
      <c r="MHJ55" s="55"/>
      <c r="MHK55" s="55"/>
      <c r="MHL55" s="55"/>
      <c r="MHM55" s="55"/>
      <c r="MHN55" s="55"/>
      <c r="MHO55" s="55"/>
      <c r="MHP55" s="55"/>
      <c r="MHQ55" s="55"/>
      <c r="MHR55" s="55"/>
      <c r="MHS55" s="55"/>
      <c r="MHT55" s="55"/>
      <c r="MHU55" s="55"/>
      <c r="MHV55" s="55"/>
      <c r="MHW55" s="55"/>
      <c r="MHX55" s="55"/>
      <c r="MHY55" s="55"/>
      <c r="MHZ55" s="55"/>
      <c r="MIA55" s="55"/>
      <c r="MIB55" s="55"/>
      <c r="MIC55" s="55"/>
      <c r="MID55" s="55"/>
      <c r="MIE55" s="55"/>
      <c r="MIF55" s="55"/>
      <c r="MIG55" s="55"/>
      <c r="MIH55" s="55"/>
      <c r="MII55" s="55"/>
      <c r="MIJ55" s="55"/>
      <c r="MIK55" s="55"/>
      <c r="MIL55" s="55"/>
      <c r="MIM55" s="55"/>
      <c r="MIN55" s="55"/>
      <c r="MIO55" s="55"/>
      <c r="MIP55" s="55"/>
      <c r="MIQ55" s="55"/>
      <c r="MIR55" s="55"/>
      <c r="MIS55" s="55"/>
      <c r="MIT55" s="55"/>
      <c r="MIU55" s="55"/>
      <c r="MIV55" s="55"/>
      <c r="MIW55" s="55"/>
      <c r="MIX55" s="55"/>
      <c r="MIY55" s="55"/>
      <c r="MIZ55" s="55"/>
      <c r="MJA55" s="55"/>
      <c r="MJB55" s="55"/>
      <c r="MJC55" s="55"/>
      <c r="MJD55" s="55"/>
      <c r="MJE55" s="55"/>
      <c r="MJF55" s="55"/>
      <c r="MJG55" s="55"/>
      <c r="MJH55" s="55"/>
      <c r="MJI55" s="55"/>
      <c r="MJJ55" s="55"/>
      <c r="MJK55" s="55"/>
      <c r="MJL55" s="55"/>
      <c r="MJM55" s="55"/>
      <c r="MJN55" s="55"/>
      <c r="MJO55" s="55"/>
      <c r="MJP55" s="55"/>
      <c r="MJQ55" s="55"/>
      <c r="MJR55" s="55"/>
      <c r="MJS55" s="55"/>
      <c r="MJT55" s="55"/>
      <c r="MJU55" s="55"/>
      <c r="MJV55" s="55"/>
      <c r="MJW55" s="55"/>
      <c r="MJX55" s="55"/>
      <c r="MJY55" s="55"/>
      <c r="MJZ55" s="55"/>
      <c r="MKA55" s="55"/>
      <c r="MKB55" s="55"/>
      <c r="MKC55" s="55"/>
      <c r="MKD55" s="55"/>
      <c r="MKE55" s="55"/>
      <c r="MKF55" s="55"/>
      <c r="MKG55" s="55"/>
      <c r="MKH55" s="55"/>
      <c r="MKI55" s="55"/>
      <c r="MKJ55" s="55"/>
      <c r="MKK55" s="55"/>
      <c r="MKL55" s="55"/>
      <c r="MKM55" s="55"/>
      <c r="MKN55" s="55"/>
      <c r="MKO55" s="55"/>
      <c r="MKP55" s="55"/>
      <c r="MKQ55" s="55"/>
      <c r="MKR55" s="55"/>
      <c r="MKS55" s="55"/>
      <c r="MKT55" s="55"/>
      <c r="MKU55" s="55"/>
      <c r="MKV55" s="55"/>
      <c r="MKW55" s="55"/>
      <c r="MKX55" s="55"/>
      <c r="MKY55" s="55"/>
      <c r="MKZ55" s="55"/>
      <c r="MLA55" s="55"/>
      <c r="MLB55" s="55"/>
      <c r="MLC55" s="55"/>
      <c r="MLD55" s="55"/>
      <c r="MLE55" s="55"/>
      <c r="MLF55" s="55"/>
      <c r="MLG55" s="55"/>
      <c r="MLH55" s="55"/>
      <c r="MLI55" s="55"/>
      <c r="MLJ55" s="55"/>
      <c r="MLK55" s="55"/>
      <c r="MLL55" s="55"/>
      <c r="MLM55" s="55"/>
      <c r="MLN55" s="55"/>
      <c r="MLO55" s="55"/>
      <c r="MLP55" s="55"/>
      <c r="MLQ55" s="55"/>
      <c r="MLR55" s="55"/>
      <c r="MLS55" s="55"/>
      <c r="MLT55" s="55"/>
      <c r="MLU55" s="55"/>
      <c r="MLV55" s="55"/>
      <c r="MLW55" s="55"/>
      <c r="MLX55" s="55"/>
      <c r="MLY55" s="55"/>
      <c r="MLZ55" s="55"/>
      <c r="MMA55" s="55"/>
      <c r="MMB55" s="55"/>
      <c r="MMC55" s="55"/>
      <c r="MMD55" s="55"/>
      <c r="MME55" s="55"/>
      <c r="MMF55" s="55"/>
      <c r="MMG55" s="55"/>
      <c r="MMH55" s="55"/>
      <c r="MMI55" s="55"/>
      <c r="MMJ55" s="55"/>
      <c r="MMK55" s="55"/>
      <c r="MML55" s="55"/>
      <c r="MMM55" s="55"/>
      <c r="MMN55" s="55"/>
      <c r="MMO55" s="55"/>
      <c r="MMP55" s="55"/>
      <c r="MMQ55" s="55"/>
      <c r="MMR55" s="55"/>
      <c r="MMS55" s="55"/>
      <c r="MMT55" s="55"/>
      <c r="MMU55" s="55"/>
      <c r="MMV55" s="55"/>
      <c r="MMW55" s="55"/>
      <c r="MMX55" s="55"/>
      <c r="MMY55" s="55"/>
      <c r="MMZ55" s="55"/>
      <c r="MNA55" s="55"/>
      <c r="MNB55" s="55"/>
      <c r="MNC55" s="55"/>
      <c r="MND55" s="55"/>
      <c r="MNE55" s="55"/>
      <c r="MNF55" s="55"/>
      <c r="MNG55" s="55"/>
      <c r="MNH55" s="55"/>
      <c r="MNI55" s="55"/>
      <c r="MNJ55" s="55"/>
      <c r="MNK55" s="55"/>
      <c r="MNL55" s="55"/>
      <c r="MNM55" s="55"/>
      <c r="MNN55" s="55"/>
      <c r="MNO55" s="55"/>
      <c r="MNP55" s="55"/>
      <c r="MNQ55" s="55"/>
      <c r="MNR55" s="55"/>
      <c r="MNS55" s="55"/>
      <c r="MNT55" s="55"/>
      <c r="MNU55" s="55"/>
      <c r="MNV55" s="55"/>
      <c r="MNW55" s="55"/>
      <c r="MNX55" s="55"/>
      <c r="MNY55" s="55"/>
      <c r="MNZ55" s="55"/>
      <c r="MOA55" s="55"/>
      <c r="MOB55" s="55"/>
      <c r="MOC55" s="55"/>
      <c r="MOD55" s="55"/>
      <c r="MOE55" s="55"/>
      <c r="MOF55" s="55"/>
      <c r="MOG55" s="55"/>
      <c r="MOH55" s="55"/>
      <c r="MOI55" s="55"/>
      <c r="MOJ55" s="55"/>
      <c r="MOK55" s="55"/>
      <c r="MOL55" s="55"/>
      <c r="MOM55" s="55"/>
      <c r="MON55" s="55"/>
      <c r="MOO55" s="55"/>
      <c r="MOP55" s="55"/>
      <c r="MOQ55" s="55"/>
      <c r="MOR55" s="55"/>
      <c r="MOS55" s="55"/>
      <c r="MOT55" s="55"/>
      <c r="MOU55" s="55"/>
      <c r="MOV55" s="55"/>
      <c r="MOW55" s="55"/>
      <c r="MOX55" s="55"/>
      <c r="MOY55" s="55"/>
      <c r="MOZ55" s="55"/>
      <c r="MPA55" s="55"/>
      <c r="MPB55" s="55"/>
      <c r="MPC55" s="55"/>
      <c r="MPD55" s="55"/>
      <c r="MPE55" s="55"/>
      <c r="MPF55" s="55"/>
      <c r="MPG55" s="55"/>
      <c r="MPH55" s="55"/>
      <c r="MPI55" s="55"/>
      <c r="MPJ55" s="55"/>
      <c r="MPK55" s="55"/>
      <c r="MPL55" s="55"/>
      <c r="MPM55" s="55"/>
      <c r="MPN55" s="55"/>
      <c r="MPO55" s="55"/>
      <c r="MPP55" s="55"/>
      <c r="MPQ55" s="55"/>
      <c r="MPR55" s="55"/>
      <c r="MPS55" s="55"/>
      <c r="MPT55" s="55"/>
      <c r="MPU55" s="55"/>
      <c r="MPV55" s="55"/>
      <c r="MPW55" s="55"/>
      <c r="MPX55" s="55"/>
      <c r="MPY55" s="55"/>
      <c r="MPZ55" s="55"/>
      <c r="MQA55" s="55"/>
      <c r="MQB55" s="55"/>
      <c r="MQC55" s="55"/>
      <c r="MQD55" s="55"/>
      <c r="MQE55" s="55"/>
      <c r="MQF55" s="55"/>
      <c r="MQG55" s="55"/>
      <c r="MQH55" s="55"/>
      <c r="MQI55" s="55"/>
      <c r="MQJ55" s="55"/>
      <c r="MQK55" s="55"/>
      <c r="MQL55" s="55"/>
      <c r="MQM55" s="55"/>
      <c r="MQN55" s="55"/>
      <c r="MQO55" s="55"/>
      <c r="MQP55" s="55"/>
      <c r="MQQ55" s="55"/>
      <c r="MQR55" s="55"/>
      <c r="MQS55" s="55"/>
      <c r="MQT55" s="55"/>
      <c r="MQU55" s="55"/>
      <c r="MQV55" s="55"/>
      <c r="MQW55" s="55"/>
      <c r="MQX55" s="55"/>
      <c r="MQY55" s="55"/>
      <c r="MQZ55" s="55"/>
      <c r="MRA55" s="55"/>
      <c r="MRB55" s="55"/>
      <c r="MRC55" s="55"/>
      <c r="MRD55" s="55"/>
      <c r="MRE55" s="55"/>
      <c r="MRF55" s="55"/>
      <c r="MRG55" s="55"/>
      <c r="MRH55" s="55"/>
      <c r="MRI55" s="55"/>
      <c r="MRJ55" s="55"/>
      <c r="MRK55" s="55"/>
      <c r="MRL55" s="55"/>
      <c r="MRM55" s="55"/>
      <c r="MRN55" s="55"/>
      <c r="MRO55" s="55"/>
      <c r="MRP55" s="55"/>
      <c r="MRQ55" s="55"/>
      <c r="MRR55" s="55"/>
      <c r="MRS55" s="55"/>
      <c r="MRT55" s="55"/>
      <c r="MRU55" s="55"/>
      <c r="MRV55" s="55"/>
      <c r="MRW55" s="55"/>
      <c r="MRX55" s="55"/>
      <c r="MRY55" s="55"/>
      <c r="MRZ55" s="55"/>
      <c r="MSA55" s="55"/>
      <c r="MSB55" s="55"/>
      <c r="MSC55" s="55"/>
      <c r="MSD55" s="55"/>
      <c r="MSE55" s="55"/>
      <c r="MSF55" s="55"/>
      <c r="MSG55" s="55"/>
      <c r="MSH55" s="55"/>
      <c r="MSI55" s="55"/>
      <c r="MSJ55" s="55"/>
      <c r="MSK55" s="55"/>
      <c r="MSL55" s="55"/>
      <c r="MSM55" s="55"/>
      <c r="MSN55" s="55"/>
      <c r="MSO55" s="55"/>
      <c r="MSP55" s="55"/>
      <c r="MSQ55" s="55"/>
      <c r="MSR55" s="55"/>
      <c r="MSS55" s="55"/>
      <c r="MST55" s="55"/>
      <c r="MSU55" s="55"/>
      <c r="MSV55" s="55"/>
      <c r="MSW55" s="55"/>
      <c r="MSX55" s="55"/>
      <c r="MSY55" s="55"/>
      <c r="MSZ55" s="55"/>
      <c r="MTA55" s="55"/>
      <c r="MTB55" s="55"/>
      <c r="MTC55" s="55"/>
      <c r="MTD55" s="55"/>
      <c r="MTE55" s="55"/>
      <c r="MTF55" s="55"/>
      <c r="MTG55" s="55"/>
      <c r="MTH55" s="55"/>
      <c r="MTI55" s="55"/>
      <c r="MTJ55" s="55"/>
      <c r="MTK55" s="55"/>
      <c r="MTL55" s="55"/>
      <c r="MTM55" s="55"/>
      <c r="MTN55" s="55"/>
      <c r="MTO55" s="55"/>
      <c r="MTP55" s="55"/>
      <c r="MTQ55" s="55"/>
      <c r="MTR55" s="55"/>
      <c r="MTS55" s="55"/>
      <c r="MTT55" s="55"/>
      <c r="MTU55" s="55"/>
      <c r="MTV55" s="55"/>
      <c r="MTW55" s="55"/>
      <c r="MTX55" s="55"/>
      <c r="MTY55" s="55"/>
      <c r="MTZ55" s="55"/>
      <c r="MUA55" s="55"/>
      <c r="MUB55" s="55"/>
      <c r="MUC55" s="55"/>
      <c r="MUD55" s="55"/>
      <c r="MUE55" s="55"/>
      <c r="MUF55" s="55"/>
      <c r="MUG55" s="55"/>
      <c r="MUH55" s="55"/>
      <c r="MUI55" s="55"/>
      <c r="MUJ55" s="55"/>
      <c r="MUK55" s="55"/>
      <c r="MUL55" s="55"/>
      <c r="MUM55" s="55"/>
      <c r="MUN55" s="55"/>
      <c r="MUO55" s="55"/>
      <c r="MUP55" s="55"/>
      <c r="MUQ55" s="55"/>
      <c r="MUR55" s="55"/>
      <c r="MUS55" s="55"/>
      <c r="MUT55" s="55"/>
      <c r="MUU55" s="55"/>
      <c r="MUV55" s="55"/>
      <c r="MUW55" s="55"/>
      <c r="MUX55" s="55"/>
      <c r="MUY55" s="55"/>
      <c r="MUZ55" s="55"/>
      <c r="MVA55" s="55"/>
      <c r="MVB55" s="55"/>
      <c r="MVC55" s="55"/>
      <c r="MVD55" s="55"/>
      <c r="MVE55" s="55"/>
      <c r="MVF55" s="55"/>
      <c r="MVG55" s="55"/>
      <c r="MVH55" s="55"/>
      <c r="MVI55" s="55"/>
      <c r="MVJ55" s="55"/>
      <c r="MVK55" s="55"/>
      <c r="MVL55" s="55"/>
      <c r="MVM55" s="55"/>
      <c r="MVN55" s="55"/>
      <c r="MVO55" s="55"/>
      <c r="MVP55" s="55"/>
      <c r="MVQ55" s="55"/>
      <c r="MVR55" s="55"/>
      <c r="MVS55" s="55"/>
      <c r="MVT55" s="55"/>
      <c r="MVU55" s="55"/>
      <c r="MVV55" s="55"/>
      <c r="MVW55" s="55"/>
      <c r="MVX55" s="55"/>
      <c r="MVY55" s="55"/>
      <c r="MVZ55" s="55"/>
      <c r="MWA55" s="55"/>
      <c r="MWB55" s="55"/>
      <c r="MWC55" s="55"/>
      <c r="MWD55" s="55"/>
      <c r="MWE55" s="55"/>
      <c r="MWF55" s="55"/>
      <c r="MWG55" s="55"/>
      <c r="MWH55" s="55"/>
      <c r="MWI55" s="55"/>
      <c r="MWJ55" s="55"/>
      <c r="MWK55" s="55"/>
      <c r="MWL55" s="55"/>
      <c r="MWM55" s="55"/>
      <c r="MWN55" s="55"/>
      <c r="MWO55" s="55"/>
      <c r="MWP55" s="55"/>
      <c r="MWQ55" s="55"/>
      <c r="MWR55" s="55"/>
      <c r="MWS55" s="55"/>
      <c r="MWT55" s="55"/>
      <c r="MWU55" s="55"/>
      <c r="MWV55" s="55"/>
      <c r="MWW55" s="55"/>
      <c r="MWX55" s="55"/>
      <c r="MWY55" s="55"/>
      <c r="MWZ55" s="55"/>
      <c r="MXA55" s="55"/>
      <c r="MXB55" s="55"/>
      <c r="MXC55" s="55"/>
      <c r="MXD55" s="55"/>
      <c r="MXE55" s="55"/>
      <c r="MXF55" s="55"/>
      <c r="MXG55" s="55"/>
      <c r="MXH55" s="55"/>
      <c r="MXI55" s="55"/>
      <c r="MXJ55" s="55"/>
      <c r="MXK55" s="55"/>
      <c r="MXL55" s="55"/>
      <c r="MXM55" s="55"/>
      <c r="MXN55" s="55"/>
      <c r="MXO55" s="55"/>
      <c r="MXP55" s="55"/>
      <c r="MXQ55" s="55"/>
      <c r="MXR55" s="55"/>
      <c r="MXS55" s="55"/>
      <c r="MXT55" s="55"/>
      <c r="MXU55" s="55"/>
      <c r="MXV55" s="55"/>
      <c r="MXW55" s="55"/>
      <c r="MXX55" s="55"/>
      <c r="MXY55" s="55"/>
      <c r="MXZ55" s="55"/>
      <c r="MYA55" s="55"/>
      <c r="MYB55" s="55"/>
      <c r="MYC55" s="55"/>
      <c r="MYD55" s="55"/>
      <c r="MYE55" s="55"/>
      <c r="MYF55" s="55"/>
      <c r="MYG55" s="55"/>
      <c r="MYH55" s="55"/>
      <c r="MYI55" s="55"/>
      <c r="MYJ55" s="55"/>
      <c r="MYK55" s="55"/>
      <c r="MYL55" s="55"/>
      <c r="MYM55" s="55"/>
      <c r="MYN55" s="55"/>
      <c r="MYO55" s="55"/>
      <c r="MYP55" s="55"/>
      <c r="MYQ55" s="55"/>
      <c r="MYR55" s="55"/>
      <c r="MYS55" s="55"/>
      <c r="MYT55" s="55"/>
      <c r="MYU55" s="55"/>
      <c r="MYV55" s="55"/>
      <c r="MYW55" s="55"/>
      <c r="MYX55" s="55"/>
      <c r="MYY55" s="55"/>
      <c r="MYZ55" s="55"/>
      <c r="MZA55" s="55"/>
      <c r="MZB55" s="55"/>
      <c r="MZC55" s="55"/>
      <c r="MZD55" s="55"/>
      <c r="MZE55" s="55"/>
      <c r="MZF55" s="55"/>
      <c r="MZG55" s="55"/>
      <c r="MZH55" s="55"/>
      <c r="MZI55" s="55"/>
      <c r="MZJ55" s="55"/>
      <c r="MZK55" s="55"/>
      <c r="MZL55" s="55"/>
      <c r="MZM55" s="55"/>
      <c r="MZN55" s="55"/>
      <c r="MZO55" s="55"/>
      <c r="MZP55" s="55"/>
      <c r="MZQ55" s="55"/>
      <c r="MZR55" s="55"/>
      <c r="MZS55" s="55"/>
      <c r="MZT55" s="55"/>
      <c r="MZU55" s="55"/>
      <c r="MZV55" s="55"/>
      <c r="MZW55" s="55"/>
      <c r="MZX55" s="55"/>
      <c r="MZY55" s="55"/>
      <c r="MZZ55" s="55"/>
      <c r="NAA55" s="55"/>
      <c r="NAB55" s="55"/>
      <c r="NAC55" s="55"/>
      <c r="NAD55" s="55"/>
      <c r="NAE55" s="55"/>
      <c r="NAF55" s="55"/>
      <c r="NAG55" s="55"/>
      <c r="NAH55" s="55"/>
      <c r="NAI55" s="55"/>
      <c r="NAJ55" s="55"/>
      <c r="NAK55" s="55"/>
      <c r="NAL55" s="55"/>
      <c r="NAM55" s="55"/>
      <c r="NAN55" s="55"/>
      <c r="NAO55" s="55"/>
      <c r="NAP55" s="55"/>
      <c r="NAQ55" s="55"/>
      <c r="NAR55" s="55"/>
      <c r="NAS55" s="55"/>
      <c r="NAT55" s="55"/>
      <c r="NAU55" s="55"/>
      <c r="NAV55" s="55"/>
      <c r="NAW55" s="55"/>
      <c r="NAX55" s="55"/>
      <c r="NAY55" s="55"/>
      <c r="NAZ55" s="55"/>
      <c r="NBA55" s="55"/>
      <c r="NBB55" s="55"/>
      <c r="NBC55" s="55"/>
      <c r="NBD55" s="55"/>
      <c r="NBE55" s="55"/>
      <c r="NBF55" s="55"/>
      <c r="NBG55" s="55"/>
      <c r="NBH55" s="55"/>
      <c r="NBI55" s="55"/>
      <c r="NBJ55" s="55"/>
      <c r="NBK55" s="55"/>
      <c r="NBL55" s="55"/>
      <c r="NBM55" s="55"/>
      <c r="NBN55" s="55"/>
      <c r="NBO55" s="55"/>
      <c r="NBP55" s="55"/>
      <c r="NBQ55" s="55"/>
      <c r="NBR55" s="55"/>
      <c r="NBS55" s="55"/>
      <c r="NBT55" s="55"/>
      <c r="NBU55" s="55"/>
      <c r="NBV55" s="55"/>
      <c r="NBW55" s="55"/>
      <c r="NBX55" s="55"/>
      <c r="NBY55" s="55"/>
      <c r="NBZ55" s="55"/>
      <c r="NCA55" s="55"/>
      <c r="NCB55" s="55"/>
      <c r="NCC55" s="55"/>
      <c r="NCD55" s="55"/>
      <c r="NCE55" s="55"/>
      <c r="NCF55" s="55"/>
      <c r="NCG55" s="55"/>
      <c r="NCH55" s="55"/>
      <c r="NCI55" s="55"/>
      <c r="NCJ55" s="55"/>
      <c r="NCK55" s="55"/>
      <c r="NCL55" s="55"/>
      <c r="NCM55" s="55"/>
      <c r="NCN55" s="55"/>
      <c r="NCO55" s="55"/>
      <c r="NCP55" s="55"/>
      <c r="NCQ55" s="55"/>
      <c r="NCR55" s="55"/>
      <c r="NCS55" s="55"/>
      <c r="NCT55" s="55"/>
      <c r="NCU55" s="55"/>
      <c r="NCV55" s="55"/>
      <c r="NCW55" s="55"/>
      <c r="NCX55" s="55"/>
      <c r="NCY55" s="55"/>
      <c r="NCZ55" s="55"/>
      <c r="NDA55" s="55"/>
      <c r="NDB55" s="55"/>
      <c r="NDC55" s="55"/>
      <c r="NDD55" s="55"/>
      <c r="NDE55" s="55"/>
      <c r="NDF55" s="55"/>
      <c r="NDG55" s="55"/>
      <c r="NDH55" s="55"/>
      <c r="NDI55" s="55"/>
      <c r="NDJ55" s="55"/>
      <c r="NDK55" s="55"/>
      <c r="NDL55" s="55"/>
      <c r="NDM55" s="55"/>
      <c r="NDN55" s="55"/>
      <c r="NDO55" s="55"/>
      <c r="NDP55" s="55"/>
      <c r="NDQ55" s="55"/>
      <c r="NDR55" s="55"/>
      <c r="NDS55" s="55"/>
      <c r="NDT55" s="55"/>
      <c r="NDU55" s="55"/>
      <c r="NDV55" s="55"/>
      <c r="NDW55" s="55"/>
      <c r="NDX55" s="55"/>
      <c r="NDY55" s="55"/>
      <c r="NDZ55" s="55"/>
      <c r="NEA55" s="55"/>
      <c r="NEB55" s="55"/>
      <c r="NEC55" s="55"/>
      <c r="NED55" s="55"/>
      <c r="NEE55" s="55"/>
      <c r="NEF55" s="55"/>
      <c r="NEG55" s="55"/>
      <c r="NEH55" s="55"/>
      <c r="NEI55" s="55"/>
      <c r="NEJ55" s="55"/>
      <c r="NEK55" s="55"/>
      <c r="NEL55" s="55"/>
      <c r="NEM55" s="55"/>
      <c r="NEN55" s="55"/>
      <c r="NEO55" s="55"/>
      <c r="NEP55" s="55"/>
      <c r="NEQ55" s="55"/>
      <c r="NER55" s="55"/>
      <c r="NES55" s="55"/>
      <c r="NET55" s="55"/>
      <c r="NEU55" s="55"/>
      <c r="NEV55" s="55"/>
      <c r="NEW55" s="55"/>
      <c r="NEX55" s="55"/>
      <c r="NEY55" s="55"/>
      <c r="NEZ55" s="55"/>
      <c r="NFA55" s="55"/>
      <c r="NFB55" s="55"/>
      <c r="NFC55" s="55"/>
      <c r="NFD55" s="55"/>
      <c r="NFE55" s="55"/>
      <c r="NFF55" s="55"/>
      <c r="NFG55" s="55"/>
      <c r="NFH55" s="55"/>
      <c r="NFI55" s="55"/>
      <c r="NFJ55" s="55"/>
      <c r="NFK55" s="55"/>
      <c r="NFL55" s="55"/>
      <c r="NFM55" s="55"/>
      <c r="NFN55" s="55"/>
      <c r="NFO55" s="55"/>
      <c r="NFP55" s="55"/>
      <c r="NFQ55" s="55"/>
      <c r="NFR55" s="55"/>
      <c r="NFS55" s="55"/>
      <c r="NFT55" s="55"/>
      <c r="NFU55" s="55"/>
      <c r="NFV55" s="55"/>
      <c r="NFW55" s="55"/>
      <c r="NFX55" s="55"/>
      <c r="NFY55" s="55"/>
      <c r="NFZ55" s="55"/>
      <c r="NGA55" s="55"/>
      <c r="NGB55" s="55"/>
      <c r="NGC55" s="55"/>
      <c r="NGD55" s="55"/>
      <c r="NGE55" s="55"/>
      <c r="NGF55" s="55"/>
      <c r="NGG55" s="55"/>
      <c r="NGH55" s="55"/>
      <c r="NGI55" s="55"/>
      <c r="NGJ55" s="55"/>
      <c r="NGK55" s="55"/>
      <c r="NGL55" s="55"/>
      <c r="NGM55" s="55"/>
      <c r="NGN55" s="55"/>
      <c r="NGO55" s="55"/>
      <c r="NGP55" s="55"/>
      <c r="NGQ55" s="55"/>
      <c r="NGR55" s="55"/>
      <c r="NGS55" s="55"/>
      <c r="NGT55" s="55"/>
      <c r="NGU55" s="55"/>
      <c r="NGV55" s="55"/>
      <c r="NGW55" s="55"/>
      <c r="NGX55" s="55"/>
      <c r="NGY55" s="55"/>
      <c r="NGZ55" s="55"/>
      <c r="NHA55" s="55"/>
      <c r="NHB55" s="55"/>
      <c r="NHC55" s="55"/>
      <c r="NHD55" s="55"/>
      <c r="NHE55" s="55"/>
      <c r="NHF55" s="55"/>
      <c r="NHG55" s="55"/>
      <c r="NHH55" s="55"/>
      <c r="NHI55" s="55"/>
      <c r="NHJ55" s="55"/>
      <c r="NHK55" s="55"/>
      <c r="NHL55" s="55"/>
      <c r="NHM55" s="55"/>
      <c r="NHN55" s="55"/>
      <c r="NHO55" s="55"/>
      <c r="NHP55" s="55"/>
      <c r="NHQ55" s="55"/>
      <c r="NHR55" s="55"/>
      <c r="NHS55" s="55"/>
      <c r="NHT55" s="55"/>
      <c r="NHU55" s="55"/>
      <c r="NHV55" s="55"/>
      <c r="NHW55" s="55"/>
      <c r="NHX55" s="55"/>
      <c r="NHY55" s="55"/>
      <c r="NHZ55" s="55"/>
      <c r="NIA55" s="55"/>
      <c r="NIB55" s="55"/>
      <c r="NIC55" s="55"/>
      <c r="NID55" s="55"/>
      <c r="NIE55" s="55"/>
      <c r="NIF55" s="55"/>
      <c r="NIG55" s="55"/>
      <c r="NIH55" s="55"/>
      <c r="NII55" s="55"/>
      <c r="NIJ55" s="55"/>
      <c r="NIK55" s="55"/>
      <c r="NIL55" s="55"/>
      <c r="NIM55" s="55"/>
      <c r="NIN55" s="55"/>
      <c r="NIO55" s="55"/>
      <c r="NIP55" s="55"/>
      <c r="NIQ55" s="55"/>
      <c r="NIR55" s="55"/>
      <c r="NIS55" s="55"/>
      <c r="NIT55" s="55"/>
      <c r="NIU55" s="55"/>
      <c r="NIV55" s="55"/>
      <c r="NIW55" s="55"/>
      <c r="NIX55" s="55"/>
      <c r="NIY55" s="55"/>
      <c r="NIZ55" s="55"/>
      <c r="NJA55" s="55"/>
      <c r="NJB55" s="55"/>
      <c r="NJC55" s="55"/>
      <c r="NJD55" s="55"/>
      <c r="NJE55" s="55"/>
      <c r="NJF55" s="55"/>
      <c r="NJG55" s="55"/>
      <c r="NJH55" s="55"/>
      <c r="NJI55" s="55"/>
      <c r="NJJ55" s="55"/>
      <c r="NJK55" s="55"/>
      <c r="NJL55" s="55"/>
      <c r="NJM55" s="55"/>
      <c r="NJN55" s="55"/>
      <c r="NJO55" s="55"/>
      <c r="NJP55" s="55"/>
      <c r="NJQ55" s="55"/>
      <c r="NJR55" s="55"/>
      <c r="NJS55" s="55"/>
      <c r="NJT55" s="55"/>
      <c r="NJU55" s="55"/>
      <c r="NJV55" s="55"/>
      <c r="NJW55" s="55"/>
      <c r="NJX55" s="55"/>
      <c r="NJY55" s="55"/>
      <c r="NJZ55" s="55"/>
      <c r="NKA55" s="55"/>
      <c r="NKB55" s="55"/>
      <c r="NKC55" s="55"/>
      <c r="NKD55" s="55"/>
      <c r="NKE55" s="55"/>
      <c r="NKF55" s="55"/>
      <c r="NKG55" s="55"/>
      <c r="NKH55" s="55"/>
      <c r="NKI55" s="55"/>
      <c r="NKJ55" s="55"/>
      <c r="NKK55" s="55"/>
      <c r="NKL55" s="55"/>
      <c r="NKM55" s="55"/>
      <c r="NKN55" s="55"/>
      <c r="NKO55" s="55"/>
      <c r="NKP55" s="55"/>
      <c r="NKQ55" s="55"/>
      <c r="NKR55" s="55"/>
      <c r="NKS55" s="55"/>
      <c r="NKT55" s="55"/>
      <c r="NKU55" s="55"/>
      <c r="NKV55" s="55"/>
      <c r="NKW55" s="55"/>
      <c r="NKX55" s="55"/>
      <c r="NKY55" s="55"/>
      <c r="NKZ55" s="55"/>
      <c r="NLA55" s="55"/>
      <c r="NLB55" s="55"/>
      <c r="NLC55" s="55"/>
      <c r="NLD55" s="55"/>
      <c r="NLE55" s="55"/>
      <c r="NLF55" s="55"/>
      <c r="NLG55" s="55"/>
      <c r="NLH55" s="55"/>
      <c r="NLI55" s="55"/>
      <c r="NLJ55" s="55"/>
      <c r="NLK55" s="55"/>
      <c r="NLL55" s="55"/>
      <c r="NLM55" s="55"/>
      <c r="NLN55" s="55"/>
      <c r="NLO55" s="55"/>
      <c r="NLP55" s="55"/>
      <c r="NLQ55" s="55"/>
      <c r="NLR55" s="55"/>
      <c r="NLS55" s="55"/>
      <c r="NLT55" s="55"/>
      <c r="NLU55" s="55"/>
      <c r="NLV55" s="55"/>
      <c r="NLW55" s="55"/>
      <c r="NLX55" s="55"/>
      <c r="NLY55" s="55"/>
      <c r="NLZ55" s="55"/>
      <c r="NMA55" s="55"/>
      <c r="NMB55" s="55"/>
      <c r="NMC55" s="55"/>
      <c r="NMD55" s="55"/>
      <c r="NME55" s="55"/>
      <c r="NMF55" s="55"/>
      <c r="NMG55" s="55"/>
      <c r="NMH55" s="55"/>
      <c r="NMI55" s="55"/>
      <c r="NMJ55" s="55"/>
      <c r="NMK55" s="55"/>
      <c r="NML55" s="55"/>
      <c r="NMM55" s="55"/>
      <c r="NMN55" s="55"/>
      <c r="NMO55" s="55"/>
      <c r="NMP55" s="55"/>
      <c r="NMQ55" s="55"/>
      <c r="NMR55" s="55"/>
      <c r="NMS55" s="55"/>
      <c r="NMT55" s="55"/>
      <c r="NMU55" s="55"/>
      <c r="NMV55" s="55"/>
      <c r="NMW55" s="55"/>
      <c r="NMX55" s="55"/>
      <c r="NMY55" s="55"/>
      <c r="NMZ55" s="55"/>
      <c r="NNA55" s="55"/>
      <c r="NNB55" s="55"/>
      <c r="NNC55" s="55"/>
      <c r="NND55" s="55"/>
      <c r="NNE55" s="55"/>
      <c r="NNF55" s="55"/>
      <c r="NNG55" s="55"/>
      <c r="NNH55" s="55"/>
      <c r="NNI55" s="55"/>
      <c r="NNJ55" s="55"/>
      <c r="NNK55" s="55"/>
      <c r="NNL55" s="55"/>
      <c r="NNM55" s="55"/>
      <c r="NNN55" s="55"/>
      <c r="NNO55" s="55"/>
      <c r="NNP55" s="55"/>
      <c r="NNQ55" s="55"/>
      <c r="NNR55" s="55"/>
      <c r="NNS55" s="55"/>
      <c r="NNT55" s="55"/>
      <c r="NNU55" s="55"/>
      <c r="NNV55" s="55"/>
      <c r="NNW55" s="55"/>
      <c r="NNX55" s="55"/>
      <c r="NNY55" s="55"/>
      <c r="NNZ55" s="55"/>
      <c r="NOA55" s="55"/>
      <c r="NOB55" s="55"/>
      <c r="NOC55" s="55"/>
      <c r="NOD55" s="55"/>
      <c r="NOE55" s="55"/>
      <c r="NOF55" s="55"/>
      <c r="NOG55" s="55"/>
      <c r="NOH55" s="55"/>
      <c r="NOI55" s="55"/>
      <c r="NOJ55" s="55"/>
      <c r="NOK55" s="55"/>
      <c r="NOL55" s="55"/>
      <c r="NOM55" s="55"/>
      <c r="NON55" s="55"/>
      <c r="NOO55" s="55"/>
      <c r="NOP55" s="55"/>
      <c r="NOQ55" s="55"/>
      <c r="NOR55" s="55"/>
      <c r="NOS55" s="55"/>
      <c r="NOT55" s="55"/>
      <c r="NOU55" s="55"/>
      <c r="NOV55" s="55"/>
      <c r="NOW55" s="55"/>
      <c r="NOX55" s="55"/>
      <c r="NOY55" s="55"/>
      <c r="NOZ55" s="55"/>
      <c r="NPA55" s="55"/>
      <c r="NPB55" s="55"/>
      <c r="NPC55" s="55"/>
      <c r="NPD55" s="55"/>
      <c r="NPE55" s="55"/>
      <c r="NPF55" s="55"/>
      <c r="NPG55" s="55"/>
      <c r="NPH55" s="55"/>
      <c r="NPI55" s="55"/>
      <c r="NPJ55" s="55"/>
      <c r="NPK55" s="55"/>
      <c r="NPL55" s="55"/>
      <c r="NPM55" s="55"/>
      <c r="NPN55" s="55"/>
      <c r="NPO55" s="55"/>
      <c r="NPP55" s="55"/>
      <c r="NPQ55" s="55"/>
      <c r="NPR55" s="55"/>
      <c r="NPS55" s="55"/>
      <c r="NPT55" s="55"/>
      <c r="NPU55" s="55"/>
      <c r="NPV55" s="55"/>
      <c r="NPW55" s="55"/>
      <c r="NPX55" s="55"/>
      <c r="NPY55" s="55"/>
      <c r="NPZ55" s="55"/>
      <c r="NQA55" s="55"/>
      <c r="NQB55" s="55"/>
      <c r="NQC55" s="55"/>
      <c r="NQD55" s="55"/>
      <c r="NQE55" s="55"/>
      <c r="NQF55" s="55"/>
      <c r="NQG55" s="55"/>
      <c r="NQH55" s="55"/>
      <c r="NQI55" s="55"/>
      <c r="NQJ55" s="55"/>
      <c r="NQK55" s="55"/>
      <c r="NQL55" s="55"/>
      <c r="NQM55" s="55"/>
      <c r="NQN55" s="55"/>
      <c r="NQO55" s="55"/>
      <c r="NQP55" s="55"/>
      <c r="NQQ55" s="55"/>
      <c r="NQR55" s="55"/>
      <c r="NQS55" s="55"/>
      <c r="NQT55" s="55"/>
      <c r="NQU55" s="55"/>
      <c r="NQV55" s="55"/>
      <c r="NQW55" s="55"/>
      <c r="NQX55" s="55"/>
      <c r="NQY55" s="55"/>
      <c r="NQZ55" s="55"/>
      <c r="NRA55" s="55"/>
      <c r="NRB55" s="55"/>
      <c r="NRC55" s="55"/>
      <c r="NRD55" s="55"/>
      <c r="NRE55" s="55"/>
      <c r="NRF55" s="55"/>
      <c r="NRG55" s="55"/>
      <c r="NRH55" s="55"/>
      <c r="NRI55" s="55"/>
      <c r="NRJ55" s="55"/>
      <c r="NRK55" s="55"/>
      <c r="NRL55" s="55"/>
      <c r="NRM55" s="55"/>
      <c r="NRN55" s="55"/>
      <c r="NRO55" s="55"/>
      <c r="NRP55" s="55"/>
      <c r="NRQ55" s="55"/>
      <c r="NRR55" s="55"/>
      <c r="NRS55" s="55"/>
      <c r="NRT55" s="55"/>
      <c r="NRU55" s="55"/>
      <c r="NRV55" s="55"/>
      <c r="NRW55" s="55"/>
      <c r="NRX55" s="55"/>
      <c r="NRY55" s="55"/>
      <c r="NRZ55" s="55"/>
      <c r="NSA55" s="55"/>
      <c r="NSB55" s="55"/>
      <c r="NSC55" s="55"/>
      <c r="NSD55" s="55"/>
      <c r="NSE55" s="55"/>
      <c r="NSF55" s="55"/>
      <c r="NSG55" s="55"/>
      <c r="NSH55" s="55"/>
      <c r="NSI55" s="55"/>
      <c r="NSJ55" s="55"/>
      <c r="NSK55" s="55"/>
      <c r="NSL55" s="55"/>
      <c r="NSM55" s="55"/>
      <c r="NSN55" s="55"/>
      <c r="NSO55" s="55"/>
      <c r="NSP55" s="55"/>
      <c r="NSQ55" s="55"/>
      <c r="NSR55" s="55"/>
      <c r="NSS55" s="55"/>
      <c r="NST55" s="55"/>
      <c r="NSU55" s="55"/>
      <c r="NSV55" s="55"/>
      <c r="NSW55" s="55"/>
      <c r="NSX55" s="55"/>
      <c r="NSY55" s="55"/>
      <c r="NSZ55" s="55"/>
      <c r="NTA55" s="55"/>
      <c r="NTB55" s="55"/>
      <c r="NTC55" s="55"/>
      <c r="NTD55" s="55"/>
      <c r="NTE55" s="55"/>
      <c r="NTF55" s="55"/>
      <c r="NTG55" s="55"/>
      <c r="NTH55" s="55"/>
      <c r="NTI55" s="55"/>
      <c r="NTJ55" s="55"/>
      <c r="NTK55" s="55"/>
      <c r="NTL55" s="55"/>
      <c r="NTM55" s="55"/>
      <c r="NTN55" s="55"/>
      <c r="NTO55" s="55"/>
      <c r="NTP55" s="55"/>
      <c r="NTQ55" s="55"/>
      <c r="NTR55" s="55"/>
      <c r="NTS55" s="55"/>
      <c r="NTT55" s="55"/>
      <c r="NTU55" s="55"/>
      <c r="NTV55" s="55"/>
      <c r="NTW55" s="55"/>
      <c r="NTX55" s="55"/>
      <c r="NTY55" s="55"/>
      <c r="NTZ55" s="55"/>
      <c r="NUA55" s="55"/>
      <c r="NUB55" s="55"/>
      <c r="NUC55" s="55"/>
      <c r="NUD55" s="55"/>
      <c r="NUE55" s="55"/>
      <c r="NUF55" s="55"/>
      <c r="NUG55" s="55"/>
      <c r="NUH55" s="55"/>
      <c r="NUI55" s="55"/>
      <c r="NUJ55" s="55"/>
      <c r="NUK55" s="55"/>
      <c r="NUL55" s="55"/>
      <c r="NUM55" s="55"/>
      <c r="NUN55" s="55"/>
      <c r="NUO55" s="55"/>
      <c r="NUP55" s="55"/>
      <c r="NUQ55" s="55"/>
      <c r="NUR55" s="55"/>
      <c r="NUS55" s="55"/>
      <c r="NUT55" s="55"/>
      <c r="NUU55" s="55"/>
      <c r="NUV55" s="55"/>
      <c r="NUW55" s="55"/>
      <c r="NUX55" s="55"/>
      <c r="NUY55" s="55"/>
      <c r="NUZ55" s="55"/>
      <c r="NVA55" s="55"/>
      <c r="NVB55" s="55"/>
      <c r="NVC55" s="55"/>
      <c r="NVD55" s="55"/>
      <c r="NVE55" s="55"/>
      <c r="NVF55" s="55"/>
      <c r="NVG55" s="55"/>
      <c r="NVH55" s="55"/>
      <c r="NVI55" s="55"/>
      <c r="NVJ55" s="55"/>
      <c r="NVK55" s="55"/>
      <c r="NVL55" s="55"/>
      <c r="NVM55" s="55"/>
      <c r="NVN55" s="55"/>
      <c r="NVO55" s="55"/>
      <c r="NVP55" s="55"/>
      <c r="NVQ55" s="55"/>
      <c r="NVR55" s="55"/>
      <c r="NVS55" s="55"/>
      <c r="NVT55" s="55"/>
      <c r="NVU55" s="55"/>
      <c r="NVV55" s="55"/>
      <c r="NVW55" s="55"/>
      <c r="NVX55" s="55"/>
      <c r="NVY55" s="55"/>
      <c r="NVZ55" s="55"/>
      <c r="NWA55" s="55"/>
      <c r="NWB55" s="55"/>
      <c r="NWC55" s="55"/>
      <c r="NWD55" s="55"/>
      <c r="NWE55" s="55"/>
      <c r="NWF55" s="55"/>
      <c r="NWG55" s="55"/>
      <c r="NWH55" s="55"/>
      <c r="NWI55" s="55"/>
      <c r="NWJ55" s="55"/>
      <c r="NWK55" s="55"/>
      <c r="NWL55" s="55"/>
      <c r="NWM55" s="55"/>
      <c r="NWN55" s="55"/>
      <c r="NWO55" s="55"/>
      <c r="NWP55" s="55"/>
      <c r="NWQ55" s="55"/>
      <c r="NWR55" s="55"/>
      <c r="NWS55" s="55"/>
      <c r="NWT55" s="55"/>
      <c r="NWU55" s="55"/>
      <c r="NWV55" s="55"/>
      <c r="NWW55" s="55"/>
      <c r="NWX55" s="55"/>
      <c r="NWY55" s="55"/>
      <c r="NWZ55" s="55"/>
      <c r="NXA55" s="55"/>
      <c r="NXB55" s="55"/>
      <c r="NXC55" s="55"/>
      <c r="NXD55" s="55"/>
      <c r="NXE55" s="55"/>
      <c r="NXF55" s="55"/>
      <c r="NXG55" s="55"/>
      <c r="NXH55" s="55"/>
      <c r="NXI55" s="55"/>
      <c r="NXJ55" s="55"/>
      <c r="NXK55" s="55"/>
      <c r="NXL55" s="55"/>
      <c r="NXM55" s="55"/>
      <c r="NXN55" s="55"/>
      <c r="NXO55" s="55"/>
      <c r="NXP55" s="55"/>
      <c r="NXQ55" s="55"/>
      <c r="NXR55" s="55"/>
      <c r="NXS55" s="55"/>
      <c r="NXT55" s="55"/>
      <c r="NXU55" s="55"/>
      <c r="NXV55" s="55"/>
      <c r="NXW55" s="55"/>
      <c r="NXX55" s="55"/>
      <c r="NXY55" s="55"/>
      <c r="NXZ55" s="55"/>
      <c r="NYA55" s="55"/>
      <c r="NYB55" s="55"/>
      <c r="NYC55" s="55"/>
      <c r="NYD55" s="55"/>
      <c r="NYE55" s="55"/>
      <c r="NYF55" s="55"/>
      <c r="NYG55" s="55"/>
      <c r="NYH55" s="55"/>
      <c r="NYI55" s="55"/>
      <c r="NYJ55" s="55"/>
      <c r="NYK55" s="55"/>
      <c r="NYL55" s="55"/>
      <c r="NYM55" s="55"/>
      <c r="NYN55" s="55"/>
      <c r="NYO55" s="55"/>
      <c r="NYP55" s="55"/>
      <c r="NYQ55" s="55"/>
      <c r="NYR55" s="55"/>
      <c r="NYS55" s="55"/>
      <c r="NYT55" s="55"/>
      <c r="NYU55" s="55"/>
      <c r="NYV55" s="55"/>
      <c r="NYW55" s="55"/>
      <c r="NYX55" s="55"/>
      <c r="NYY55" s="55"/>
      <c r="NYZ55" s="55"/>
      <c r="NZA55" s="55"/>
      <c r="NZB55" s="55"/>
      <c r="NZC55" s="55"/>
      <c r="NZD55" s="55"/>
      <c r="NZE55" s="55"/>
      <c r="NZF55" s="55"/>
      <c r="NZG55" s="55"/>
      <c r="NZH55" s="55"/>
      <c r="NZI55" s="55"/>
      <c r="NZJ55" s="55"/>
      <c r="NZK55" s="55"/>
      <c r="NZL55" s="55"/>
      <c r="NZM55" s="55"/>
      <c r="NZN55" s="55"/>
      <c r="NZO55" s="55"/>
      <c r="NZP55" s="55"/>
      <c r="NZQ55" s="55"/>
      <c r="NZR55" s="55"/>
      <c r="NZS55" s="55"/>
      <c r="NZT55" s="55"/>
      <c r="NZU55" s="55"/>
      <c r="NZV55" s="55"/>
      <c r="NZW55" s="55"/>
      <c r="NZX55" s="55"/>
      <c r="NZY55" s="55"/>
      <c r="NZZ55" s="55"/>
      <c r="OAA55" s="55"/>
      <c r="OAB55" s="55"/>
      <c r="OAC55" s="55"/>
      <c r="OAD55" s="55"/>
      <c r="OAE55" s="55"/>
      <c r="OAF55" s="55"/>
      <c r="OAG55" s="55"/>
      <c r="OAH55" s="55"/>
      <c r="OAI55" s="55"/>
      <c r="OAJ55" s="55"/>
      <c r="OAK55" s="55"/>
      <c r="OAL55" s="55"/>
      <c r="OAM55" s="55"/>
      <c r="OAN55" s="55"/>
      <c r="OAO55" s="55"/>
      <c r="OAP55" s="55"/>
      <c r="OAQ55" s="55"/>
      <c r="OAR55" s="55"/>
      <c r="OAS55" s="55"/>
      <c r="OAT55" s="55"/>
      <c r="OAU55" s="55"/>
      <c r="OAV55" s="55"/>
      <c r="OAW55" s="55"/>
      <c r="OAX55" s="55"/>
      <c r="OAY55" s="55"/>
      <c r="OAZ55" s="55"/>
      <c r="OBA55" s="55"/>
      <c r="OBB55" s="55"/>
      <c r="OBC55" s="55"/>
      <c r="OBD55" s="55"/>
      <c r="OBE55" s="55"/>
      <c r="OBF55" s="55"/>
      <c r="OBG55" s="55"/>
      <c r="OBH55" s="55"/>
      <c r="OBI55" s="55"/>
      <c r="OBJ55" s="55"/>
      <c r="OBK55" s="55"/>
      <c r="OBL55" s="55"/>
      <c r="OBM55" s="55"/>
      <c r="OBN55" s="55"/>
      <c r="OBO55" s="55"/>
      <c r="OBP55" s="55"/>
      <c r="OBQ55" s="55"/>
      <c r="OBR55" s="55"/>
      <c r="OBS55" s="55"/>
      <c r="OBT55" s="55"/>
      <c r="OBU55" s="55"/>
      <c r="OBV55" s="55"/>
      <c r="OBW55" s="55"/>
      <c r="OBX55" s="55"/>
      <c r="OBY55" s="55"/>
      <c r="OBZ55" s="55"/>
      <c r="OCA55" s="55"/>
      <c r="OCB55" s="55"/>
      <c r="OCC55" s="55"/>
      <c r="OCD55" s="55"/>
      <c r="OCE55" s="55"/>
      <c r="OCF55" s="55"/>
      <c r="OCG55" s="55"/>
      <c r="OCH55" s="55"/>
      <c r="OCI55" s="55"/>
      <c r="OCJ55" s="55"/>
      <c r="OCK55" s="55"/>
      <c r="OCL55" s="55"/>
      <c r="OCM55" s="55"/>
      <c r="OCN55" s="55"/>
      <c r="OCO55" s="55"/>
      <c r="OCP55" s="55"/>
      <c r="OCQ55" s="55"/>
      <c r="OCR55" s="55"/>
      <c r="OCS55" s="55"/>
      <c r="OCT55" s="55"/>
      <c r="OCU55" s="55"/>
      <c r="OCV55" s="55"/>
      <c r="OCW55" s="55"/>
      <c r="OCX55" s="55"/>
      <c r="OCY55" s="55"/>
      <c r="OCZ55" s="55"/>
      <c r="ODA55" s="55"/>
      <c r="ODB55" s="55"/>
      <c r="ODC55" s="55"/>
      <c r="ODD55" s="55"/>
      <c r="ODE55" s="55"/>
      <c r="ODF55" s="55"/>
      <c r="ODG55" s="55"/>
      <c r="ODH55" s="55"/>
      <c r="ODI55" s="55"/>
      <c r="ODJ55" s="55"/>
      <c r="ODK55" s="55"/>
      <c r="ODL55" s="55"/>
      <c r="ODM55" s="55"/>
      <c r="ODN55" s="55"/>
      <c r="ODO55" s="55"/>
      <c r="ODP55" s="55"/>
      <c r="ODQ55" s="55"/>
      <c r="ODR55" s="55"/>
      <c r="ODS55" s="55"/>
      <c r="ODT55" s="55"/>
      <c r="ODU55" s="55"/>
      <c r="ODV55" s="55"/>
      <c r="ODW55" s="55"/>
      <c r="ODX55" s="55"/>
      <c r="ODY55" s="55"/>
      <c r="ODZ55" s="55"/>
      <c r="OEA55" s="55"/>
      <c r="OEB55" s="55"/>
      <c r="OEC55" s="55"/>
      <c r="OED55" s="55"/>
      <c r="OEE55" s="55"/>
      <c r="OEF55" s="55"/>
      <c r="OEG55" s="55"/>
      <c r="OEH55" s="55"/>
      <c r="OEI55" s="55"/>
      <c r="OEJ55" s="55"/>
      <c r="OEK55" s="55"/>
      <c r="OEL55" s="55"/>
      <c r="OEM55" s="55"/>
      <c r="OEN55" s="55"/>
      <c r="OEO55" s="55"/>
      <c r="OEP55" s="55"/>
      <c r="OEQ55" s="55"/>
      <c r="OER55" s="55"/>
      <c r="OES55" s="55"/>
      <c r="OET55" s="55"/>
      <c r="OEU55" s="55"/>
      <c r="OEV55" s="55"/>
      <c r="OEW55" s="55"/>
      <c r="OEX55" s="55"/>
      <c r="OEY55" s="55"/>
      <c r="OEZ55" s="55"/>
      <c r="OFA55" s="55"/>
      <c r="OFB55" s="55"/>
      <c r="OFC55" s="55"/>
      <c r="OFD55" s="55"/>
      <c r="OFE55" s="55"/>
      <c r="OFF55" s="55"/>
      <c r="OFG55" s="55"/>
      <c r="OFH55" s="55"/>
      <c r="OFI55" s="55"/>
      <c r="OFJ55" s="55"/>
      <c r="OFK55" s="55"/>
      <c r="OFL55" s="55"/>
      <c r="OFM55" s="55"/>
      <c r="OFN55" s="55"/>
      <c r="OFO55" s="55"/>
      <c r="OFP55" s="55"/>
      <c r="OFQ55" s="55"/>
      <c r="OFR55" s="55"/>
      <c r="OFS55" s="55"/>
      <c r="OFT55" s="55"/>
      <c r="OFU55" s="55"/>
      <c r="OFV55" s="55"/>
      <c r="OFW55" s="55"/>
      <c r="OFX55" s="55"/>
      <c r="OFY55" s="55"/>
      <c r="OFZ55" s="55"/>
      <c r="OGA55" s="55"/>
      <c r="OGB55" s="55"/>
      <c r="OGC55" s="55"/>
      <c r="OGD55" s="55"/>
      <c r="OGE55" s="55"/>
      <c r="OGF55" s="55"/>
      <c r="OGG55" s="55"/>
      <c r="OGH55" s="55"/>
      <c r="OGI55" s="55"/>
      <c r="OGJ55" s="55"/>
      <c r="OGK55" s="55"/>
      <c r="OGL55" s="55"/>
      <c r="OGM55" s="55"/>
      <c r="OGN55" s="55"/>
      <c r="OGO55" s="55"/>
      <c r="OGP55" s="55"/>
      <c r="OGQ55" s="55"/>
      <c r="OGR55" s="55"/>
      <c r="OGS55" s="55"/>
      <c r="OGT55" s="55"/>
      <c r="OGU55" s="55"/>
      <c r="OGV55" s="55"/>
      <c r="OGW55" s="55"/>
      <c r="OGX55" s="55"/>
      <c r="OGY55" s="55"/>
      <c r="OGZ55" s="55"/>
      <c r="OHA55" s="55"/>
      <c r="OHB55" s="55"/>
      <c r="OHC55" s="55"/>
      <c r="OHD55" s="55"/>
      <c r="OHE55" s="55"/>
      <c r="OHF55" s="55"/>
      <c r="OHG55" s="55"/>
      <c r="OHH55" s="55"/>
      <c r="OHI55" s="55"/>
      <c r="OHJ55" s="55"/>
      <c r="OHK55" s="55"/>
      <c r="OHL55" s="55"/>
      <c r="OHM55" s="55"/>
      <c r="OHN55" s="55"/>
      <c r="OHO55" s="55"/>
      <c r="OHP55" s="55"/>
      <c r="OHQ55" s="55"/>
      <c r="OHR55" s="55"/>
      <c r="OHS55" s="55"/>
      <c r="OHT55" s="55"/>
      <c r="OHU55" s="55"/>
      <c r="OHV55" s="55"/>
      <c r="OHW55" s="55"/>
      <c r="OHX55" s="55"/>
      <c r="OHY55" s="55"/>
      <c r="OHZ55" s="55"/>
      <c r="OIA55" s="55"/>
      <c r="OIB55" s="55"/>
      <c r="OIC55" s="55"/>
      <c r="OID55" s="55"/>
      <c r="OIE55" s="55"/>
      <c r="OIF55" s="55"/>
      <c r="OIG55" s="55"/>
      <c r="OIH55" s="55"/>
      <c r="OII55" s="55"/>
      <c r="OIJ55" s="55"/>
      <c r="OIK55" s="55"/>
      <c r="OIL55" s="55"/>
      <c r="OIM55" s="55"/>
      <c r="OIN55" s="55"/>
      <c r="OIO55" s="55"/>
      <c r="OIP55" s="55"/>
      <c r="OIQ55" s="55"/>
      <c r="OIR55" s="55"/>
      <c r="OIS55" s="55"/>
      <c r="OIT55" s="55"/>
      <c r="OIU55" s="55"/>
      <c r="OIV55" s="55"/>
      <c r="OIW55" s="55"/>
      <c r="OIX55" s="55"/>
      <c r="OIY55" s="55"/>
      <c r="OIZ55" s="55"/>
      <c r="OJA55" s="55"/>
      <c r="OJB55" s="55"/>
      <c r="OJC55" s="55"/>
      <c r="OJD55" s="55"/>
      <c r="OJE55" s="55"/>
      <c r="OJF55" s="55"/>
      <c r="OJG55" s="55"/>
      <c r="OJH55" s="55"/>
      <c r="OJI55" s="55"/>
      <c r="OJJ55" s="55"/>
      <c r="OJK55" s="55"/>
      <c r="OJL55" s="55"/>
      <c r="OJM55" s="55"/>
      <c r="OJN55" s="55"/>
      <c r="OJO55" s="55"/>
      <c r="OJP55" s="55"/>
      <c r="OJQ55" s="55"/>
      <c r="OJR55" s="55"/>
      <c r="OJS55" s="55"/>
      <c r="OJT55" s="55"/>
      <c r="OJU55" s="55"/>
      <c r="OJV55" s="55"/>
      <c r="OJW55" s="55"/>
      <c r="OJX55" s="55"/>
      <c r="OJY55" s="55"/>
      <c r="OJZ55" s="55"/>
      <c r="OKA55" s="55"/>
      <c r="OKB55" s="55"/>
      <c r="OKC55" s="55"/>
      <c r="OKD55" s="55"/>
      <c r="OKE55" s="55"/>
      <c r="OKF55" s="55"/>
      <c r="OKG55" s="55"/>
      <c r="OKH55" s="55"/>
      <c r="OKI55" s="55"/>
      <c r="OKJ55" s="55"/>
      <c r="OKK55" s="55"/>
      <c r="OKL55" s="55"/>
      <c r="OKM55" s="55"/>
      <c r="OKN55" s="55"/>
      <c r="OKO55" s="55"/>
      <c r="OKP55" s="55"/>
      <c r="OKQ55" s="55"/>
      <c r="OKR55" s="55"/>
      <c r="OKS55" s="55"/>
      <c r="OKT55" s="55"/>
      <c r="OKU55" s="55"/>
      <c r="OKV55" s="55"/>
      <c r="OKW55" s="55"/>
      <c r="OKX55" s="55"/>
      <c r="OKY55" s="55"/>
      <c r="OKZ55" s="55"/>
      <c r="OLA55" s="55"/>
      <c r="OLB55" s="55"/>
      <c r="OLC55" s="55"/>
      <c r="OLD55" s="55"/>
      <c r="OLE55" s="55"/>
      <c r="OLF55" s="55"/>
      <c r="OLG55" s="55"/>
      <c r="OLH55" s="55"/>
      <c r="OLI55" s="55"/>
      <c r="OLJ55" s="55"/>
      <c r="OLK55" s="55"/>
      <c r="OLL55" s="55"/>
      <c r="OLM55" s="55"/>
      <c r="OLN55" s="55"/>
      <c r="OLO55" s="55"/>
      <c r="OLP55" s="55"/>
      <c r="OLQ55" s="55"/>
      <c r="OLR55" s="55"/>
      <c r="OLS55" s="55"/>
      <c r="OLT55" s="55"/>
      <c r="OLU55" s="55"/>
      <c r="OLV55" s="55"/>
      <c r="OLW55" s="55"/>
      <c r="OLX55" s="55"/>
      <c r="OLY55" s="55"/>
      <c r="OLZ55" s="55"/>
      <c r="OMA55" s="55"/>
      <c r="OMB55" s="55"/>
      <c r="OMC55" s="55"/>
      <c r="OMD55" s="55"/>
      <c r="OME55" s="55"/>
      <c r="OMF55" s="55"/>
      <c r="OMG55" s="55"/>
      <c r="OMH55" s="55"/>
      <c r="OMI55" s="55"/>
      <c r="OMJ55" s="55"/>
      <c r="OMK55" s="55"/>
      <c r="OML55" s="55"/>
      <c r="OMM55" s="55"/>
      <c r="OMN55" s="55"/>
      <c r="OMO55" s="55"/>
      <c r="OMP55" s="55"/>
      <c r="OMQ55" s="55"/>
      <c r="OMR55" s="55"/>
      <c r="OMS55" s="55"/>
      <c r="OMT55" s="55"/>
      <c r="OMU55" s="55"/>
      <c r="OMV55" s="55"/>
      <c r="OMW55" s="55"/>
      <c r="OMX55" s="55"/>
      <c r="OMY55" s="55"/>
      <c r="OMZ55" s="55"/>
      <c r="ONA55" s="55"/>
      <c r="ONB55" s="55"/>
      <c r="ONC55" s="55"/>
      <c r="OND55" s="55"/>
      <c r="ONE55" s="55"/>
      <c r="ONF55" s="55"/>
      <c r="ONG55" s="55"/>
      <c r="ONH55" s="55"/>
      <c r="ONI55" s="55"/>
      <c r="ONJ55" s="55"/>
      <c r="ONK55" s="55"/>
      <c r="ONL55" s="55"/>
      <c r="ONM55" s="55"/>
      <c r="ONN55" s="55"/>
      <c r="ONO55" s="55"/>
      <c r="ONP55" s="55"/>
      <c r="ONQ55" s="55"/>
      <c r="ONR55" s="55"/>
      <c r="ONS55" s="55"/>
      <c r="ONT55" s="55"/>
      <c r="ONU55" s="55"/>
      <c r="ONV55" s="55"/>
      <c r="ONW55" s="55"/>
      <c r="ONX55" s="55"/>
      <c r="ONY55" s="55"/>
      <c r="ONZ55" s="55"/>
      <c r="OOA55" s="55"/>
      <c r="OOB55" s="55"/>
      <c r="OOC55" s="55"/>
      <c r="OOD55" s="55"/>
      <c r="OOE55" s="55"/>
      <c r="OOF55" s="55"/>
      <c r="OOG55" s="55"/>
      <c r="OOH55" s="55"/>
      <c r="OOI55" s="55"/>
      <c r="OOJ55" s="55"/>
      <c r="OOK55" s="55"/>
      <c r="OOL55" s="55"/>
      <c r="OOM55" s="55"/>
      <c r="OON55" s="55"/>
      <c r="OOO55" s="55"/>
      <c r="OOP55" s="55"/>
      <c r="OOQ55" s="55"/>
      <c r="OOR55" s="55"/>
      <c r="OOS55" s="55"/>
      <c r="OOT55" s="55"/>
      <c r="OOU55" s="55"/>
      <c r="OOV55" s="55"/>
      <c r="OOW55" s="55"/>
      <c r="OOX55" s="55"/>
      <c r="OOY55" s="55"/>
      <c r="OOZ55" s="55"/>
      <c r="OPA55" s="55"/>
      <c r="OPB55" s="55"/>
      <c r="OPC55" s="55"/>
      <c r="OPD55" s="55"/>
      <c r="OPE55" s="55"/>
      <c r="OPF55" s="55"/>
      <c r="OPG55" s="55"/>
      <c r="OPH55" s="55"/>
      <c r="OPI55" s="55"/>
      <c r="OPJ55" s="55"/>
      <c r="OPK55" s="55"/>
      <c r="OPL55" s="55"/>
      <c r="OPM55" s="55"/>
      <c r="OPN55" s="55"/>
      <c r="OPO55" s="55"/>
      <c r="OPP55" s="55"/>
      <c r="OPQ55" s="55"/>
      <c r="OPR55" s="55"/>
      <c r="OPS55" s="55"/>
      <c r="OPT55" s="55"/>
      <c r="OPU55" s="55"/>
      <c r="OPV55" s="55"/>
      <c r="OPW55" s="55"/>
      <c r="OPX55" s="55"/>
      <c r="OPY55" s="55"/>
      <c r="OPZ55" s="55"/>
      <c r="OQA55" s="55"/>
      <c r="OQB55" s="55"/>
      <c r="OQC55" s="55"/>
      <c r="OQD55" s="55"/>
      <c r="OQE55" s="55"/>
      <c r="OQF55" s="55"/>
      <c r="OQG55" s="55"/>
      <c r="OQH55" s="55"/>
      <c r="OQI55" s="55"/>
      <c r="OQJ55" s="55"/>
      <c r="OQK55" s="55"/>
      <c r="OQL55" s="55"/>
      <c r="OQM55" s="55"/>
      <c r="OQN55" s="55"/>
      <c r="OQO55" s="55"/>
      <c r="OQP55" s="55"/>
      <c r="OQQ55" s="55"/>
      <c r="OQR55" s="55"/>
      <c r="OQS55" s="55"/>
      <c r="OQT55" s="55"/>
      <c r="OQU55" s="55"/>
      <c r="OQV55" s="55"/>
      <c r="OQW55" s="55"/>
      <c r="OQX55" s="55"/>
      <c r="OQY55" s="55"/>
      <c r="OQZ55" s="55"/>
      <c r="ORA55" s="55"/>
      <c r="ORB55" s="55"/>
      <c r="ORC55" s="55"/>
      <c r="ORD55" s="55"/>
      <c r="ORE55" s="55"/>
      <c r="ORF55" s="55"/>
      <c r="ORG55" s="55"/>
      <c r="ORH55" s="55"/>
      <c r="ORI55" s="55"/>
      <c r="ORJ55" s="55"/>
      <c r="ORK55" s="55"/>
      <c r="ORL55" s="55"/>
      <c r="ORM55" s="55"/>
      <c r="ORN55" s="55"/>
      <c r="ORO55" s="55"/>
      <c r="ORP55" s="55"/>
      <c r="ORQ55" s="55"/>
      <c r="ORR55" s="55"/>
      <c r="ORS55" s="55"/>
      <c r="ORT55" s="55"/>
      <c r="ORU55" s="55"/>
      <c r="ORV55" s="55"/>
      <c r="ORW55" s="55"/>
      <c r="ORX55" s="55"/>
      <c r="ORY55" s="55"/>
      <c r="ORZ55" s="55"/>
      <c r="OSA55" s="55"/>
      <c r="OSB55" s="55"/>
      <c r="OSC55" s="55"/>
      <c r="OSD55" s="55"/>
      <c r="OSE55" s="55"/>
      <c r="OSF55" s="55"/>
      <c r="OSG55" s="55"/>
      <c r="OSH55" s="55"/>
      <c r="OSI55" s="55"/>
      <c r="OSJ55" s="55"/>
      <c r="OSK55" s="55"/>
      <c r="OSL55" s="55"/>
      <c r="OSM55" s="55"/>
      <c r="OSN55" s="55"/>
      <c r="OSO55" s="55"/>
      <c r="OSP55" s="55"/>
      <c r="OSQ55" s="55"/>
      <c r="OSR55" s="55"/>
      <c r="OSS55" s="55"/>
      <c r="OST55" s="55"/>
      <c r="OSU55" s="55"/>
      <c r="OSV55" s="55"/>
      <c r="OSW55" s="55"/>
      <c r="OSX55" s="55"/>
      <c r="OSY55" s="55"/>
      <c r="OSZ55" s="55"/>
      <c r="OTA55" s="55"/>
      <c r="OTB55" s="55"/>
      <c r="OTC55" s="55"/>
      <c r="OTD55" s="55"/>
      <c r="OTE55" s="55"/>
      <c r="OTF55" s="55"/>
      <c r="OTG55" s="55"/>
      <c r="OTH55" s="55"/>
      <c r="OTI55" s="55"/>
      <c r="OTJ55" s="55"/>
      <c r="OTK55" s="55"/>
      <c r="OTL55" s="55"/>
      <c r="OTM55" s="55"/>
      <c r="OTN55" s="55"/>
      <c r="OTO55" s="55"/>
      <c r="OTP55" s="55"/>
      <c r="OTQ55" s="55"/>
      <c r="OTR55" s="55"/>
      <c r="OTS55" s="55"/>
      <c r="OTT55" s="55"/>
      <c r="OTU55" s="55"/>
      <c r="OTV55" s="55"/>
      <c r="OTW55" s="55"/>
      <c r="OTX55" s="55"/>
      <c r="OTY55" s="55"/>
      <c r="OTZ55" s="55"/>
      <c r="OUA55" s="55"/>
      <c r="OUB55" s="55"/>
      <c r="OUC55" s="55"/>
      <c r="OUD55" s="55"/>
      <c r="OUE55" s="55"/>
      <c r="OUF55" s="55"/>
      <c r="OUG55" s="55"/>
      <c r="OUH55" s="55"/>
      <c r="OUI55" s="55"/>
      <c r="OUJ55" s="55"/>
      <c r="OUK55" s="55"/>
      <c r="OUL55" s="55"/>
      <c r="OUM55" s="55"/>
      <c r="OUN55" s="55"/>
      <c r="OUO55" s="55"/>
      <c r="OUP55" s="55"/>
      <c r="OUQ55" s="55"/>
      <c r="OUR55" s="55"/>
      <c r="OUS55" s="55"/>
      <c r="OUT55" s="55"/>
      <c r="OUU55" s="55"/>
      <c r="OUV55" s="55"/>
      <c r="OUW55" s="55"/>
      <c r="OUX55" s="55"/>
      <c r="OUY55" s="55"/>
      <c r="OUZ55" s="55"/>
      <c r="OVA55" s="55"/>
      <c r="OVB55" s="55"/>
      <c r="OVC55" s="55"/>
      <c r="OVD55" s="55"/>
      <c r="OVE55" s="55"/>
      <c r="OVF55" s="55"/>
      <c r="OVG55" s="55"/>
      <c r="OVH55" s="55"/>
      <c r="OVI55" s="55"/>
      <c r="OVJ55" s="55"/>
      <c r="OVK55" s="55"/>
      <c r="OVL55" s="55"/>
      <c r="OVM55" s="55"/>
      <c r="OVN55" s="55"/>
      <c r="OVO55" s="55"/>
      <c r="OVP55" s="55"/>
      <c r="OVQ55" s="55"/>
      <c r="OVR55" s="55"/>
      <c r="OVS55" s="55"/>
      <c r="OVT55" s="55"/>
      <c r="OVU55" s="55"/>
      <c r="OVV55" s="55"/>
      <c r="OVW55" s="55"/>
      <c r="OVX55" s="55"/>
      <c r="OVY55" s="55"/>
      <c r="OVZ55" s="55"/>
      <c r="OWA55" s="55"/>
      <c r="OWB55" s="55"/>
      <c r="OWC55" s="55"/>
      <c r="OWD55" s="55"/>
      <c r="OWE55" s="55"/>
      <c r="OWF55" s="55"/>
      <c r="OWG55" s="55"/>
      <c r="OWH55" s="55"/>
      <c r="OWI55" s="55"/>
      <c r="OWJ55" s="55"/>
      <c r="OWK55" s="55"/>
      <c r="OWL55" s="55"/>
      <c r="OWM55" s="55"/>
      <c r="OWN55" s="55"/>
      <c r="OWO55" s="55"/>
      <c r="OWP55" s="55"/>
      <c r="OWQ55" s="55"/>
      <c r="OWR55" s="55"/>
      <c r="OWS55" s="55"/>
      <c r="OWT55" s="55"/>
      <c r="OWU55" s="55"/>
      <c r="OWV55" s="55"/>
      <c r="OWW55" s="55"/>
      <c r="OWX55" s="55"/>
      <c r="OWY55" s="55"/>
      <c r="OWZ55" s="55"/>
      <c r="OXA55" s="55"/>
      <c r="OXB55" s="55"/>
      <c r="OXC55" s="55"/>
      <c r="OXD55" s="55"/>
      <c r="OXE55" s="55"/>
      <c r="OXF55" s="55"/>
      <c r="OXG55" s="55"/>
      <c r="OXH55" s="55"/>
      <c r="OXI55" s="55"/>
      <c r="OXJ55" s="55"/>
      <c r="OXK55" s="55"/>
      <c r="OXL55" s="55"/>
      <c r="OXM55" s="55"/>
      <c r="OXN55" s="55"/>
      <c r="OXO55" s="55"/>
      <c r="OXP55" s="55"/>
      <c r="OXQ55" s="55"/>
      <c r="OXR55" s="55"/>
      <c r="OXS55" s="55"/>
      <c r="OXT55" s="55"/>
      <c r="OXU55" s="55"/>
      <c r="OXV55" s="55"/>
      <c r="OXW55" s="55"/>
      <c r="OXX55" s="55"/>
      <c r="OXY55" s="55"/>
      <c r="OXZ55" s="55"/>
      <c r="OYA55" s="55"/>
      <c r="OYB55" s="55"/>
      <c r="OYC55" s="55"/>
      <c r="OYD55" s="55"/>
      <c r="OYE55" s="55"/>
      <c r="OYF55" s="55"/>
      <c r="OYG55" s="55"/>
      <c r="OYH55" s="55"/>
      <c r="OYI55" s="55"/>
      <c r="OYJ55" s="55"/>
      <c r="OYK55" s="55"/>
      <c r="OYL55" s="55"/>
      <c r="OYM55" s="55"/>
      <c r="OYN55" s="55"/>
      <c r="OYO55" s="55"/>
      <c r="OYP55" s="55"/>
      <c r="OYQ55" s="55"/>
      <c r="OYR55" s="55"/>
      <c r="OYS55" s="55"/>
      <c r="OYT55" s="55"/>
      <c r="OYU55" s="55"/>
      <c r="OYV55" s="55"/>
      <c r="OYW55" s="55"/>
      <c r="OYX55" s="55"/>
      <c r="OYY55" s="55"/>
      <c r="OYZ55" s="55"/>
      <c r="OZA55" s="55"/>
      <c r="OZB55" s="55"/>
      <c r="OZC55" s="55"/>
      <c r="OZD55" s="55"/>
      <c r="OZE55" s="55"/>
      <c r="OZF55" s="55"/>
      <c r="OZG55" s="55"/>
      <c r="OZH55" s="55"/>
      <c r="OZI55" s="55"/>
      <c r="OZJ55" s="55"/>
      <c r="OZK55" s="55"/>
      <c r="OZL55" s="55"/>
      <c r="OZM55" s="55"/>
      <c r="OZN55" s="55"/>
      <c r="OZO55" s="55"/>
      <c r="OZP55" s="55"/>
      <c r="OZQ55" s="55"/>
      <c r="OZR55" s="55"/>
      <c r="OZS55" s="55"/>
      <c r="OZT55" s="55"/>
      <c r="OZU55" s="55"/>
      <c r="OZV55" s="55"/>
      <c r="OZW55" s="55"/>
      <c r="OZX55" s="55"/>
      <c r="OZY55" s="55"/>
      <c r="OZZ55" s="55"/>
      <c r="PAA55" s="55"/>
      <c r="PAB55" s="55"/>
      <c r="PAC55" s="55"/>
      <c r="PAD55" s="55"/>
      <c r="PAE55" s="55"/>
      <c r="PAF55" s="55"/>
      <c r="PAG55" s="55"/>
      <c r="PAH55" s="55"/>
      <c r="PAI55" s="55"/>
      <c r="PAJ55" s="55"/>
      <c r="PAK55" s="55"/>
      <c r="PAL55" s="55"/>
      <c r="PAM55" s="55"/>
      <c r="PAN55" s="55"/>
      <c r="PAO55" s="55"/>
      <c r="PAP55" s="55"/>
      <c r="PAQ55" s="55"/>
      <c r="PAR55" s="55"/>
      <c r="PAS55" s="55"/>
      <c r="PAT55" s="55"/>
      <c r="PAU55" s="55"/>
      <c r="PAV55" s="55"/>
      <c r="PAW55" s="55"/>
      <c r="PAX55" s="55"/>
      <c r="PAY55" s="55"/>
      <c r="PAZ55" s="55"/>
      <c r="PBA55" s="55"/>
      <c r="PBB55" s="55"/>
      <c r="PBC55" s="55"/>
      <c r="PBD55" s="55"/>
      <c r="PBE55" s="55"/>
      <c r="PBF55" s="55"/>
      <c r="PBG55" s="55"/>
      <c r="PBH55" s="55"/>
      <c r="PBI55" s="55"/>
      <c r="PBJ55" s="55"/>
      <c r="PBK55" s="55"/>
      <c r="PBL55" s="55"/>
      <c r="PBM55" s="55"/>
      <c r="PBN55" s="55"/>
      <c r="PBO55" s="55"/>
      <c r="PBP55" s="55"/>
      <c r="PBQ55" s="55"/>
      <c r="PBR55" s="55"/>
      <c r="PBS55" s="55"/>
      <c r="PBT55" s="55"/>
      <c r="PBU55" s="55"/>
      <c r="PBV55" s="55"/>
      <c r="PBW55" s="55"/>
      <c r="PBX55" s="55"/>
      <c r="PBY55" s="55"/>
      <c r="PBZ55" s="55"/>
      <c r="PCA55" s="55"/>
      <c r="PCB55" s="55"/>
      <c r="PCC55" s="55"/>
      <c r="PCD55" s="55"/>
      <c r="PCE55" s="55"/>
      <c r="PCF55" s="55"/>
      <c r="PCG55" s="55"/>
      <c r="PCH55" s="55"/>
      <c r="PCI55" s="55"/>
      <c r="PCJ55" s="55"/>
      <c r="PCK55" s="55"/>
      <c r="PCL55" s="55"/>
      <c r="PCM55" s="55"/>
      <c r="PCN55" s="55"/>
      <c r="PCO55" s="55"/>
      <c r="PCP55" s="55"/>
      <c r="PCQ55" s="55"/>
      <c r="PCR55" s="55"/>
      <c r="PCS55" s="55"/>
      <c r="PCT55" s="55"/>
      <c r="PCU55" s="55"/>
      <c r="PCV55" s="55"/>
      <c r="PCW55" s="55"/>
      <c r="PCX55" s="55"/>
      <c r="PCY55" s="55"/>
      <c r="PCZ55" s="55"/>
      <c r="PDA55" s="55"/>
      <c r="PDB55" s="55"/>
      <c r="PDC55" s="55"/>
      <c r="PDD55" s="55"/>
      <c r="PDE55" s="55"/>
      <c r="PDF55" s="55"/>
      <c r="PDG55" s="55"/>
      <c r="PDH55" s="55"/>
      <c r="PDI55" s="55"/>
      <c r="PDJ55" s="55"/>
      <c r="PDK55" s="55"/>
      <c r="PDL55" s="55"/>
      <c r="PDM55" s="55"/>
      <c r="PDN55" s="55"/>
      <c r="PDO55" s="55"/>
      <c r="PDP55" s="55"/>
      <c r="PDQ55" s="55"/>
      <c r="PDR55" s="55"/>
      <c r="PDS55" s="55"/>
      <c r="PDT55" s="55"/>
      <c r="PDU55" s="55"/>
      <c r="PDV55" s="55"/>
      <c r="PDW55" s="55"/>
      <c r="PDX55" s="55"/>
      <c r="PDY55" s="55"/>
      <c r="PDZ55" s="55"/>
      <c r="PEA55" s="55"/>
      <c r="PEB55" s="55"/>
      <c r="PEC55" s="55"/>
      <c r="PED55" s="55"/>
      <c r="PEE55" s="55"/>
      <c r="PEF55" s="55"/>
      <c r="PEG55" s="55"/>
      <c r="PEH55" s="55"/>
      <c r="PEI55" s="55"/>
      <c r="PEJ55" s="55"/>
      <c r="PEK55" s="55"/>
      <c r="PEL55" s="55"/>
      <c r="PEM55" s="55"/>
      <c r="PEN55" s="55"/>
      <c r="PEO55" s="55"/>
      <c r="PEP55" s="55"/>
      <c r="PEQ55" s="55"/>
      <c r="PER55" s="55"/>
      <c r="PES55" s="55"/>
      <c r="PET55" s="55"/>
      <c r="PEU55" s="55"/>
      <c r="PEV55" s="55"/>
      <c r="PEW55" s="55"/>
      <c r="PEX55" s="55"/>
      <c r="PEY55" s="55"/>
      <c r="PEZ55" s="55"/>
      <c r="PFA55" s="55"/>
      <c r="PFB55" s="55"/>
      <c r="PFC55" s="55"/>
      <c r="PFD55" s="55"/>
      <c r="PFE55" s="55"/>
      <c r="PFF55" s="55"/>
      <c r="PFG55" s="55"/>
      <c r="PFH55" s="55"/>
      <c r="PFI55" s="55"/>
      <c r="PFJ55" s="55"/>
      <c r="PFK55" s="55"/>
      <c r="PFL55" s="55"/>
      <c r="PFM55" s="55"/>
      <c r="PFN55" s="55"/>
      <c r="PFO55" s="55"/>
      <c r="PFP55" s="55"/>
      <c r="PFQ55" s="55"/>
      <c r="PFR55" s="55"/>
      <c r="PFS55" s="55"/>
      <c r="PFT55" s="55"/>
      <c r="PFU55" s="55"/>
      <c r="PFV55" s="55"/>
      <c r="PFW55" s="55"/>
      <c r="PFX55" s="55"/>
      <c r="PFY55" s="55"/>
      <c r="PFZ55" s="55"/>
      <c r="PGA55" s="55"/>
      <c r="PGB55" s="55"/>
      <c r="PGC55" s="55"/>
      <c r="PGD55" s="55"/>
      <c r="PGE55" s="55"/>
      <c r="PGF55" s="55"/>
      <c r="PGG55" s="55"/>
      <c r="PGH55" s="55"/>
      <c r="PGI55" s="55"/>
      <c r="PGJ55" s="55"/>
      <c r="PGK55" s="55"/>
      <c r="PGL55" s="55"/>
      <c r="PGM55" s="55"/>
      <c r="PGN55" s="55"/>
      <c r="PGO55" s="55"/>
      <c r="PGP55" s="55"/>
      <c r="PGQ55" s="55"/>
      <c r="PGR55" s="55"/>
      <c r="PGS55" s="55"/>
      <c r="PGT55" s="55"/>
      <c r="PGU55" s="55"/>
      <c r="PGV55" s="55"/>
      <c r="PGW55" s="55"/>
      <c r="PGX55" s="55"/>
      <c r="PGY55" s="55"/>
      <c r="PGZ55" s="55"/>
      <c r="PHA55" s="55"/>
      <c r="PHB55" s="55"/>
      <c r="PHC55" s="55"/>
      <c r="PHD55" s="55"/>
      <c r="PHE55" s="55"/>
      <c r="PHF55" s="55"/>
      <c r="PHG55" s="55"/>
      <c r="PHH55" s="55"/>
      <c r="PHI55" s="55"/>
      <c r="PHJ55" s="55"/>
      <c r="PHK55" s="55"/>
      <c r="PHL55" s="55"/>
      <c r="PHM55" s="55"/>
      <c r="PHN55" s="55"/>
      <c r="PHO55" s="55"/>
      <c r="PHP55" s="55"/>
      <c r="PHQ55" s="55"/>
      <c r="PHR55" s="55"/>
      <c r="PHS55" s="55"/>
      <c r="PHT55" s="55"/>
      <c r="PHU55" s="55"/>
      <c r="PHV55" s="55"/>
      <c r="PHW55" s="55"/>
      <c r="PHX55" s="55"/>
      <c r="PHY55" s="55"/>
      <c r="PHZ55" s="55"/>
      <c r="PIA55" s="55"/>
      <c r="PIB55" s="55"/>
      <c r="PIC55" s="55"/>
      <c r="PID55" s="55"/>
      <c r="PIE55" s="55"/>
      <c r="PIF55" s="55"/>
      <c r="PIG55" s="55"/>
      <c r="PIH55" s="55"/>
      <c r="PII55" s="55"/>
      <c r="PIJ55" s="55"/>
      <c r="PIK55" s="55"/>
      <c r="PIL55" s="55"/>
      <c r="PIM55" s="55"/>
      <c r="PIN55" s="55"/>
      <c r="PIO55" s="55"/>
      <c r="PIP55" s="55"/>
      <c r="PIQ55" s="55"/>
      <c r="PIR55" s="55"/>
      <c r="PIS55" s="55"/>
      <c r="PIT55" s="55"/>
      <c r="PIU55" s="55"/>
      <c r="PIV55" s="55"/>
      <c r="PIW55" s="55"/>
      <c r="PIX55" s="55"/>
      <c r="PIY55" s="55"/>
      <c r="PIZ55" s="55"/>
      <c r="PJA55" s="55"/>
      <c r="PJB55" s="55"/>
      <c r="PJC55" s="55"/>
      <c r="PJD55" s="55"/>
      <c r="PJE55" s="55"/>
      <c r="PJF55" s="55"/>
      <c r="PJG55" s="55"/>
      <c r="PJH55" s="55"/>
      <c r="PJI55" s="55"/>
      <c r="PJJ55" s="55"/>
      <c r="PJK55" s="55"/>
      <c r="PJL55" s="55"/>
      <c r="PJM55" s="55"/>
      <c r="PJN55" s="55"/>
      <c r="PJO55" s="55"/>
      <c r="PJP55" s="55"/>
      <c r="PJQ55" s="55"/>
      <c r="PJR55" s="55"/>
      <c r="PJS55" s="55"/>
      <c r="PJT55" s="55"/>
      <c r="PJU55" s="55"/>
      <c r="PJV55" s="55"/>
      <c r="PJW55" s="55"/>
      <c r="PJX55" s="55"/>
      <c r="PJY55" s="55"/>
      <c r="PJZ55" s="55"/>
      <c r="PKA55" s="55"/>
      <c r="PKB55" s="55"/>
      <c r="PKC55" s="55"/>
      <c r="PKD55" s="55"/>
      <c r="PKE55" s="55"/>
      <c r="PKF55" s="55"/>
      <c r="PKG55" s="55"/>
      <c r="PKH55" s="55"/>
      <c r="PKI55" s="55"/>
      <c r="PKJ55" s="55"/>
      <c r="PKK55" s="55"/>
      <c r="PKL55" s="55"/>
      <c r="PKM55" s="55"/>
      <c r="PKN55" s="55"/>
      <c r="PKO55" s="55"/>
      <c r="PKP55" s="55"/>
      <c r="PKQ55" s="55"/>
      <c r="PKR55" s="55"/>
      <c r="PKS55" s="55"/>
      <c r="PKT55" s="55"/>
      <c r="PKU55" s="55"/>
      <c r="PKV55" s="55"/>
      <c r="PKW55" s="55"/>
      <c r="PKX55" s="55"/>
      <c r="PKY55" s="55"/>
      <c r="PKZ55" s="55"/>
      <c r="PLA55" s="55"/>
      <c r="PLB55" s="55"/>
      <c r="PLC55" s="55"/>
      <c r="PLD55" s="55"/>
      <c r="PLE55" s="55"/>
      <c r="PLF55" s="55"/>
      <c r="PLG55" s="55"/>
      <c r="PLH55" s="55"/>
      <c r="PLI55" s="55"/>
      <c r="PLJ55" s="55"/>
      <c r="PLK55" s="55"/>
      <c r="PLL55" s="55"/>
      <c r="PLM55" s="55"/>
      <c r="PLN55" s="55"/>
      <c r="PLO55" s="55"/>
      <c r="PLP55" s="55"/>
      <c r="PLQ55" s="55"/>
      <c r="PLR55" s="55"/>
      <c r="PLS55" s="55"/>
      <c r="PLT55" s="55"/>
      <c r="PLU55" s="55"/>
      <c r="PLV55" s="55"/>
      <c r="PLW55" s="55"/>
      <c r="PLX55" s="55"/>
      <c r="PLY55" s="55"/>
      <c r="PLZ55" s="55"/>
      <c r="PMA55" s="55"/>
      <c r="PMB55" s="55"/>
      <c r="PMC55" s="55"/>
      <c r="PMD55" s="55"/>
      <c r="PME55" s="55"/>
      <c r="PMF55" s="55"/>
      <c r="PMG55" s="55"/>
      <c r="PMH55" s="55"/>
      <c r="PMI55" s="55"/>
      <c r="PMJ55" s="55"/>
      <c r="PMK55" s="55"/>
      <c r="PML55" s="55"/>
      <c r="PMM55" s="55"/>
      <c r="PMN55" s="55"/>
      <c r="PMO55" s="55"/>
      <c r="PMP55" s="55"/>
      <c r="PMQ55" s="55"/>
      <c r="PMR55" s="55"/>
      <c r="PMS55" s="55"/>
      <c r="PMT55" s="55"/>
      <c r="PMU55" s="55"/>
      <c r="PMV55" s="55"/>
      <c r="PMW55" s="55"/>
      <c r="PMX55" s="55"/>
      <c r="PMY55" s="55"/>
      <c r="PMZ55" s="55"/>
      <c r="PNA55" s="55"/>
      <c r="PNB55" s="55"/>
      <c r="PNC55" s="55"/>
      <c r="PND55" s="55"/>
      <c r="PNE55" s="55"/>
      <c r="PNF55" s="55"/>
      <c r="PNG55" s="55"/>
      <c r="PNH55" s="55"/>
      <c r="PNI55" s="55"/>
      <c r="PNJ55" s="55"/>
      <c r="PNK55" s="55"/>
      <c r="PNL55" s="55"/>
      <c r="PNM55" s="55"/>
      <c r="PNN55" s="55"/>
      <c r="PNO55" s="55"/>
      <c r="PNP55" s="55"/>
      <c r="PNQ55" s="55"/>
      <c r="PNR55" s="55"/>
      <c r="PNS55" s="55"/>
      <c r="PNT55" s="55"/>
      <c r="PNU55" s="55"/>
      <c r="PNV55" s="55"/>
      <c r="PNW55" s="55"/>
      <c r="PNX55" s="55"/>
      <c r="PNY55" s="55"/>
      <c r="PNZ55" s="55"/>
      <c r="POA55" s="55"/>
      <c r="POB55" s="55"/>
      <c r="POC55" s="55"/>
      <c r="POD55" s="55"/>
      <c r="POE55" s="55"/>
      <c r="POF55" s="55"/>
      <c r="POG55" s="55"/>
      <c r="POH55" s="55"/>
      <c r="POI55" s="55"/>
      <c r="POJ55" s="55"/>
      <c r="POK55" s="55"/>
      <c r="POL55" s="55"/>
      <c r="POM55" s="55"/>
      <c r="PON55" s="55"/>
      <c r="POO55" s="55"/>
      <c r="POP55" s="55"/>
      <c r="POQ55" s="55"/>
      <c r="POR55" s="55"/>
      <c r="POS55" s="55"/>
      <c r="POT55" s="55"/>
      <c r="POU55" s="55"/>
      <c r="POV55" s="55"/>
      <c r="POW55" s="55"/>
      <c r="POX55" s="55"/>
      <c r="POY55" s="55"/>
      <c r="POZ55" s="55"/>
      <c r="PPA55" s="55"/>
      <c r="PPB55" s="55"/>
      <c r="PPC55" s="55"/>
      <c r="PPD55" s="55"/>
      <c r="PPE55" s="55"/>
      <c r="PPF55" s="55"/>
      <c r="PPG55" s="55"/>
      <c r="PPH55" s="55"/>
      <c r="PPI55" s="55"/>
      <c r="PPJ55" s="55"/>
      <c r="PPK55" s="55"/>
      <c r="PPL55" s="55"/>
      <c r="PPM55" s="55"/>
      <c r="PPN55" s="55"/>
      <c r="PPO55" s="55"/>
      <c r="PPP55" s="55"/>
      <c r="PPQ55" s="55"/>
      <c r="PPR55" s="55"/>
      <c r="PPS55" s="55"/>
      <c r="PPT55" s="55"/>
      <c r="PPU55" s="55"/>
      <c r="PPV55" s="55"/>
      <c r="PPW55" s="55"/>
      <c r="PPX55" s="55"/>
      <c r="PPY55" s="55"/>
      <c r="PPZ55" s="55"/>
      <c r="PQA55" s="55"/>
      <c r="PQB55" s="55"/>
      <c r="PQC55" s="55"/>
      <c r="PQD55" s="55"/>
      <c r="PQE55" s="55"/>
      <c r="PQF55" s="55"/>
      <c r="PQG55" s="55"/>
      <c r="PQH55" s="55"/>
      <c r="PQI55" s="55"/>
      <c r="PQJ55" s="55"/>
      <c r="PQK55" s="55"/>
      <c r="PQL55" s="55"/>
      <c r="PQM55" s="55"/>
      <c r="PQN55" s="55"/>
      <c r="PQO55" s="55"/>
      <c r="PQP55" s="55"/>
      <c r="PQQ55" s="55"/>
      <c r="PQR55" s="55"/>
      <c r="PQS55" s="55"/>
      <c r="PQT55" s="55"/>
      <c r="PQU55" s="55"/>
      <c r="PQV55" s="55"/>
      <c r="PQW55" s="55"/>
      <c r="PQX55" s="55"/>
      <c r="PQY55" s="55"/>
      <c r="PQZ55" s="55"/>
      <c r="PRA55" s="55"/>
      <c r="PRB55" s="55"/>
      <c r="PRC55" s="55"/>
      <c r="PRD55" s="55"/>
      <c r="PRE55" s="55"/>
      <c r="PRF55" s="55"/>
      <c r="PRG55" s="55"/>
      <c r="PRH55" s="55"/>
      <c r="PRI55" s="55"/>
      <c r="PRJ55" s="55"/>
      <c r="PRK55" s="55"/>
      <c r="PRL55" s="55"/>
      <c r="PRM55" s="55"/>
      <c r="PRN55" s="55"/>
      <c r="PRO55" s="55"/>
      <c r="PRP55" s="55"/>
      <c r="PRQ55" s="55"/>
      <c r="PRR55" s="55"/>
      <c r="PRS55" s="55"/>
      <c r="PRT55" s="55"/>
      <c r="PRU55" s="55"/>
      <c r="PRV55" s="55"/>
      <c r="PRW55" s="55"/>
      <c r="PRX55" s="55"/>
      <c r="PRY55" s="55"/>
      <c r="PRZ55" s="55"/>
      <c r="PSA55" s="55"/>
      <c r="PSB55" s="55"/>
      <c r="PSC55" s="55"/>
      <c r="PSD55" s="55"/>
      <c r="PSE55" s="55"/>
      <c r="PSF55" s="55"/>
      <c r="PSG55" s="55"/>
      <c r="PSH55" s="55"/>
      <c r="PSI55" s="55"/>
      <c r="PSJ55" s="55"/>
      <c r="PSK55" s="55"/>
      <c r="PSL55" s="55"/>
      <c r="PSM55" s="55"/>
      <c r="PSN55" s="55"/>
      <c r="PSO55" s="55"/>
      <c r="PSP55" s="55"/>
      <c r="PSQ55" s="55"/>
      <c r="PSR55" s="55"/>
      <c r="PSS55" s="55"/>
      <c r="PST55" s="55"/>
      <c r="PSU55" s="55"/>
      <c r="PSV55" s="55"/>
      <c r="PSW55" s="55"/>
      <c r="PSX55" s="55"/>
      <c r="PSY55" s="55"/>
      <c r="PSZ55" s="55"/>
      <c r="PTA55" s="55"/>
      <c r="PTB55" s="55"/>
      <c r="PTC55" s="55"/>
      <c r="PTD55" s="55"/>
      <c r="PTE55" s="55"/>
      <c r="PTF55" s="55"/>
      <c r="PTG55" s="55"/>
      <c r="PTH55" s="55"/>
      <c r="PTI55" s="55"/>
      <c r="PTJ55" s="55"/>
      <c r="PTK55" s="55"/>
      <c r="PTL55" s="55"/>
      <c r="PTM55" s="55"/>
      <c r="PTN55" s="55"/>
      <c r="PTO55" s="55"/>
      <c r="PTP55" s="55"/>
      <c r="PTQ55" s="55"/>
      <c r="PTR55" s="55"/>
      <c r="PTS55" s="55"/>
      <c r="PTT55" s="55"/>
      <c r="PTU55" s="55"/>
      <c r="PTV55" s="55"/>
      <c r="PTW55" s="55"/>
      <c r="PTX55" s="55"/>
      <c r="PTY55" s="55"/>
      <c r="PTZ55" s="55"/>
      <c r="PUA55" s="55"/>
      <c r="PUB55" s="55"/>
      <c r="PUC55" s="55"/>
      <c r="PUD55" s="55"/>
      <c r="PUE55" s="55"/>
      <c r="PUF55" s="55"/>
      <c r="PUG55" s="55"/>
      <c r="PUH55" s="55"/>
      <c r="PUI55" s="55"/>
      <c r="PUJ55" s="55"/>
      <c r="PUK55" s="55"/>
      <c r="PUL55" s="55"/>
      <c r="PUM55" s="55"/>
      <c r="PUN55" s="55"/>
      <c r="PUO55" s="55"/>
      <c r="PUP55" s="55"/>
      <c r="PUQ55" s="55"/>
      <c r="PUR55" s="55"/>
      <c r="PUS55" s="55"/>
      <c r="PUT55" s="55"/>
      <c r="PUU55" s="55"/>
      <c r="PUV55" s="55"/>
      <c r="PUW55" s="55"/>
      <c r="PUX55" s="55"/>
      <c r="PUY55" s="55"/>
      <c r="PUZ55" s="55"/>
      <c r="PVA55" s="55"/>
      <c r="PVB55" s="55"/>
      <c r="PVC55" s="55"/>
      <c r="PVD55" s="55"/>
      <c r="PVE55" s="55"/>
      <c r="PVF55" s="55"/>
      <c r="PVG55" s="55"/>
      <c r="PVH55" s="55"/>
      <c r="PVI55" s="55"/>
      <c r="PVJ55" s="55"/>
      <c r="PVK55" s="55"/>
      <c r="PVL55" s="55"/>
      <c r="PVM55" s="55"/>
      <c r="PVN55" s="55"/>
      <c r="PVO55" s="55"/>
      <c r="PVP55" s="55"/>
      <c r="PVQ55" s="55"/>
      <c r="PVR55" s="55"/>
      <c r="PVS55" s="55"/>
      <c r="PVT55" s="55"/>
      <c r="PVU55" s="55"/>
      <c r="PVV55" s="55"/>
      <c r="PVW55" s="55"/>
      <c r="PVX55" s="55"/>
      <c r="PVY55" s="55"/>
      <c r="PVZ55" s="55"/>
      <c r="PWA55" s="55"/>
      <c r="PWB55" s="55"/>
      <c r="PWC55" s="55"/>
      <c r="PWD55" s="55"/>
      <c r="PWE55" s="55"/>
      <c r="PWF55" s="55"/>
      <c r="PWG55" s="55"/>
      <c r="PWH55" s="55"/>
      <c r="PWI55" s="55"/>
      <c r="PWJ55" s="55"/>
      <c r="PWK55" s="55"/>
      <c r="PWL55" s="55"/>
      <c r="PWM55" s="55"/>
      <c r="PWN55" s="55"/>
      <c r="PWO55" s="55"/>
      <c r="PWP55" s="55"/>
      <c r="PWQ55" s="55"/>
      <c r="PWR55" s="55"/>
      <c r="PWS55" s="55"/>
      <c r="PWT55" s="55"/>
      <c r="PWU55" s="55"/>
      <c r="PWV55" s="55"/>
      <c r="PWW55" s="55"/>
      <c r="PWX55" s="55"/>
      <c r="PWY55" s="55"/>
      <c r="PWZ55" s="55"/>
      <c r="PXA55" s="55"/>
      <c r="PXB55" s="55"/>
      <c r="PXC55" s="55"/>
      <c r="PXD55" s="55"/>
      <c r="PXE55" s="55"/>
      <c r="PXF55" s="55"/>
      <c r="PXG55" s="55"/>
      <c r="PXH55" s="55"/>
      <c r="PXI55" s="55"/>
      <c r="PXJ55" s="55"/>
      <c r="PXK55" s="55"/>
      <c r="PXL55" s="55"/>
      <c r="PXM55" s="55"/>
      <c r="PXN55" s="55"/>
      <c r="PXO55" s="55"/>
      <c r="PXP55" s="55"/>
      <c r="PXQ55" s="55"/>
      <c r="PXR55" s="55"/>
      <c r="PXS55" s="55"/>
      <c r="PXT55" s="55"/>
      <c r="PXU55" s="55"/>
      <c r="PXV55" s="55"/>
      <c r="PXW55" s="55"/>
      <c r="PXX55" s="55"/>
      <c r="PXY55" s="55"/>
      <c r="PXZ55" s="55"/>
      <c r="PYA55" s="55"/>
      <c r="PYB55" s="55"/>
      <c r="PYC55" s="55"/>
      <c r="PYD55" s="55"/>
      <c r="PYE55" s="55"/>
      <c r="PYF55" s="55"/>
      <c r="PYG55" s="55"/>
      <c r="PYH55" s="55"/>
      <c r="PYI55" s="55"/>
      <c r="PYJ55" s="55"/>
      <c r="PYK55" s="55"/>
      <c r="PYL55" s="55"/>
      <c r="PYM55" s="55"/>
      <c r="PYN55" s="55"/>
      <c r="PYO55" s="55"/>
      <c r="PYP55" s="55"/>
      <c r="PYQ55" s="55"/>
      <c r="PYR55" s="55"/>
      <c r="PYS55" s="55"/>
      <c r="PYT55" s="55"/>
      <c r="PYU55" s="55"/>
      <c r="PYV55" s="55"/>
      <c r="PYW55" s="55"/>
      <c r="PYX55" s="55"/>
      <c r="PYY55" s="55"/>
      <c r="PYZ55" s="55"/>
      <c r="PZA55" s="55"/>
      <c r="PZB55" s="55"/>
      <c r="PZC55" s="55"/>
      <c r="PZD55" s="55"/>
      <c r="PZE55" s="55"/>
      <c r="PZF55" s="55"/>
      <c r="PZG55" s="55"/>
      <c r="PZH55" s="55"/>
      <c r="PZI55" s="55"/>
      <c r="PZJ55" s="55"/>
      <c r="PZK55" s="55"/>
      <c r="PZL55" s="55"/>
      <c r="PZM55" s="55"/>
      <c r="PZN55" s="55"/>
      <c r="PZO55" s="55"/>
      <c r="PZP55" s="55"/>
      <c r="PZQ55" s="55"/>
      <c r="PZR55" s="55"/>
      <c r="PZS55" s="55"/>
      <c r="PZT55" s="55"/>
      <c r="PZU55" s="55"/>
      <c r="PZV55" s="55"/>
      <c r="PZW55" s="55"/>
      <c r="PZX55" s="55"/>
      <c r="PZY55" s="55"/>
      <c r="PZZ55" s="55"/>
      <c r="QAA55" s="55"/>
      <c r="QAB55" s="55"/>
      <c r="QAC55" s="55"/>
      <c r="QAD55" s="55"/>
      <c r="QAE55" s="55"/>
      <c r="QAF55" s="55"/>
      <c r="QAG55" s="55"/>
      <c r="QAH55" s="55"/>
      <c r="QAI55" s="55"/>
      <c r="QAJ55" s="55"/>
      <c r="QAK55" s="55"/>
      <c r="QAL55" s="55"/>
      <c r="QAM55" s="55"/>
      <c r="QAN55" s="55"/>
      <c r="QAO55" s="55"/>
      <c r="QAP55" s="55"/>
      <c r="QAQ55" s="55"/>
      <c r="QAR55" s="55"/>
      <c r="QAS55" s="55"/>
      <c r="QAT55" s="55"/>
      <c r="QAU55" s="55"/>
      <c r="QAV55" s="55"/>
      <c r="QAW55" s="55"/>
      <c r="QAX55" s="55"/>
      <c r="QAY55" s="55"/>
      <c r="QAZ55" s="55"/>
      <c r="QBA55" s="55"/>
      <c r="QBB55" s="55"/>
      <c r="QBC55" s="55"/>
      <c r="QBD55" s="55"/>
      <c r="QBE55" s="55"/>
      <c r="QBF55" s="55"/>
      <c r="QBG55" s="55"/>
      <c r="QBH55" s="55"/>
      <c r="QBI55" s="55"/>
      <c r="QBJ55" s="55"/>
      <c r="QBK55" s="55"/>
      <c r="QBL55" s="55"/>
      <c r="QBM55" s="55"/>
      <c r="QBN55" s="55"/>
      <c r="QBO55" s="55"/>
      <c r="QBP55" s="55"/>
      <c r="QBQ55" s="55"/>
      <c r="QBR55" s="55"/>
      <c r="QBS55" s="55"/>
      <c r="QBT55" s="55"/>
      <c r="QBU55" s="55"/>
      <c r="QBV55" s="55"/>
      <c r="QBW55" s="55"/>
      <c r="QBX55" s="55"/>
      <c r="QBY55" s="55"/>
      <c r="QBZ55" s="55"/>
      <c r="QCA55" s="55"/>
      <c r="QCB55" s="55"/>
      <c r="QCC55" s="55"/>
      <c r="QCD55" s="55"/>
      <c r="QCE55" s="55"/>
      <c r="QCF55" s="55"/>
      <c r="QCG55" s="55"/>
      <c r="QCH55" s="55"/>
      <c r="QCI55" s="55"/>
      <c r="QCJ55" s="55"/>
      <c r="QCK55" s="55"/>
      <c r="QCL55" s="55"/>
      <c r="QCM55" s="55"/>
      <c r="QCN55" s="55"/>
      <c r="QCO55" s="55"/>
      <c r="QCP55" s="55"/>
      <c r="QCQ55" s="55"/>
      <c r="QCR55" s="55"/>
      <c r="QCS55" s="55"/>
      <c r="QCT55" s="55"/>
      <c r="QCU55" s="55"/>
      <c r="QCV55" s="55"/>
      <c r="QCW55" s="55"/>
      <c r="QCX55" s="55"/>
      <c r="QCY55" s="55"/>
      <c r="QCZ55" s="55"/>
      <c r="QDA55" s="55"/>
      <c r="QDB55" s="55"/>
      <c r="QDC55" s="55"/>
      <c r="QDD55" s="55"/>
      <c r="QDE55" s="55"/>
      <c r="QDF55" s="55"/>
      <c r="QDG55" s="55"/>
      <c r="QDH55" s="55"/>
      <c r="QDI55" s="55"/>
      <c r="QDJ55" s="55"/>
      <c r="QDK55" s="55"/>
      <c r="QDL55" s="55"/>
      <c r="QDM55" s="55"/>
      <c r="QDN55" s="55"/>
      <c r="QDO55" s="55"/>
      <c r="QDP55" s="55"/>
      <c r="QDQ55" s="55"/>
      <c r="QDR55" s="55"/>
      <c r="QDS55" s="55"/>
      <c r="QDT55" s="55"/>
      <c r="QDU55" s="55"/>
      <c r="QDV55" s="55"/>
      <c r="QDW55" s="55"/>
      <c r="QDX55" s="55"/>
      <c r="QDY55" s="55"/>
      <c r="QDZ55" s="55"/>
      <c r="QEA55" s="55"/>
      <c r="QEB55" s="55"/>
      <c r="QEC55" s="55"/>
      <c r="QED55" s="55"/>
      <c r="QEE55" s="55"/>
      <c r="QEF55" s="55"/>
      <c r="QEG55" s="55"/>
      <c r="QEH55" s="55"/>
      <c r="QEI55" s="55"/>
      <c r="QEJ55" s="55"/>
      <c r="QEK55" s="55"/>
      <c r="QEL55" s="55"/>
      <c r="QEM55" s="55"/>
      <c r="QEN55" s="55"/>
      <c r="QEO55" s="55"/>
      <c r="QEP55" s="55"/>
      <c r="QEQ55" s="55"/>
      <c r="QER55" s="55"/>
      <c r="QES55" s="55"/>
      <c r="QET55" s="55"/>
      <c r="QEU55" s="55"/>
      <c r="QEV55" s="55"/>
      <c r="QEW55" s="55"/>
      <c r="QEX55" s="55"/>
      <c r="QEY55" s="55"/>
      <c r="QEZ55" s="55"/>
      <c r="QFA55" s="55"/>
      <c r="QFB55" s="55"/>
      <c r="QFC55" s="55"/>
      <c r="QFD55" s="55"/>
      <c r="QFE55" s="55"/>
      <c r="QFF55" s="55"/>
      <c r="QFG55" s="55"/>
      <c r="QFH55" s="55"/>
      <c r="QFI55" s="55"/>
      <c r="QFJ55" s="55"/>
      <c r="QFK55" s="55"/>
      <c r="QFL55" s="55"/>
      <c r="QFM55" s="55"/>
      <c r="QFN55" s="55"/>
      <c r="QFO55" s="55"/>
      <c r="QFP55" s="55"/>
      <c r="QFQ55" s="55"/>
      <c r="QFR55" s="55"/>
      <c r="QFS55" s="55"/>
      <c r="QFT55" s="55"/>
      <c r="QFU55" s="55"/>
      <c r="QFV55" s="55"/>
      <c r="QFW55" s="55"/>
      <c r="QFX55" s="55"/>
      <c r="QFY55" s="55"/>
      <c r="QFZ55" s="55"/>
      <c r="QGA55" s="55"/>
      <c r="QGB55" s="55"/>
      <c r="QGC55" s="55"/>
      <c r="QGD55" s="55"/>
      <c r="QGE55" s="55"/>
      <c r="QGF55" s="55"/>
      <c r="QGG55" s="55"/>
      <c r="QGH55" s="55"/>
      <c r="QGI55" s="55"/>
      <c r="QGJ55" s="55"/>
      <c r="QGK55" s="55"/>
      <c r="QGL55" s="55"/>
      <c r="QGM55" s="55"/>
      <c r="QGN55" s="55"/>
      <c r="QGO55" s="55"/>
      <c r="QGP55" s="55"/>
      <c r="QGQ55" s="55"/>
      <c r="QGR55" s="55"/>
      <c r="QGS55" s="55"/>
      <c r="QGT55" s="55"/>
      <c r="QGU55" s="55"/>
      <c r="QGV55" s="55"/>
      <c r="QGW55" s="55"/>
      <c r="QGX55" s="55"/>
      <c r="QGY55" s="55"/>
      <c r="QGZ55" s="55"/>
      <c r="QHA55" s="55"/>
      <c r="QHB55" s="55"/>
      <c r="QHC55" s="55"/>
      <c r="QHD55" s="55"/>
      <c r="QHE55" s="55"/>
      <c r="QHF55" s="55"/>
      <c r="QHG55" s="55"/>
      <c r="QHH55" s="55"/>
      <c r="QHI55" s="55"/>
      <c r="QHJ55" s="55"/>
      <c r="QHK55" s="55"/>
      <c r="QHL55" s="55"/>
      <c r="QHM55" s="55"/>
      <c r="QHN55" s="55"/>
      <c r="QHO55" s="55"/>
      <c r="QHP55" s="55"/>
      <c r="QHQ55" s="55"/>
      <c r="QHR55" s="55"/>
      <c r="QHS55" s="55"/>
      <c r="QHT55" s="55"/>
      <c r="QHU55" s="55"/>
      <c r="QHV55" s="55"/>
      <c r="QHW55" s="55"/>
      <c r="QHX55" s="55"/>
      <c r="QHY55" s="55"/>
      <c r="QHZ55" s="55"/>
      <c r="QIA55" s="55"/>
      <c r="QIB55" s="55"/>
      <c r="QIC55" s="55"/>
      <c r="QID55" s="55"/>
      <c r="QIE55" s="55"/>
      <c r="QIF55" s="55"/>
      <c r="QIG55" s="55"/>
      <c r="QIH55" s="55"/>
      <c r="QII55" s="55"/>
      <c r="QIJ55" s="55"/>
      <c r="QIK55" s="55"/>
      <c r="QIL55" s="55"/>
      <c r="QIM55" s="55"/>
      <c r="QIN55" s="55"/>
      <c r="QIO55" s="55"/>
      <c r="QIP55" s="55"/>
      <c r="QIQ55" s="55"/>
      <c r="QIR55" s="55"/>
      <c r="QIS55" s="55"/>
      <c r="QIT55" s="55"/>
      <c r="QIU55" s="55"/>
      <c r="QIV55" s="55"/>
      <c r="QIW55" s="55"/>
      <c r="QIX55" s="55"/>
      <c r="QIY55" s="55"/>
      <c r="QIZ55" s="55"/>
      <c r="QJA55" s="55"/>
      <c r="QJB55" s="55"/>
      <c r="QJC55" s="55"/>
      <c r="QJD55" s="55"/>
      <c r="QJE55" s="55"/>
      <c r="QJF55" s="55"/>
      <c r="QJG55" s="55"/>
      <c r="QJH55" s="55"/>
      <c r="QJI55" s="55"/>
      <c r="QJJ55" s="55"/>
      <c r="QJK55" s="55"/>
      <c r="QJL55" s="55"/>
      <c r="QJM55" s="55"/>
      <c r="QJN55" s="55"/>
      <c r="QJO55" s="55"/>
      <c r="QJP55" s="55"/>
      <c r="QJQ55" s="55"/>
      <c r="QJR55" s="55"/>
      <c r="QJS55" s="55"/>
      <c r="QJT55" s="55"/>
      <c r="QJU55" s="55"/>
      <c r="QJV55" s="55"/>
      <c r="QJW55" s="55"/>
      <c r="QJX55" s="55"/>
      <c r="QJY55" s="55"/>
      <c r="QJZ55" s="55"/>
      <c r="QKA55" s="55"/>
      <c r="QKB55" s="55"/>
      <c r="QKC55" s="55"/>
      <c r="QKD55" s="55"/>
      <c r="QKE55" s="55"/>
      <c r="QKF55" s="55"/>
      <c r="QKG55" s="55"/>
      <c r="QKH55" s="55"/>
      <c r="QKI55" s="55"/>
      <c r="QKJ55" s="55"/>
      <c r="QKK55" s="55"/>
      <c r="QKL55" s="55"/>
      <c r="QKM55" s="55"/>
      <c r="QKN55" s="55"/>
      <c r="QKO55" s="55"/>
      <c r="QKP55" s="55"/>
      <c r="QKQ55" s="55"/>
      <c r="QKR55" s="55"/>
      <c r="QKS55" s="55"/>
      <c r="QKT55" s="55"/>
      <c r="QKU55" s="55"/>
      <c r="QKV55" s="55"/>
      <c r="QKW55" s="55"/>
      <c r="QKX55" s="55"/>
      <c r="QKY55" s="55"/>
      <c r="QKZ55" s="55"/>
      <c r="QLA55" s="55"/>
      <c r="QLB55" s="55"/>
      <c r="QLC55" s="55"/>
      <c r="QLD55" s="55"/>
      <c r="QLE55" s="55"/>
      <c r="QLF55" s="55"/>
      <c r="QLG55" s="55"/>
      <c r="QLH55" s="55"/>
      <c r="QLI55" s="55"/>
      <c r="QLJ55" s="55"/>
      <c r="QLK55" s="55"/>
      <c r="QLL55" s="55"/>
      <c r="QLM55" s="55"/>
      <c r="QLN55" s="55"/>
      <c r="QLO55" s="55"/>
      <c r="QLP55" s="55"/>
      <c r="QLQ55" s="55"/>
      <c r="QLR55" s="55"/>
      <c r="QLS55" s="55"/>
      <c r="QLT55" s="55"/>
      <c r="QLU55" s="55"/>
      <c r="QLV55" s="55"/>
      <c r="QLW55" s="55"/>
      <c r="QLX55" s="55"/>
      <c r="QLY55" s="55"/>
      <c r="QLZ55" s="55"/>
      <c r="QMA55" s="55"/>
      <c r="QMB55" s="55"/>
      <c r="QMC55" s="55"/>
      <c r="QMD55" s="55"/>
      <c r="QME55" s="55"/>
      <c r="QMF55" s="55"/>
      <c r="QMG55" s="55"/>
      <c r="QMH55" s="55"/>
      <c r="QMI55" s="55"/>
      <c r="QMJ55" s="55"/>
      <c r="QMK55" s="55"/>
      <c r="QML55" s="55"/>
      <c r="QMM55" s="55"/>
      <c r="QMN55" s="55"/>
      <c r="QMO55" s="55"/>
      <c r="QMP55" s="55"/>
      <c r="QMQ55" s="55"/>
      <c r="QMR55" s="55"/>
      <c r="QMS55" s="55"/>
      <c r="QMT55" s="55"/>
      <c r="QMU55" s="55"/>
      <c r="QMV55" s="55"/>
      <c r="QMW55" s="55"/>
      <c r="QMX55" s="55"/>
      <c r="QMY55" s="55"/>
      <c r="QMZ55" s="55"/>
      <c r="QNA55" s="55"/>
      <c r="QNB55" s="55"/>
      <c r="QNC55" s="55"/>
      <c r="QND55" s="55"/>
      <c r="QNE55" s="55"/>
      <c r="QNF55" s="55"/>
      <c r="QNG55" s="55"/>
      <c r="QNH55" s="55"/>
      <c r="QNI55" s="55"/>
      <c r="QNJ55" s="55"/>
      <c r="QNK55" s="55"/>
      <c r="QNL55" s="55"/>
      <c r="QNM55" s="55"/>
      <c r="QNN55" s="55"/>
      <c r="QNO55" s="55"/>
      <c r="QNP55" s="55"/>
      <c r="QNQ55" s="55"/>
      <c r="QNR55" s="55"/>
      <c r="QNS55" s="55"/>
      <c r="QNT55" s="55"/>
      <c r="QNU55" s="55"/>
      <c r="QNV55" s="55"/>
      <c r="QNW55" s="55"/>
      <c r="QNX55" s="55"/>
      <c r="QNY55" s="55"/>
      <c r="QNZ55" s="55"/>
      <c r="QOA55" s="55"/>
      <c r="QOB55" s="55"/>
      <c r="QOC55" s="55"/>
      <c r="QOD55" s="55"/>
      <c r="QOE55" s="55"/>
      <c r="QOF55" s="55"/>
      <c r="QOG55" s="55"/>
      <c r="QOH55" s="55"/>
      <c r="QOI55" s="55"/>
      <c r="QOJ55" s="55"/>
      <c r="QOK55" s="55"/>
      <c r="QOL55" s="55"/>
      <c r="QOM55" s="55"/>
      <c r="QON55" s="55"/>
      <c r="QOO55" s="55"/>
      <c r="QOP55" s="55"/>
      <c r="QOQ55" s="55"/>
      <c r="QOR55" s="55"/>
      <c r="QOS55" s="55"/>
      <c r="QOT55" s="55"/>
      <c r="QOU55" s="55"/>
      <c r="QOV55" s="55"/>
      <c r="QOW55" s="55"/>
      <c r="QOX55" s="55"/>
      <c r="QOY55" s="55"/>
      <c r="QOZ55" s="55"/>
      <c r="QPA55" s="55"/>
      <c r="QPB55" s="55"/>
      <c r="QPC55" s="55"/>
      <c r="QPD55" s="55"/>
      <c r="QPE55" s="55"/>
      <c r="QPF55" s="55"/>
      <c r="QPG55" s="55"/>
      <c r="QPH55" s="55"/>
      <c r="QPI55" s="55"/>
      <c r="QPJ55" s="55"/>
      <c r="QPK55" s="55"/>
      <c r="QPL55" s="55"/>
      <c r="QPM55" s="55"/>
      <c r="QPN55" s="55"/>
      <c r="QPO55" s="55"/>
      <c r="QPP55" s="55"/>
      <c r="QPQ55" s="55"/>
      <c r="QPR55" s="55"/>
      <c r="QPS55" s="55"/>
      <c r="QPT55" s="55"/>
      <c r="QPU55" s="55"/>
      <c r="QPV55" s="55"/>
      <c r="QPW55" s="55"/>
      <c r="QPX55" s="55"/>
      <c r="QPY55" s="55"/>
      <c r="QPZ55" s="55"/>
      <c r="QQA55" s="55"/>
      <c r="QQB55" s="55"/>
      <c r="QQC55" s="55"/>
      <c r="QQD55" s="55"/>
      <c r="QQE55" s="55"/>
      <c r="QQF55" s="55"/>
      <c r="QQG55" s="55"/>
      <c r="QQH55" s="55"/>
      <c r="QQI55" s="55"/>
      <c r="QQJ55" s="55"/>
      <c r="QQK55" s="55"/>
      <c r="QQL55" s="55"/>
      <c r="QQM55" s="55"/>
      <c r="QQN55" s="55"/>
      <c r="QQO55" s="55"/>
      <c r="QQP55" s="55"/>
      <c r="QQQ55" s="55"/>
      <c r="QQR55" s="55"/>
      <c r="QQS55" s="55"/>
      <c r="QQT55" s="55"/>
      <c r="QQU55" s="55"/>
      <c r="QQV55" s="55"/>
      <c r="QQW55" s="55"/>
      <c r="QQX55" s="55"/>
      <c r="QQY55" s="55"/>
      <c r="QQZ55" s="55"/>
      <c r="QRA55" s="55"/>
      <c r="QRB55" s="55"/>
      <c r="QRC55" s="55"/>
      <c r="QRD55" s="55"/>
      <c r="QRE55" s="55"/>
      <c r="QRF55" s="55"/>
      <c r="QRG55" s="55"/>
      <c r="QRH55" s="55"/>
      <c r="QRI55" s="55"/>
      <c r="QRJ55" s="55"/>
      <c r="QRK55" s="55"/>
      <c r="QRL55" s="55"/>
      <c r="QRM55" s="55"/>
      <c r="QRN55" s="55"/>
      <c r="QRO55" s="55"/>
      <c r="QRP55" s="55"/>
      <c r="QRQ55" s="55"/>
      <c r="QRR55" s="55"/>
      <c r="QRS55" s="55"/>
      <c r="QRT55" s="55"/>
      <c r="QRU55" s="55"/>
      <c r="QRV55" s="55"/>
      <c r="QRW55" s="55"/>
      <c r="QRX55" s="55"/>
      <c r="QRY55" s="55"/>
      <c r="QRZ55" s="55"/>
      <c r="QSA55" s="55"/>
      <c r="QSB55" s="55"/>
      <c r="QSC55" s="55"/>
      <c r="QSD55" s="55"/>
      <c r="QSE55" s="55"/>
      <c r="QSF55" s="55"/>
      <c r="QSG55" s="55"/>
      <c r="QSH55" s="55"/>
      <c r="QSI55" s="55"/>
      <c r="QSJ55" s="55"/>
      <c r="QSK55" s="55"/>
      <c r="QSL55" s="55"/>
      <c r="QSM55" s="55"/>
      <c r="QSN55" s="55"/>
      <c r="QSO55" s="55"/>
      <c r="QSP55" s="55"/>
      <c r="QSQ55" s="55"/>
      <c r="QSR55" s="55"/>
      <c r="QSS55" s="55"/>
      <c r="QST55" s="55"/>
      <c r="QSU55" s="55"/>
      <c r="QSV55" s="55"/>
      <c r="QSW55" s="55"/>
      <c r="QSX55" s="55"/>
      <c r="QSY55" s="55"/>
      <c r="QSZ55" s="55"/>
      <c r="QTA55" s="55"/>
      <c r="QTB55" s="55"/>
      <c r="QTC55" s="55"/>
      <c r="QTD55" s="55"/>
      <c r="QTE55" s="55"/>
      <c r="QTF55" s="55"/>
      <c r="QTG55" s="55"/>
      <c r="QTH55" s="55"/>
      <c r="QTI55" s="55"/>
      <c r="QTJ55" s="55"/>
      <c r="QTK55" s="55"/>
      <c r="QTL55" s="55"/>
      <c r="QTM55" s="55"/>
      <c r="QTN55" s="55"/>
      <c r="QTO55" s="55"/>
      <c r="QTP55" s="55"/>
      <c r="QTQ55" s="55"/>
      <c r="QTR55" s="55"/>
      <c r="QTS55" s="55"/>
      <c r="QTT55" s="55"/>
      <c r="QTU55" s="55"/>
      <c r="QTV55" s="55"/>
      <c r="QTW55" s="55"/>
      <c r="QTX55" s="55"/>
      <c r="QTY55" s="55"/>
      <c r="QTZ55" s="55"/>
      <c r="QUA55" s="55"/>
      <c r="QUB55" s="55"/>
      <c r="QUC55" s="55"/>
      <c r="QUD55" s="55"/>
      <c r="QUE55" s="55"/>
      <c r="QUF55" s="55"/>
      <c r="QUG55" s="55"/>
      <c r="QUH55" s="55"/>
      <c r="QUI55" s="55"/>
      <c r="QUJ55" s="55"/>
      <c r="QUK55" s="55"/>
      <c r="QUL55" s="55"/>
      <c r="QUM55" s="55"/>
      <c r="QUN55" s="55"/>
      <c r="QUO55" s="55"/>
      <c r="QUP55" s="55"/>
      <c r="QUQ55" s="55"/>
      <c r="QUR55" s="55"/>
      <c r="QUS55" s="55"/>
      <c r="QUT55" s="55"/>
      <c r="QUU55" s="55"/>
      <c r="QUV55" s="55"/>
      <c r="QUW55" s="55"/>
      <c r="QUX55" s="55"/>
      <c r="QUY55" s="55"/>
      <c r="QUZ55" s="55"/>
      <c r="QVA55" s="55"/>
      <c r="QVB55" s="55"/>
      <c r="QVC55" s="55"/>
      <c r="QVD55" s="55"/>
      <c r="QVE55" s="55"/>
      <c r="QVF55" s="55"/>
      <c r="QVG55" s="55"/>
      <c r="QVH55" s="55"/>
      <c r="QVI55" s="55"/>
      <c r="QVJ55" s="55"/>
      <c r="QVK55" s="55"/>
      <c r="QVL55" s="55"/>
      <c r="QVM55" s="55"/>
      <c r="QVN55" s="55"/>
      <c r="QVO55" s="55"/>
      <c r="QVP55" s="55"/>
      <c r="QVQ55" s="55"/>
      <c r="QVR55" s="55"/>
      <c r="QVS55" s="55"/>
      <c r="QVT55" s="55"/>
      <c r="QVU55" s="55"/>
      <c r="QVV55" s="55"/>
      <c r="QVW55" s="55"/>
      <c r="QVX55" s="55"/>
      <c r="QVY55" s="55"/>
      <c r="QVZ55" s="55"/>
      <c r="QWA55" s="55"/>
      <c r="QWB55" s="55"/>
      <c r="QWC55" s="55"/>
      <c r="QWD55" s="55"/>
      <c r="QWE55" s="55"/>
      <c r="QWF55" s="55"/>
      <c r="QWG55" s="55"/>
      <c r="QWH55" s="55"/>
      <c r="QWI55" s="55"/>
      <c r="QWJ55" s="55"/>
      <c r="QWK55" s="55"/>
      <c r="QWL55" s="55"/>
      <c r="QWM55" s="55"/>
      <c r="QWN55" s="55"/>
      <c r="QWO55" s="55"/>
      <c r="QWP55" s="55"/>
      <c r="QWQ55" s="55"/>
      <c r="QWR55" s="55"/>
      <c r="QWS55" s="55"/>
      <c r="QWT55" s="55"/>
      <c r="QWU55" s="55"/>
      <c r="QWV55" s="55"/>
      <c r="QWW55" s="55"/>
      <c r="QWX55" s="55"/>
      <c r="QWY55" s="55"/>
      <c r="QWZ55" s="55"/>
      <c r="QXA55" s="55"/>
      <c r="QXB55" s="55"/>
      <c r="QXC55" s="55"/>
      <c r="QXD55" s="55"/>
      <c r="QXE55" s="55"/>
      <c r="QXF55" s="55"/>
      <c r="QXG55" s="55"/>
      <c r="QXH55" s="55"/>
      <c r="QXI55" s="55"/>
      <c r="QXJ55" s="55"/>
      <c r="QXK55" s="55"/>
      <c r="QXL55" s="55"/>
      <c r="QXM55" s="55"/>
      <c r="QXN55" s="55"/>
      <c r="QXO55" s="55"/>
      <c r="QXP55" s="55"/>
      <c r="QXQ55" s="55"/>
      <c r="QXR55" s="55"/>
      <c r="QXS55" s="55"/>
      <c r="QXT55" s="55"/>
      <c r="QXU55" s="55"/>
      <c r="QXV55" s="55"/>
      <c r="QXW55" s="55"/>
      <c r="QXX55" s="55"/>
      <c r="QXY55" s="55"/>
      <c r="QXZ55" s="55"/>
      <c r="QYA55" s="55"/>
      <c r="QYB55" s="55"/>
      <c r="QYC55" s="55"/>
      <c r="QYD55" s="55"/>
      <c r="QYE55" s="55"/>
      <c r="QYF55" s="55"/>
      <c r="QYG55" s="55"/>
      <c r="QYH55" s="55"/>
      <c r="QYI55" s="55"/>
      <c r="QYJ55" s="55"/>
      <c r="QYK55" s="55"/>
      <c r="QYL55" s="55"/>
      <c r="QYM55" s="55"/>
      <c r="QYN55" s="55"/>
      <c r="QYO55" s="55"/>
      <c r="QYP55" s="55"/>
      <c r="QYQ55" s="55"/>
      <c r="QYR55" s="55"/>
      <c r="QYS55" s="55"/>
      <c r="QYT55" s="55"/>
      <c r="QYU55" s="55"/>
      <c r="QYV55" s="55"/>
      <c r="QYW55" s="55"/>
      <c r="QYX55" s="55"/>
      <c r="QYY55" s="55"/>
      <c r="QYZ55" s="55"/>
      <c r="QZA55" s="55"/>
      <c r="QZB55" s="55"/>
      <c r="QZC55" s="55"/>
      <c r="QZD55" s="55"/>
      <c r="QZE55" s="55"/>
      <c r="QZF55" s="55"/>
      <c r="QZG55" s="55"/>
      <c r="QZH55" s="55"/>
      <c r="QZI55" s="55"/>
      <c r="QZJ55" s="55"/>
      <c r="QZK55" s="55"/>
      <c r="QZL55" s="55"/>
      <c r="QZM55" s="55"/>
      <c r="QZN55" s="55"/>
      <c r="QZO55" s="55"/>
      <c r="QZP55" s="55"/>
      <c r="QZQ55" s="55"/>
      <c r="QZR55" s="55"/>
      <c r="QZS55" s="55"/>
      <c r="QZT55" s="55"/>
      <c r="QZU55" s="55"/>
      <c r="QZV55" s="55"/>
      <c r="QZW55" s="55"/>
      <c r="QZX55" s="55"/>
      <c r="QZY55" s="55"/>
      <c r="QZZ55" s="55"/>
      <c r="RAA55" s="55"/>
      <c r="RAB55" s="55"/>
      <c r="RAC55" s="55"/>
      <c r="RAD55" s="55"/>
      <c r="RAE55" s="55"/>
      <c r="RAF55" s="55"/>
      <c r="RAG55" s="55"/>
      <c r="RAH55" s="55"/>
      <c r="RAI55" s="55"/>
      <c r="RAJ55" s="55"/>
      <c r="RAK55" s="55"/>
      <c r="RAL55" s="55"/>
      <c r="RAM55" s="55"/>
      <c r="RAN55" s="55"/>
      <c r="RAO55" s="55"/>
      <c r="RAP55" s="55"/>
      <c r="RAQ55" s="55"/>
      <c r="RAR55" s="55"/>
      <c r="RAS55" s="55"/>
      <c r="RAT55" s="55"/>
      <c r="RAU55" s="55"/>
      <c r="RAV55" s="55"/>
      <c r="RAW55" s="55"/>
      <c r="RAX55" s="55"/>
      <c r="RAY55" s="55"/>
      <c r="RAZ55" s="55"/>
      <c r="RBA55" s="55"/>
      <c r="RBB55" s="55"/>
      <c r="RBC55" s="55"/>
      <c r="RBD55" s="55"/>
      <c r="RBE55" s="55"/>
      <c r="RBF55" s="55"/>
      <c r="RBG55" s="55"/>
      <c r="RBH55" s="55"/>
      <c r="RBI55" s="55"/>
      <c r="RBJ55" s="55"/>
      <c r="RBK55" s="55"/>
      <c r="RBL55" s="55"/>
      <c r="RBM55" s="55"/>
      <c r="RBN55" s="55"/>
      <c r="RBO55" s="55"/>
      <c r="RBP55" s="55"/>
      <c r="RBQ55" s="55"/>
      <c r="RBR55" s="55"/>
      <c r="RBS55" s="55"/>
      <c r="RBT55" s="55"/>
      <c r="RBU55" s="55"/>
      <c r="RBV55" s="55"/>
      <c r="RBW55" s="55"/>
      <c r="RBX55" s="55"/>
      <c r="RBY55" s="55"/>
      <c r="RBZ55" s="55"/>
      <c r="RCA55" s="55"/>
      <c r="RCB55" s="55"/>
      <c r="RCC55" s="55"/>
      <c r="RCD55" s="55"/>
      <c r="RCE55" s="55"/>
      <c r="RCF55" s="55"/>
      <c r="RCG55" s="55"/>
      <c r="RCH55" s="55"/>
      <c r="RCI55" s="55"/>
      <c r="RCJ55" s="55"/>
      <c r="RCK55" s="55"/>
      <c r="RCL55" s="55"/>
      <c r="RCM55" s="55"/>
      <c r="RCN55" s="55"/>
      <c r="RCO55" s="55"/>
      <c r="RCP55" s="55"/>
      <c r="RCQ55" s="55"/>
      <c r="RCR55" s="55"/>
      <c r="RCS55" s="55"/>
      <c r="RCT55" s="55"/>
      <c r="RCU55" s="55"/>
      <c r="RCV55" s="55"/>
      <c r="RCW55" s="55"/>
      <c r="RCX55" s="55"/>
      <c r="RCY55" s="55"/>
      <c r="RCZ55" s="55"/>
      <c r="RDA55" s="55"/>
      <c r="RDB55" s="55"/>
      <c r="RDC55" s="55"/>
      <c r="RDD55" s="55"/>
      <c r="RDE55" s="55"/>
      <c r="RDF55" s="55"/>
      <c r="RDG55" s="55"/>
      <c r="RDH55" s="55"/>
      <c r="RDI55" s="55"/>
      <c r="RDJ55" s="55"/>
      <c r="RDK55" s="55"/>
      <c r="RDL55" s="55"/>
      <c r="RDM55" s="55"/>
      <c r="RDN55" s="55"/>
      <c r="RDO55" s="55"/>
      <c r="RDP55" s="55"/>
      <c r="RDQ55" s="55"/>
      <c r="RDR55" s="55"/>
      <c r="RDS55" s="55"/>
      <c r="RDT55" s="55"/>
      <c r="RDU55" s="55"/>
      <c r="RDV55" s="55"/>
      <c r="RDW55" s="55"/>
      <c r="RDX55" s="55"/>
      <c r="RDY55" s="55"/>
      <c r="RDZ55" s="55"/>
      <c r="REA55" s="55"/>
      <c r="REB55" s="55"/>
      <c r="REC55" s="55"/>
      <c r="RED55" s="55"/>
      <c r="REE55" s="55"/>
      <c r="REF55" s="55"/>
      <c r="REG55" s="55"/>
      <c r="REH55" s="55"/>
      <c r="REI55" s="55"/>
      <c r="REJ55" s="55"/>
      <c r="REK55" s="55"/>
      <c r="REL55" s="55"/>
      <c r="REM55" s="55"/>
      <c r="REN55" s="55"/>
      <c r="REO55" s="55"/>
      <c r="REP55" s="55"/>
      <c r="REQ55" s="55"/>
      <c r="RER55" s="55"/>
      <c r="RES55" s="55"/>
      <c r="RET55" s="55"/>
      <c r="REU55" s="55"/>
      <c r="REV55" s="55"/>
      <c r="REW55" s="55"/>
      <c r="REX55" s="55"/>
      <c r="REY55" s="55"/>
      <c r="REZ55" s="55"/>
      <c r="RFA55" s="55"/>
      <c r="RFB55" s="55"/>
      <c r="RFC55" s="55"/>
      <c r="RFD55" s="55"/>
      <c r="RFE55" s="55"/>
      <c r="RFF55" s="55"/>
      <c r="RFG55" s="55"/>
      <c r="RFH55" s="55"/>
      <c r="RFI55" s="55"/>
      <c r="RFJ55" s="55"/>
      <c r="RFK55" s="55"/>
      <c r="RFL55" s="55"/>
      <c r="RFM55" s="55"/>
      <c r="RFN55" s="55"/>
      <c r="RFO55" s="55"/>
      <c r="RFP55" s="55"/>
      <c r="RFQ55" s="55"/>
      <c r="RFR55" s="55"/>
      <c r="RFS55" s="55"/>
      <c r="RFT55" s="55"/>
      <c r="RFU55" s="55"/>
      <c r="RFV55" s="55"/>
      <c r="RFW55" s="55"/>
      <c r="RFX55" s="55"/>
      <c r="RFY55" s="55"/>
      <c r="RFZ55" s="55"/>
      <c r="RGA55" s="55"/>
      <c r="RGB55" s="55"/>
      <c r="RGC55" s="55"/>
      <c r="RGD55" s="55"/>
      <c r="RGE55" s="55"/>
      <c r="RGF55" s="55"/>
      <c r="RGG55" s="55"/>
      <c r="RGH55" s="55"/>
      <c r="RGI55" s="55"/>
      <c r="RGJ55" s="55"/>
      <c r="RGK55" s="55"/>
      <c r="RGL55" s="55"/>
      <c r="RGM55" s="55"/>
      <c r="RGN55" s="55"/>
      <c r="RGO55" s="55"/>
      <c r="RGP55" s="55"/>
      <c r="RGQ55" s="55"/>
      <c r="RGR55" s="55"/>
      <c r="RGS55" s="55"/>
      <c r="RGT55" s="55"/>
      <c r="RGU55" s="55"/>
      <c r="RGV55" s="55"/>
      <c r="RGW55" s="55"/>
      <c r="RGX55" s="55"/>
      <c r="RGY55" s="55"/>
      <c r="RGZ55" s="55"/>
      <c r="RHA55" s="55"/>
      <c r="RHB55" s="55"/>
      <c r="RHC55" s="55"/>
      <c r="RHD55" s="55"/>
      <c r="RHE55" s="55"/>
      <c r="RHF55" s="55"/>
      <c r="RHG55" s="55"/>
      <c r="RHH55" s="55"/>
      <c r="RHI55" s="55"/>
      <c r="RHJ55" s="55"/>
      <c r="RHK55" s="55"/>
      <c r="RHL55" s="55"/>
      <c r="RHM55" s="55"/>
      <c r="RHN55" s="55"/>
      <c r="RHO55" s="55"/>
      <c r="RHP55" s="55"/>
      <c r="RHQ55" s="55"/>
      <c r="RHR55" s="55"/>
      <c r="RHS55" s="55"/>
      <c r="RHT55" s="55"/>
      <c r="RHU55" s="55"/>
      <c r="RHV55" s="55"/>
      <c r="RHW55" s="55"/>
      <c r="RHX55" s="55"/>
      <c r="RHY55" s="55"/>
      <c r="RHZ55" s="55"/>
      <c r="RIA55" s="55"/>
      <c r="RIB55" s="55"/>
      <c r="RIC55" s="55"/>
      <c r="RID55" s="55"/>
      <c r="RIE55" s="55"/>
      <c r="RIF55" s="55"/>
      <c r="RIG55" s="55"/>
      <c r="RIH55" s="55"/>
      <c r="RII55" s="55"/>
      <c r="RIJ55" s="55"/>
      <c r="RIK55" s="55"/>
      <c r="RIL55" s="55"/>
      <c r="RIM55" s="55"/>
      <c r="RIN55" s="55"/>
      <c r="RIO55" s="55"/>
      <c r="RIP55" s="55"/>
      <c r="RIQ55" s="55"/>
      <c r="RIR55" s="55"/>
      <c r="RIS55" s="55"/>
      <c r="RIT55" s="55"/>
      <c r="RIU55" s="55"/>
      <c r="RIV55" s="55"/>
      <c r="RIW55" s="55"/>
      <c r="RIX55" s="55"/>
      <c r="RIY55" s="55"/>
      <c r="RIZ55" s="55"/>
      <c r="RJA55" s="55"/>
      <c r="RJB55" s="55"/>
      <c r="RJC55" s="55"/>
      <c r="RJD55" s="55"/>
      <c r="RJE55" s="55"/>
      <c r="RJF55" s="55"/>
      <c r="RJG55" s="55"/>
      <c r="RJH55" s="55"/>
      <c r="RJI55" s="55"/>
      <c r="RJJ55" s="55"/>
      <c r="RJK55" s="55"/>
      <c r="RJL55" s="55"/>
      <c r="RJM55" s="55"/>
      <c r="RJN55" s="55"/>
      <c r="RJO55" s="55"/>
      <c r="RJP55" s="55"/>
      <c r="RJQ55" s="55"/>
      <c r="RJR55" s="55"/>
      <c r="RJS55" s="55"/>
      <c r="RJT55" s="55"/>
      <c r="RJU55" s="55"/>
      <c r="RJV55" s="55"/>
      <c r="RJW55" s="55"/>
      <c r="RJX55" s="55"/>
      <c r="RJY55" s="55"/>
      <c r="RJZ55" s="55"/>
      <c r="RKA55" s="55"/>
      <c r="RKB55" s="55"/>
      <c r="RKC55" s="55"/>
      <c r="RKD55" s="55"/>
      <c r="RKE55" s="55"/>
      <c r="RKF55" s="55"/>
      <c r="RKG55" s="55"/>
      <c r="RKH55" s="55"/>
      <c r="RKI55" s="55"/>
      <c r="RKJ55" s="55"/>
      <c r="RKK55" s="55"/>
      <c r="RKL55" s="55"/>
      <c r="RKM55" s="55"/>
      <c r="RKN55" s="55"/>
      <c r="RKO55" s="55"/>
      <c r="RKP55" s="55"/>
      <c r="RKQ55" s="55"/>
      <c r="RKR55" s="55"/>
      <c r="RKS55" s="55"/>
      <c r="RKT55" s="55"/>
      <c r="RKU55" s="55"/>
      <c r="RKV55" s="55"/>
      <c r="RKW55" s="55"/>
      <c r="RKX55" s="55"/>
      <c r="RKY55" s="55"/>
      <c r="RKZ55" s="55"/>
      <c r="RLA55" s="55"/>
      <c r="RLB55" s="55"/>
      <c r="RLC55" s="55"/>
      <c r="RLD55" s="55"/>
      <c r="RLE55" s="55"/>
      <c r="RLF55" s="55"/>
      <c r="RLG55" s="55"/>
      <c r="RLH55" s="55"/>
      <c r="RLI55" s="55"/>
      <c r="RLJ55" s="55"/>
      <c r="RLK55" s="55"/>
      <c r="RLL55" s="55"/>
      <c r="RLM55" s="55"/>
      <c r="RLN55" s="55"/>
      <c r="RLO55" s="55"/>
      <c r="RLP55" s="55"/>
      <c r="RLQ55" s="55"/>
      <c r="RLR55" s="55"/>
      <c r="RLS55" s="55"/>
      <c r="RLT55" s="55"/>
      <c r="RLU55" s="55"/>
      <c r="RLV55" s="55"/>
      <c r="RLW55" s="55"/>
      <c r="RLX55" s="55"/>
      <c r="RLY55" s="55"/>
      <c r="RLZ55" s="55"/>
      <c r="RMA55" s="55"/>
      <c r="RMB55" s="55"/>
      <c r="RMC55" s="55"/>
      <c r="RMD55" s="55"/>
      <c r="RME55" s="55"/>
      <c r="RMF55" s="55"/>
      <c r="RMG55" s="55"/>
      <c r="RMH55" s="55"/>
      <c r="RMI55" s="55"/>
      <c r="RMJ55" s="55"/>
      <c r="RMK55" s="55"/>
      <c r="RML55" s="55"/>
      <c r="RMM55" s="55"/>
      <c r="RMN55" s="55"/>
      <c r="RMO55" s="55"/>
      <c r="RMP55" s="55"/>
      <c r="RMQ55" s="55"/>
      <c r="RMR55" s="55"/>
      <c r="RMS55" s="55"/>
      <c r="RMT55" s="55"/>
      <c r="RMU55" s="55"/>
      <c r="RMV55" s="55"/>
      <c r="RMW55" s="55"/>
      <c r="RMX55" s="55"/>
      <c r="RMY55" s="55"/>
      <c r="RMZ55" s="55"/>
      <c r="RNA55" s="55"/>
      <c r="RNB55" s="55"/>
      <c r="RNC55" s="55"/>
      <c r="RND55" s="55"/>
      <c r="RNE55" s="55"/>
      <c r="RNF55" s="55"/>
      <c r="RNG55" s="55"/>
      <c r="RNH55" s="55"/>
      <c r="RNI55" s="55"/>
      <c r="RNJ55" s="55"/>
      <c r="RNK55" s="55"/>
      <c r="RNL55" s="55"/>
      <c r="RNM55" s="55"/>
      <c r="RNN55" s="55"/>
      <c r="RNO55" s="55"/>
      <c r="RNP55" s="55"/>
      <c r="RNQ55" s="55"/>
      <c r="RNR55" s="55"/>
      <c r="RNS55" s="55"/>
      <c r="RNT55" s="55"/>
      <c r="RNU55" s="55"/>
      <c r="RNV55" s="55"/>
      <c r="RNW55" s="55"/>
      <c r="RNX55" s="55"/>
      <c r="RNY55" s="55"/>
      <c r="RNZ55" s="55"/>
      <c r="ROA55" s="55"/>
      <c r="ROB55" s="55"/>
      <c r="ROC55" s="55"/>
      <c r="ROD55" s="55"/>
      <c r="ROE55" s="55"/>
      <c r="ROF55" s="55"/>
      <c r="ROG55" s="55"/>
      <c r="ROH55" s="55"/>
      <c r="ROI55" s="55"/>
      <c r="ROJ55" s="55"/>
      <c r="ROK55" s="55"/>
      <c r="ROL55" s="55"/>
      <c r="ROM55" s="55"/>
      <c r="RON55" s="55"/>
      <c r="ROO55" s="55"/>
      <c r="ROP55" s="55"/>
      <c r="ROQ55" s="55"/>
      <c r="ROR55" s="55"/>
      <c r="ROS55" s="55"/>
      <c r="ROT55" s="55"/>
      <c r="ROU55" s="55"/>
      <c r="ROV55" s="55"/>
      <c r="ROW55" s="55"/>
      <c r="ROX55" s="55"/>
      <c r="ROY55" s="55"/>
      <c r="ROZ55" s="55"/>
      <c r="RPA55" s="55"/>
      <c r="RPB55" s="55"/>
      <c r="RPC55" s="55"/>
      <c r="RPD55" s="55"/>
      <c r="RPE55" s="55"/>
      <c r="RPF55" s="55"/>
      <c r="RPG55" s="55"/>
      <c r="RPH55" s="55"/>
      <c r="RPI55" s="55"/>
      <c r="RPJ55" s="55"/>
      <c r="RPK55" s="55"/>
      <c r="RPL55" s="55"/>
      <c r="RPM55" s="55"/>
      <c r="RPN55" s="55"/>
      <c r="RPO55" s="55"/>
      <c r="RPP55" s="55"/>
      <c r="RPQ55" s="55"/>
      <c r="RPR55" s="55"/>
      <c r="RPS55" s="55"/>
      <c r="RPT55" s="55"/>
      <c r="RPU55" s="55"/>
      <c r="RPV55" s="55"/>
      <c r="RPW55" s="55"/>
      <c r="RPX55" s="55"/>
      <c r="RPY55" s="55"/>
      <c r="RPZ55" s="55"/>
      <c r="RQA55" s="55"/>
      <c r="RQB55" s="55"/>
      <c r="RQC55" s="55"/>
      <c r="RQD55" s="55"/>
      <c r="RQE55" s="55"/>
      <c r="RQF55" s="55"/>
      <c r="RQG55" s="55"/>
      <c r="RQH55" s="55"/>
      <c r="RQI55" s="55"/>
      <c r="RQJ55" s="55"/>
      <c r="RQK55" s="55"/>
      <c r="RQL55" s="55"/>
      <c r="RQM55" s="55"/>
      <c r="RQN55" s="55"/>
      <c r="RQO55" s="55"/>
      <c r="RQP55" s="55"/>
      <c r="RQQ55" s="55"/>
      <c r="RQR55" s="55"/>
      <c r="RQS55" s="55"/>
      <c r="RQT55" s="55"/>
      <c r="RQU55" s="55"/>
      <c r="RQV55" s="55"/>
      <c r="RQW55" s="55"/>
      <c r="RQX55" s="55"/>
      <c r="RQY55" s="55"/>
      <c r="RQZ55" s="55"/>
      <c r="RRA55" s="55"/>
      <c r="RRB55" s="55"/>
      <c r="RRC55" s="55"/>
      <c r="RRD55" s="55"/>
      <c r="RRE55" s="55"/>
      <c r="RRF55" s="55"/>
      <c r="RRG55" s="55"/>
      <c r="RRH55" s="55"/>
      <c r="RRI55" s="55"/>
      <c r="RRJ55" s="55"/>
      <c r="RRK55" s="55"/>
      <c r="RRL55" s="55"/>
      <c r="RRM55" s="55"/>
      <c r="RRN55" s="55"/>
      <c r="RRO55" s="55"/>
      <c r="RRP55" s="55"/>
      <c r="RRQ55" s="55"/>
      <c r="RRR55" s="55"/>
      <c r="RRS55" s="55"/>
      <c r="RRT55" s="55"/>
      <c r="RRU55" s="55"/>
      <c r="RRV55" s="55"/>
      <c r="RRW55" s="55"/>
      <c r="RRX55" s="55"/>
      <c r="RRY55" s="55"/>
      <c r="RRZ55" s="55"/>
      <c r="RSA55" s="55"/>
      <c r="RSB55" s="55"/>
      <c r="RSC55" s="55"/>
      <c r="RSD55" s="55"/>
      <c r="RSE55" s="55"/>
      <c r="RSF55" s="55"/>
      <c r="RSG55" s="55"/>
      <c r="RSH55" s="55"/>
      <c r="RSI55" s="55"/>
      <c r="RSJ55" s="55"/>
      <c r="RSK55" s="55"/>
      <c r="RSL55" s="55"/>
      <c r="RSM55" s="55"/>
      <c r="RSN55" s="55"/>
      <c r="RSO55" s="55"/>
      <c r="RSP55" s="55"/>
      <c r="RSQ55" s="55"/>
      <c r="RSR55" s="55"/>
      <c r="RSS55" s="55"/>
      <c r="RST55" s="55"/>
      <c r="RSU55" s="55"/>
      <c r="RSV55" s="55"/>
      <c r="RSW55" s="55"/>
      <c r="RSX55" s="55"/>
      <c r="RSY55" s="55"/>
      <c r="RSZ55" s="55"/>
      <c r="RTA55" s="55"/>
      <c r="RTB55" s="55"/>
      <c r="RTC55" s="55"/>
      <c r="RTD55" s="55"/>
      <c r="RTE55" s="55"/>
      <c r="RTF55" s="55"/>
      <c r="RTG55" s="55"/>
      <c r="RTH55" s="55"/>
      <c r="RTI55" s="55"/>
      <c r="RTJ55" s="55"/>
      <c r="RTK55" s="55"/>
      <c r="RTL55" s="55"/>
      <c r="RTM55" s="55"/>
      <c r="RTN55" s="55"/>
      <c r="RTO55" s="55"/>
      <c r="RTP55" s="55"/>
      <c r="RTQ55" s="55"/>
      <c r="RTR55" s="55"/>
      <c r="RTS55" s="55"/>
      <c r="RTT55" s="55"/>
      <c r="RTU55" s="55"/>
      <c r="RTV55" s="55"/>
      <c r="RTW55" s="55"/>
      <c r="RTX55" s="55"/>
      <c r="RTY55" s="55"/>
      <c r="RTZ55" s="55"/>
      <c r="RUA55" s="55"/>
      <c r="RUB55" s="55"/>
      <c r="RUC55" s="55"/>
      <c r="RUD55" s="55"/>
      <c r="RUE55" s="55"/>
      <c r="RUF55" s="55"/>
      <c r="RUG55" s="55"/>
      <c r="RUH55" s="55"/>
      <c r="RUI55" s="55"/>
      <c r="RUJ55" s="55"/>
      <c r="RUK55" s="55"/>
      <c r="RUL55" s="55"/>
      <c r="RUM55" s="55"/>
      <c r="RUN55" s="55"/>
      <c r="RUO55" s="55"/>
      <c r="RUP55" s="55"/>
      <c r="RUQ55" s="55"/>
      <c r="RUR55" s="55"/>
      <c r="RUS55" s="55"/>
      <c r="RUT55" s="55"/>
      <c r="RUU55" s="55"/>
      <c r="RUV55" s="55"/>
      <c r="RUW55" s="55"/>
      <c r="RUX55" s="55"/>
      <c r="RUY55" s="55"/>
      <c r="RUZ55" s="55"/>
      <c r="RVA55" s="55"/>
      <c r="RVB55" s="55"/>
      <c r="RVC55" s="55"/>
      <c r="RVD55" s="55"/>
      <c r="RVE55" s="55"/>
      <c r="RVF55" s="55"/>
      <c r="RVG55" s="55"/>
      <c r="RVH55" s="55"/>
      <c r="RVI55" s="55"/>
      <c r="RVJ55" s="55"/>
      <c r="RVK55" s="55"/>
      <c r="RVL55" s="55"/>
      <c r="RVM55" s="55"/>
      <c r="RVN55" s="55"/>
      <c r="RVO55" s="55"/>
      <c r="RVP55" s="55"/>
      <c r="RVQ55" s="55"/>
      <c r="RVR55" s="55"/>
      <c r="RVS55" s="55"/>
      <c r="RVT55" s="55"/>
      <c r="RVU55" s="55"/>
      <c r="RVV55" s="55"/>
      <c r="RVW55" s="55"/>
      <c r="RVX55" s="55"/>
      <c r="RVY55" s="55"/>
      <c r="RVZ55" s="55"/>
      <c r="RWA55" s="55"/>
      <c r="RWB55" s="55"/>
      <c r="RWC55" s="55"/>
      <c r="RWD55" s="55"/>
      <c r="RWE55" s="55"/>
      <c r="RWF55" s="55"/>
      <c r="RWG55" s="55"/>
      <c r="RWH55" s="55"/>
      <c r="RWI55" s="55"/>
      <c r="RWJ55" s="55"/>
      <c r="RWK55" s="55"/>
      <c r="RWL55" s="55"/>
      <c r="RWM55" s="55"/>
      <c r="RWN55" s="55"/>
      <c r="RWO55" s="55"/>
      <c r="RWP55" s="55"/>
      <c r="RWQ55" s="55"/>
      <c r="RWR55" s="55"/>
      <c r="RWS55" s="55"/>
      <c r="RWT55" s="55"/>
      <c r="RWU55" s="55"/>
      <c r="RWV55" s="55"/>
      <c r="RWW55" s="55"/>
      <c r="RWX55" s="55"/>
      <c r="RWY55" s="55"/>
      <c r="RWZ55" s="55"/>
      <c r="RXA55" s="55"/>
      <c r="RXB55" s="55"/>
      <c r="RXC55" s="55"/>
      <c r="RXD55" s="55"/>
      <c r="RXE55" s="55"/>
      <c r="RXF55" s="55"/>
      <c r="RXG55" s="55"/>
      <c r="RXH55" s="55"/>
      <c r="RXI55" s="55"/>
      <c r="RXJ55" s="55"/>
      <c r="RXK55" s="55"/>
      <c r="RXL55" s="55"/>
      <c r="RXM55" s="55"/>
      <c r="RXN55" s="55"/>
      <c r="RXO55" s="55"/>
      <c r="RXP55" s="55"/>
      <c r="RXQ55" s="55"/>
      <c r="RXR55" s="55"/>
      <c r="RXS55" s="55"/>
      <c r="RXT55" s="55"/>
      <c r="RXU55" s="55"/>
      <c r="RXV55" s="55"/>
      <c r="RXW55" s="55"/>
      <c r="RXX55" s="55"/>
      <c r="RXY55" s="55"/>
      <c r="RXZ55" s="55"/>
      <c r="RYA55" s="55"/>
      <c r="RYB55" s="55"/>
      <c r="RYC55" s="55"/>
      <c r="RYD55" s="55"/>
      <c r="RYE55" s="55"/>
      <c r="RYF55" s="55"/>
      <c r="RYG55" s="55"/>
      <c r="RYH55" s="55"/>
      <c r="RYI55" s="55"/>
      <c r="RYJ55" s="55"/>
      <c r="RYK55" s="55"/>
      <c r="RYL55" s="55"/>
      <c r="RYM55" s="55"/>
      <c r="RYN55" s="55"/>
      <c r="RYO55" s="55"/>
      <c r="RYP55" s="55"/>
      <c r="RYQ55" s="55"/>
      <c r="RYR55" s="55"/>
      <c r="RYS55" s="55"/>
      <c r="RYT55" s="55"/>
      <c r="RYU55" s="55"/>
      <c r="RYV55" s="55"/>
      <c r="RYW55" s="55"/>
      <c r="RYX55" s="55"/>
      <c r="RYY55" s="55"/>
      <c r="RYZ55" s="55"/>
      <c r="RZA55" s="55"/>
      <c r="RZB55" s="55"/>
      <c r="RZC55" s="55"/>
      <c r="RZD55" s="55"/>
      <c r="RZE55" s="55"/>
      <c r="RZF55" s="55"/>
      <c r="RZG55" s="55"/>
      <c r="RZH55" s="55"/>
      <c r="RZI55" s="55"/>
      <c r="RZJ55" s="55"/>
      <c r="RZK55" s="55"/>
      <c r="RZL55" s="55"/>
      <c r="RZM55" s="55"/>
      <c r="RZN55" s="55"/>
      <c r="RZO55" s="55"/>
      <c r="RZP55" s="55"/>
      <c r="RZQ55" s="55"/>
      <c r="RZR55" s="55"/>
      <c r="RZS55" s="55"/>
      <c r="RZT55" s="55"/>
      <c r="RZU55" s="55"/>
      <c r="RZV55" s="55"/>
      <c r="RZW55" s="55"/>
      <c r="RZX55" s="55"/>
      <c r="RZY55" s="55"/>
      <c r="RZZ55" s="55"/>
      <c r="SAA55" s="55"/>
      <c r="SAB55" s="55"/>
      <c r="SAC55" s="55"/>
      <c r="SAD55" s="55"/>
      <c r="SAE55" s="55"/>
      <c r="SAF55" s="55"/>
      <c r="SAG55" s="55"/>
      <c r="SAH55" s="55"/>
      <c r="SAI55" s="55"/>
      <c r="SAJ55" s="55"/>
      <c r="SAK55" s="55"/>
      <c r="SAL55" s="55"/>
      <c r="SAM55" s="55"/>
      <c r="SAN55" s="55"/>
      <c r="SAO55" s="55"/>
      <c r="SAP55" s="55"/>
      <c r="SAQ55" s="55"/>
      <c r="SAR55" s="55"/>
      <c r="SAS55" s="55"/>
      <c r="SAT55" s="55"/>
      <c r="SAU55" s="55"/>
      <c r="SAV55" s="55"/>
      <c r="SAW55" s="55"/>
      <c r="SAX55" s="55"/>
      <c r="SAY55" s="55"/>
      <c r="SAZ55" s="55"/>
      <c r="SBA55" s="55"/>
      <c r="SBB55" s="55"/>
      <c r="SBC55" s="55"/>
      <c r="SBD55" s="55"/>
      <c r="SBE55" s="55"/>
      <c r="SBF55" s="55"/>
      <c r="SBG55" s="55"/>
      <c r="SBH55" s="55"/>
      <c r="SBI55" s="55"/>
      <c r="SBJ55" s="55"/>
      <c r="SBK55" s="55"/>
      <c r="SBL55" s="55"/>
      <c r="SBM55" s="55"/>
      <c r="SBN55" s="55"/>
      <c r="SBO55" s="55"/>
      <c r="SBP55" s="55"/>
      <c r="SBQ55" s="55"/>
      <c r="SBR55" s="55"/>
      <c r="SBS55" s="55"/>
      <c r="SBT55" s="55"/>
      <c r="SBU55" s="55"/>
      <c r="SBV55" s="55"/>
      <c r="SBW55" s="55"/>
      <c r="SBX55" s="55"/>
      <c r="SBY55" s="55"/>
      <c r="SBZ55" s="55"/>
      <c r="SCA55" s="55"/>
      <c r="SCB55" s="55"/>
      <c r="SCC55" s="55"/>
      <c r="SCD55" s="55"/>
      <c r="SCE55" s="55"/>
      <c r="SCF55" s="55"/>
      <c r="SCG55" s="55"/>
      <c r="SCH55" s="55"/>
      <c r="SCI55" s="55"/>
      <c r="SCJ55" s="55"/>
      <c r="SCK55" s="55"/>
      <c r="SCL55" s="55"/>
      <c r="SCM55" s="55"/>
      <c r="SCN55" s="55"/>
      <c r="SCO55" s="55"/>
      <c r="SCP55" s="55"/>
      <c r="SCQ55" s="55"/>
      <c r="SCR55" s="55"/>
      <c r="SCS55" s="55"/>
      <c r="SCT55" s="55"/>
      <c r="SCU55" s="55"/>
      <c r="SCV55" s="55"/>
      <c r="SCW55" s="55"/>
      <c r="SCX55" s="55"/>
      <c r="SCY55" s="55"/>
      <c r="SCZ55" s="55"/>
      <c r="SDA55" s="55"/>
      <c r="SDB55" s="55"/>
      <c r="SDC55" s="55"/>
      <c r="SDD55" s="55"/>
      <c r="SDE55" s="55"/>
      <c r="SDF55" s="55"/>
      <c r="SDG55" s="55"/>
      <c r="SDH55" s="55"/>
      <c r="SDI55" s="55"/>
      <c r="SDJ55" s="55"/>
      <c r="SDK55" s="55"/>
      <c r="SDL55" s="55"/>
      <c r="SDM55" s="55"/>
      <c r="SDN55" s="55"/>
      <c r="SDO55" s="55"/>
      <c r="SDP55" s="55"/>
      <c r="SDQ55" s="55"/>
      <c r="SDR55" s="55"/>
      <c r="SDS55" s="55"/>
      <c r="SDT55" s="55"/>
      <c r="SDU55" s="55"/>
      <c r="SDV55" s="55"/>
      <c r="SDW55" s="55"/>
      <c r="SDX55" s="55"/>
      <c r="SDY55" s="55"/>
      <c r="SDZ55" s="55"/>
      <c r="SEA55" s="55"/>
      <c r="SEB55" s="55"/>
      <c r="SEC55" s="55"/>
      <c r="SED55" s="55"/>
      <c r="SEE55" s="55"/>
      <c r="SEF55" s="55"/>
      <c r="SEG55" s="55"/>
      <c r="SEH55" s="55"/>
      <c r="SEI55" s="55"/>
      <c r="SEJ55" s="55"/>
      <c r="SEK55" s="55"/>
      <c r="SEL55" s="55"/>
      <c r="SEM55" s="55"/>
      <c r="SEN55" s="55"/>
      <c r="SEO55" s="55"/>
      <c r="SEP55" s="55"/>
      <c r="SEQ55" s="55"/>
      <c r="SER55" s="55"/>
      <c r="SES55" s="55"/>
      <c r="SET55" s="55"/>
      <c r="SEU55" s="55"/>
      <c r="SEV55" s="55"/>
      <c r="SEW55" s="55"/>
      <c r="SEX55" s="55"/>
      <c r="SEY55" s="55"/>
      <c r="SEZ55" s="55"/>
      <c r="SFA55" s="55"/>
      <c r="SFB55" s="55"/>
      <c r="SFC55" s="55"/>
      <c r="SFD55" s="55"/>
      <c r="SFE55" s="55"/>
      <c r="SFF55" s="55"/>
      <c r="SFG55" s="55"/>
      <c r="SFH55" s="55"/>
      <c r="SFI55" s="55"/>
      <c r="SFJ55" s="55"/>
      <c r="SFK55" s="55"/>
      <c r="SFL55" s="55"/>
      <c r="SFM55" s="55"/>
      <c r="SFN55" s="55"/>
      <c r="SFO55" s="55"/>
      <c r="SFP55" s="55"/>
      <c r="SFQ55" s="55"/>
      <c r="SFR55" s="55"/>
      <c r="SFS55" s="55"/>
      <c r="SFT55" s="55"/>
      <c r="SFU55" s="55"/>
      <c r="SFV55" s="55"/>
      <c r="SFW55" s="55"/>
      <c r="SFX55" s="55"/>
      <c r="SFY55" s="55"/>
      <c r="SFZ55" s="55"/>
      <c r="SGA55" s="55"/>
      <c r="SGB55" s="55"/>
      <c r="SGC55" s="55"/>
      <c r="SGD55" s="55"/>
      <c r="SGE55" s="55"/>
      <c r="SGF55" s="55"/>
      <c r="SGG55" s="55"/>
      <c r="SGH55" s="55"/>
      <c r="SGI55" s="55"/>
      <c r="SGJ55" s="55"/>
      <c r="SGK55" s="55"/>
      <c r="SGL55" s="55"/>
      <c r="SGM55" s="55"/>
      <c r="SGN55" s="55"/>
      <c r="SGO55" s="55"/>
      <c r="SGP55" s="55"/>
      <c r="SGQ55" s="55"/>
      <c r="SGR55" s="55"/>
      <c r="SGS55" s="55"/>
      <c r="SGT55" s="55"/>
      <c r="SGU55" s="55"/>
      <c r="SGV55" s="55"/>
      <c r="SGW55" s="55"/>
      <c r="SGX55" s="55"/>
      <c r="SGY55" s="55"/>
      <c r="SGZ55" s="55"/>
      <c r="SHA55" s="55"/>
      <c r="SHB55" s="55"/>
      <c r="SHC55" s="55"/>
      <c r="SHD55" s="55"/>
      <c r="SHE55" s="55"/>
      <c r="SHF55" s="55"/>
      <c r="SHG55" s="55"/>
      <c r="SHH55" s="55"/>
      <c r="SHI55" s="55"/>
      <c r="SHJ55" s="55"/>
      <c r="SHK55" s="55"/>
      <c r="SHL55" s="55"/>
      <c r="SHM55" s="55"/>
      <c r="SHN55" s="55"/>
      <c r="SHO55" s="55"/>
      <c r="SHP55" s="55"/>
      <c r="SHQ55" s="55"/>
      <c r="SHR55" s="55"/>
      <c r="SHS55" s="55"/>
      <c r="SHT55" s="55"/>
      <c r="SHU55" s="55"/>
      <c r="SHV55" s="55"/>
      <c r="SHW55" s="55"/>
      <c r="SHX55" s="55"/>
      <c r="SHY55" s="55"/>
      <c r="SHZ55" s="55"/>
      <c r="SIA55" s="55"/>
      <c r="SIB55" s="55"/>
      <c r="SIC55" s="55"/>
      <c r="SID55" s="55"/>
      <c r="SIE55" s="55"/>
      <c r="SIF55" s="55"/>
      <c r="SIG55" s="55"/>
      <c r="SIH55" s="55"/>
      <c r="SII55" s="55"/>
      <c r="SIJ55" s="55"/>
      <c r="SIK55" s="55"/>
      <c r="SIL55" s="55"/>
      <c r="SIM55" s="55"/>
      <c r="SIN55" s="55"/>
      <c r="SIO55" s="55"/>
      <c r="SIP55" s="55"/>
      <c r="SIQ55" s="55"/>
      <c r="SIR55" s="55"/>
      <c r="SIS55" s="55"/>
      <c r="SIT55" s="55"/>
      <c r="SIU55" s="55"/>
      <c r="SIV55" s="55"/>
      <c r="SIW55" s="55"/>
      <c r="SIX55" s="55"/>
      <c r="SIY55" s="55"/>
      <c r="SIZ55" s="55"/>
      <c r="SJA55" s="55"/>
      <c r="SJB55" s="55"/>
      <c r="SJC55" s="55"/>
      <c r="SJD55" s="55"/>
      <c r="SJE55" s="55"/>
      <c r="SJF55" s="55"/>
      <c r="SJG55" s="55"/>
      <c r="SJH55" s="55"/>
      <c r="SJI55" s="55"/>
      <c r="SJJ55" s="55"/>
      <c r="SJK55" s="55"/>
      <c r="SJL55" s="55"/>
      <c r="SJM55" s="55"/>
      <c r="SJN55" s="55"/>
      <c r="SJO55" s="55"/>
      <c r="SJP55" s="55"/>
      <c r="SJQ55" s="55"/>
      <c r="SJR55" s="55"/>
      <c r="SJS55" s="55"/>
      <c r="SJT55" s="55"/>
      <c r="SJU55" s="55"/>
      <c r="SJV55" s="55"/>
      <c r="SJW55" s="55"/>
      <c r="SJX55" s="55"/>
      <c r="SJY55" s="55"/>
      <c r="SJZ55" s="55"/>
      <c r="SKA55" s="55"/>
      <c r="SKB55" s="55"/>
      <c r="SKC55" s="55"/>
      <c r="SKD55" s="55"/>
      <c r="SKE55" s="55"/>
      <c r="SKF55" s="55"/>
      <c r="SKG55" s="55"/>
      <c r="SKH55" s="55"/>
      <c r="SKI55" s="55"/>
      <c r="SKJ55" s="55"/>
      <c r="SKK55" s="55"/>
      <c r="SKL55" s="55"/>
      <c r="SKM55" s="55"/>
      <c r="SKN55" s="55"/>
      <c r="SKO55" s="55"/>
      <c r="SKP55" s="55"/>
      <c r="SKQ55" s="55"/>
      <c r="SKR55" s="55"/>
      <c r="SKS55" s="55"/>
      <c r="SKT55" s="55"/>
      <c r="SKU55" s="55"/>
      <c r="SKV55" s="55"/>
      <c r="SKW55" s="55"/>
      <c r="SKX55" s="55"/>
      <c r="SKY55" s="55"/>
      <c r="SKZ55" s="55"/>
      <c r="SLA55" s="55"/>
      <c r="SLB55" s="55"/>
      <c r="SLC55" s="55"/>
      <c r="SLD55" s="55"/>
      <c r="SLE55" s="55"/>
      <c r="SLF55" s="55"/>
      <c r="SLG55" s="55"/>
      <c r="SLH55" s="55"/>
      <c r="SLI55" s="55"/>
      <c r="SLJ55" s="55"/>
      <c r="SLK55" s="55"/>
      <c r="SLL55" s="55"/>
      <c r="SLM55" s="55"/>
      <c r="SLN55" s="55"/>
      <c r="SLO55" s="55"/>
      <c r="SLP55" s="55"/>
      <c r="SLQ55" s="55"/>
      <c r="SLR55" s="55"/>
      <c r="SLS55" s="55"/>
      <c r="SLT55" s="55"/>
      <c r="SLU55" s="55"/>
      <c r="SLV55" s="55"/>
      <c r="SLW55" s="55"/>
      <c r="SLX55" s="55"/>
      <c r="SLY55" s="55"/>
      <c r="SLZ55" s="55"/>
      <c r="SMA55" s="55"/>
      <c r="SMB55" s="55"/>
      <c r="SMC55" s="55"/>
      <c r="SMD55" s="55"/>
      <c r="SME55" s="55"/>
      <c r="SMF55" s="55"/>
      <c r="SMG55" s="55"/>
      <c r="SMH55" s="55"/>
      <c r="SMI55" s="55"/>
      <c r="SMJ55" s="55"/>
      <c r="SMK55" s="55"/>
      <c r="SML55" s="55"/>
      <c r="SMM55" s="55"/>
      <c r="SMN55" s="55"/>
      <c r="SMO55" s="55"/>
      <c r="SMP55" s="55"/>
      <c r="SMQ55" s="55"/>
      <c r="SMR55" s="55"/>
      <c r="SMS55" s="55"/>
      <c r="SMT55" s="55"/>
      <c r="SMU55" s="55"/>
      <c r="SMV55" s="55"/>
      <c r="SMW55" s="55"/>
      <c r="SMX55" s="55"/>
      <c r="SMY55" s="55"/>
      <c r="SMZ55" s="55"/>
      <c r="SNA55" s="55"/>
      <c r="SNB55" s="55"/>
      <c r="SNC55" s="55"/>
      <c r="SND55" s="55"/>
      <c r="SNE55" s="55"/>
      <c r="SNF55" s="55"/>
      <c r="SNG55" s="55"/>
      <c r="SNH55" s="55"/>
      <c r="SNI55" s="55"/>
      <c r="SNJ55" s="55"/>
      <c r="SNK55" s="55"/>
      <c r="SNL55" s="55"/>
      <c r="SNM55" s="55"/>
      <c r="SNN55" s="55"/>
      <c r="SNO55" s="55"/>
      <c r="SNP55" s="55"/>
      <c r="SNQ55" s="55"/>
      <c r="SNR55" s="55"/>
      <c r="SNS55" s="55"/>
      <c r="SNT55" s="55"/>
      <c r="SNU55" s="55"/>
      <c r="SNV55" s="55"/>
      <c r="SNW55" s="55"/>
      <c r="SNX55" s="55"/>
      <c r="SNY55" s="55"/>
      <c r="SNZ55" s="55"/>
      <c r="SOA55" s="55"/>
      <c r="SOB55" s="55"/>
      <c r="SOC55" s="55"/>
      <c r="SOD55" s="55"/>
      <c r="SOE55" s="55"/>
      <c r="SOF55" s="55"/>
      <c r="SOG55" s="55"/>
      <c r="SOH55" s="55"/>
      <c r="SOI55" s="55"/>
      <c r="SOJ55" s="55"/>
      <c r="SOK55" s="55"/>
      <c r="SOL55" s="55"/>
      <c r="SOM55" s="55"/>
      <c r="SON55" s="55"/>
      <c r="SOO55" s="55"/>
      <c r="SOP55" s="55"/>
      <c r="SOQ55" s="55"/>
      <c r="SOR55" s="55"/>
      <c r="SOS55" s="55"/>
      <c r="SOT55" s="55"/>
      <c r="SOU55" s="55"/>
      <c r="SOV55" s="55"/>
      <c r="SOW55" s="55"/>
      <c r="SOX55" s="55"/>
      <c r="SOY55" s="55"/>
      <c r="SOZ55" s="55"/>
      <c r="SPA55" s="55"/>
      <c r="SPB55" s="55"/>
      <c r="SPC55" s="55"/>
      <c r="SPD55" s="55"/>
      <c r="SPE55" s="55"/>
      <c r="SPF55" s="55"/>
      <c r="SPG55" s="55"/>
      <c r="SPH55" s="55"/>
      <c r="SPI55" s="55"/>
      <c r="SPJ55" s="55"/>
      <c r="SPK55" s="55"/>
      <c r="SPL55" s="55"/>
      <c r="SPM55" s="55"/>
      <c r="SPN55" s="55"/>
      <c r="SPO55" s="55"/>
      <c r="SPP55" s="55"/>
      <c r="SPQ55" s="55"/>
      <c r="SPR55" s="55"/>
      <c r="SPS55" s="55"/>
      <c r="SPT55" s="55"/>
      <c r="SPU55" s="55"/>
      <c r="SPV55" s="55"/>
      <c r="SPW55" s="55"/>
      <c r="SPX55" s="55"/>
      <c r="SPY55" s="55"/>
      <c r="SPZ55" s="55"/>
      <c r="SQA55" s="55"/>
      <c r="SQB55" s="55"/>
      <c r="SQC55" s="55"/>
      <c r="SQD55" s="55"/>
      <c r="SQE55" s="55"/>
      <c r="SQF55" s="55"/>
      <c r="SQG55" s="55"/>
      <c r="SQH55" s="55"/>
      <c r="SQI55" s="55"/>
      <c r="SQJ55" s="55"/>
      <c r="SQK55" s="55"/>
      <c r="SQL55" s="55"/>
      <c r="SQM55" s="55"/>
      <c r="SQN55" s="55"/>
      <c r="SQO55" s="55"/>
      <c r="SQP55" s="55"/>
      <c r="SQQ55" s="55"/>
      <c r="SQR55" s="55"/>
      <c r="SQS55" s="55"/>
      <c r="SQT55" s="55"/>
      <c r="SQU55" s="55"/>
      <c r="SQV55" s="55"/>
      <c r="SQW55" s="55"/>
      <c r="SQX55" s="55"/>
      <c r="SQY55" s="55"/>
      <c r="SQZ55" s="55"/>
      <c r="SRA55" s="55"/>
      <c r="SRB55" s="55"/>
      <c r="SRC55" s="55"/>
      <c r="SRD55" s="55"/>
      <c r="SRE55" s="55"/>
      <c r="SRF55" s="55"/>
      <c r="SRG55" s="55"/>
      <c r="SRH55" s="55"/>
      <c r="SRI55" s="55"/>
      <c r="SRJ55" s="55"/>
      <c r="SRK55" s="55"/>
      <c r="SRL55" s="55"/>
      <c r="SRM55" s="55"/>
      <c r="SRN55" s="55"/>
      <c r="SRO55" s="55"/>
      <c r="SRP55" s="55"/>
      <c r="SRQ55" s="55"/>
      <c r="SRR55" s="55"/>
      <c r="SRS55" s="55"/>
      <c r="SRT55" s="55"/>
      <c r="SRU55" s="55"/>
      <c r="SRV55" s="55"/>
      <c r="SRW55" s="55"/>
      <c r="SRX55" s="55"/>
      <c r="SRY55" s="55"/>
      <c r="SRZ55" s="55"/>
      <c r="SSA55" s="55"/>
      <c r="SSB55" s="55"/>
      <c r="SSC55" s="55"/>
      <c r="SSD55" s="55"/>
      <c r="SSE55" s="55"/>
      <c r="SSF55" s="55"/>
      <c r="SSG55" s="55"/>
      <c r="SSH55" s="55"/>
      <c r="SSI55" s="55"/>
      <c r="SSJ55" s="55"/>
      <c r="SSK55" s="55"/>
      <c r="SSL55" s="55"/>
      <c r="SSM55" s="55"/>
      <c r="SSN55" s="55"/>
      <c r="SSO55" s="55"/>
      <c r="SSP55" s="55"/>
      <c r="SSQ55" s="55"/>
      <c r="SSR55" s="55"/>
      <c r="SSS55" s="55"/>
      <c r="SST55" s="55"/>
      <c r="SSU55" s="55"/>
      <c r="SSV55" s="55"/>
      <c r="SSW55" s="55"/>
      <c r="SSX55" s="55"/>
      <c r="SSY55" s="55"/>
      <c r="SSZ55" s="55"/>
      <c r="STA55" s="55"/>
      <c r="STB55" s="55"/>
      <c r="STC55" s="55"/>
      <c r="STD55" s="55"/>
      <c r="STE55" s="55"/>
      <c r="STF55" s="55"/>
      <c r="STG55" s="55"/>
      <c r="STH55" s="55"/>
      <c r="STI55" s="55"/>
      <c r="STJ55" s="55"/>
      <c r="STK55" s="55"/>
      <c r="STL55" s="55"/>
      <c r="STM55" s="55"/>
      <c r="STN55" s="55"/>
      <c r="STO55" s="55"/>
      <c r="STP55" s="55"/>
      <c r="STQ55" s="55"/>
      <c r="STR55" s="55"/>
      <c r="STS55" s="55"/>
      <c r="STT55" s="55"/>
      <c r="STU55" s="55"/>
      <c r="STV55" s="55"/>
      <c r="STW55" s="55"/>
      <c r="STX55" s="55"/>
      <c r="STY55" s="55"/>
      <c r="STZ55" s="55"/>
      <c r="SUA55" s="55"/>
      <c r="SUB55" s="55"/>
      <c r="SUC55" s="55"/>
      <c r="SUD55" s="55"/>
      <c r="SUE55" s="55"/>
      <c r="SUF55" s="55"/>
      <c r="SUG55" s="55"/>
      <c r="SUH55" s="55"/>
      <c r="SUI55" s="55"/>
      <c r="SUJ55" s="55"/>
      <c r="SUK55" s="55"/>
      <c r="SUL55" s="55"/>
      <c r="SUM55" s="55"/>
      <c r="SUN55" s="55"/>
      <c r="SUO55" s="55"/>
      <c r="SUP55" s="55"/>
      <c r="SUQ55" s="55"/>
      <c r="SUR55" s="55"/>
      <c r="SUS55" s="55"/>
      <c r="SUT55" s="55"/>
      <c r="SUU55" s="55"/>
      <c r="SUV55" s="55"/>
      <c r="SUW55" s="55"/>
      <c r="SUX55" s="55"/>
      <c r="SUY55" s="55"/>
      <c r="SUZ55" s="55"/>
      <c r="SVA55" s="55"/>
      <c r="SVB55" s="55"/>
      <c r="SVC55" s="55"/>
      <c r="SVD55" s="55"/>
      <c r="SVE55" s="55"/>
      <c r="SVF55" s="55"/>
      <c r="SVG55" s="55"/>
      <c r="SVH55" s="55"/>
      <c r="SVI55" s="55"/>
      <c r="SVJ55" s="55"/>
      <c r="SVK55" s="55"/>
      <c r="SVL55" s="55"/>
      <c r="SVM55" s="55"/>
      <c r="SVN55" s="55"/>
      <c r="SVO55" s="55"/>
      <c r="SVP55" s="55"/>
      <c r="SVQ55" s="55"/>
      <c r="SVR55" s="55"/>
      <c r="SVS55" s="55"/>
      <c r="SVT55" s="55"/>
      <c r="SVU55" s="55"/>
      <c r="SVV55" s="55"/>
      <c r="SVW55" s="55"/>
      <c r="SVX55" s="55"/>
      <c r="SVY55" s="55"/>
      <c r="SVZ55" s="55"/>
      <c r="SWA55" s="55"/>
      <c r="SWB55" s="55"/>
      <c r="SWC55" s="55"/>
      <c r="SWD55" s="55"/>
      <c r="SWE55" s="55"/>
      <c r="SWF55" s="55"/>
      <c r="SWG55" s="55"/>
      <c r="SWH55" s="55"/>
      <c r="SWI55" s="55"/>
      <c r="SWJ55" s="55"/>
      <c r="SWK55" s="55"/>
      <c r="SWL55" s="55"/>
      <c r="SWM55" s="55"/>
      <c r="SWN55" s="55"/>
      <c r="SWO55" s="55"/>
      <c r="SWP55" s="55"/>
      <c r="SWQ55" s="55"/>
      <c r="SWR55" s="55"/>
      <c r="SWS55" s="55"/>
      <c r="SWT55" s="55"/>
      <c r="SWU55" s="55"/>
      <c r="SWV55" s="55"/>
      <c r="SWW55" s="55"/>
      <c r="SWX55" s="55"/>
      <c r="SWY55" s="55"/>
      <c r="SWZ55" s="55"/>
      <c r="SXA55" s="55"/>
      <c r="SXB55" s="55"/>
      <c r="SXC55" s="55"/>
      <c r="SXD55" s="55"/>
      <c r="SXE55" s="55"/>
      <c r="SXF55" s="55"/>
      <c r="SXG55" s="55"/>
      <c r="SXH55" s="55"/>
      <c r="SXI55" s="55"/>
      <c r="SXJ55" s="55"/>
      <c r="SXK55" s="55"/>
      <c r="SXL55" s="55"/>
      <c r="SXM55" s="55"/>
      <c r="SXN55" s="55"/>
      <c r="SXO55" s="55"/>
      <c r="SXP55" s="55"/>
      <c r="SXQ55" s="55"/>
      <c r="SXR55" s="55"/>
      <c r="SXS55" s="55"/>
      <c r="SXT55" s="55"/>
      <c r="SXU55" s="55"/>
      <c r="SXV55" s="55"/>
      <c r="SXW55" s="55"/>
      <c r="SXX55" s="55"/>
      <c r="SXY55" s="55"/>
      <c r="SXZ55" s="55"/>
      <c r="SYA55" s="55"/>
      <c r="SYB55" s="55"/>
      <c r="SYC55" s="55"/>
      <c r="SYD55" s="55"/>
      <c r="SYE55" s="55"/>
      <c r="SYF55" s="55"/>
      <c r="SYG55" s="55"/>
      <c r="SYH55" s="55"/>
      <c r="SYI55" s="55"/>
      <c r="SYJ55" s="55"/>
      <c r="SYK55" s="55"/>
      <c r="SYL55" s="55"/>
      <c r="SYM55" s="55"/>
      <c r="SYN55" s="55"/>
      <c r="SYO55" s="55"/>
      <c r="SYP55" s="55"/>
      <c r="SYQ55" s="55"/>
      <c r="SYR55" s="55"/>
      <c r="SYS55" s="55"/>
      <c r="SYT55" s="55"/>
      <c r="SYU55" s="55"/>
      <c r="SYV55" s="55"/>
      <c r="SYW55" s="55"/>
      <c r="SYX55" s="55"/>
      <c r="SYY55" s="55"/>
      <c r="SYZ55" s="55"/>
      <c r="SZA55" s="55"/>
      <c r="SZB55" s="55"/>
      <c r="SZC55" s="55"/>
      <c r="SZD55" s="55"/>
      <c r="SZE55" s="55"/>
      <c r="SZF55" s="55"/>
      <c r="SZG55" s="55"/>
      <c r="SZH55" s="55"/>
      <c r="SZI55" s="55"/>
      <c r="SZJ55" s="55"/>
      <c r="SZK55" s="55"/>
      <c r="SZL55" s="55"/>
      <c r="SZM55" s="55"/>
      <c r="SZN55" s="55"/>
      <c r="SZO55" s="55"/>
      <c r="SZP55" s="55"/>
      <c r="SZQ55" s="55"/>
      <c r="SZR55" s="55"/>
      <c r="SZS55" s="55"/>
      <c r="SZT55" s="55"/>
      <c r="SZU55" s="55"/>
      <c r="SZV55" s="55"/>
      <c r="SZW55" s="55"/>
      <c r="SZX55" s="55"/>
      <c r="SZY55" s="55"/>
      <c r="SZZ55" s="55"/>
      <c r="TAA55" s="55"/>
      <c r="TAB55" s="55"/>
      <c r="TAC55" s="55"/>
      <c r="TAD55" s="55"/>
      <c r="TAE55" s="55"/>
      <c r="TAF55" s="55"/>
      <c r="TAG55" s="55"/>
      <c r="TAH55" s="55"/>
      <c r="TAI55" s="55"/>
      <c r="TAJ55" s="55"/>
      <c r="TAK55" s="55"/>
      <c r="TAL55" s="55"/>
      <c r="TAM55" s="55"/>
      <c r="TAN55" s="55"/>
      <c r="TAO55" s="55"/>
      <c r="TAP55" s="55"/>
      <c r="TAQ55" s="55"/>
      <c r="TAR55" s="55"/>
      <c r="TAS55" s="55"/>
      <c r="TAT55" s="55"/>
      <c r="TAU55" s="55"/>
      <c r="TAV55" s="55"/>
      <c r="TAW55" s="55"/>
      <c r="TAX55" s="55"/>
      <c r="TAY55" s="55"/>
      <c r="TAZ55" s="55"/>
      <c r="TBA55" s="55"/>
      <c r="TBB55" s="55"/>
      <c r="TBC55" s="55"/>
      <c r="TBD55" s="55"/>
      <c r="TBE55" s="55"/>
      <c r="TBF55" s="55"/>
      <c r="TBG55" s="55"/>
      <c r="TBH55" s="55"/>
      <c r="TBI55" s="55"/>
      <c r="TBJ55" s="55"/>
      <c r="TBK55" s="55"/>
      <c r="TBL55" s="55"/>
      <c r="TBM55" s="55"/>
      <c r="TBN55" s="55"/>
      <c r="TBO55" s="55"/>
      <c r="TBP55" s="55"/>
      <c r="TBQ55" s="55"/>
      <c r="TBR55" s="55"/>
      <c r="TBS55" s="55"/>
      <c r="TBT55" s="55"/>
      <c r="TBU55" s="55"/>
      <c r="TBV55" s="55"/>
      <c r="TBW55" s="55"/>
      <c r="TBX55" s="55"/>
      <c r="TBY55" s="55"/>
      <c r="TBZ55" s="55"/>
      <c r="TCA55" s="55"/>
      <c r="TCB55" s="55"/>
      <c r="TCC55" s="55"/>
      <c r="TCD55" s="55"/>
      <c r="TCE55" s="55"/>
      <c r="TCF55" s="55"/>
      <c r="TCG55" s="55"/>
      <c r="TCH55" s="55"/>
      <c r="TCI55" s="55"/>
      <c r="TCJ55" s="55"/>
      <c r="TCK55" s="55"/>
      <c r="TCL55" s="55"/>
      <c r="TCM55" s="55"/>
      <c r="TCN55" s="55"/>
      <c r="TCO55" s="55"/>
      <c r="TCP55" s="55"/>
      <c r="TCQ55" s="55"/>
      <c r="TCR55" s="55"/>
      <c r="TCS55" s="55"/>
      <c r="TCT55" s="55"/>
      <c r="TCU55" s="55"/>
      <c r="TCV55" s="55"/>
      <c r="TCW55" s="55"/>
      <c r="TCX55" s="55"/>
      <c r="TCY55" s="55"/>
      <c r="TCZ55" s="55"/>
      <c r="TDA55" s="55"/>
      <c r="TDB55" s="55"/>
      <c r="TDC55" s="55"/>
      <c r="TDD55" s="55"/>
      <c r="TDE55" s="55"/>
      <c r="TDF55" s="55"/>
      <c r="TDG55" s="55"/>
      <c r="TDH55" s="55"/>
      <c r="TDI55" s="55"/>
      <c r="TDJ55" s="55"/>
      <c r="TDK55" s="55"/>
      <c r="TDL55" s="55"/>
      <c r="TDM55" s="55"/>
      <c r="TDN55" s="55"/>
      <c r="TDO55" s="55"/>
      <c r="TDP55" s="55"/>
      <c r="TDQ55" s="55"/>
      <c r="TDR55" s="55"/>
      <c r="TDS55" s="55"/>
      <c r="TDT55" s="55"/>
      <c r="TDU55" s="55"/>
      <c r="TDV55" s="55"/>
      <c r="TDW55" s="55"/>
      <c r="TDX55" s="55"/>
      <c r="TDY55" s="55"/>
      <c r="TDZ55" s="55"/>
      <c r="TEA55" s="55"/>
      <c r="TEB55" s="55"/>
      <c r="TEC55" s="55"/>
      <c r="TED55" s="55"/>
      <c r="TEE55" s="55"/>
      <c r="TEF55" s="55"/>
      <c r="TEG55" s="55"/>
      <c r="TEH55" s="55"/>
      <c r="TEI55" s="55"/>
      <c r="TEJ55" s="55"/>
      <c r="TEK55" s="55"/>
      <c r="TEL55" s="55"/>
      <c r="TEM55" s="55"/>
      <c r="TEN55" s="55"/>
      <c r="TEO55" s="55"/>
      <c r="TEP55" s="55"/>
      <c r="TEQ55" s="55"/>
      <c r="TER55" s="55"/>
      <c r="TES55" s="55"/>
      <c r="TET55" s="55"/>
      <c r="TEU55" s="55"/>
      <c r="TEV55" s="55"/>
      <c r="TEW55" s="55"/>
      <c r="TEX55" s="55"/>
      <c r="TEY55" s="55"/>
      <c r="TEZ55" s="55"/>
      <c r="TFA55" s="55"/>
      <c r="TFB55" s="55"/>
      <c r="TFC55" s="55"/>
      <c r="TFD55" s="55"/>
      <c r="TFE55" s="55"/>
      <c r="TFF55" s="55"/>
      <c r="TFG55" s="55"/>
      <c r="TFH55" s="55"/>
      <c r="TFI55" s="55"/>
      <c r="TFJ55" s="55"/>
      <c r="TFK55" s="55"/>
      <c r="TFL55" s="55"/>
      <c r="TFM55" s="55"/>
      <c r="TFN55" s="55"/>
      <c r="TFO55" s="55"/>
      <c r="TFP55" s="55"/>
      <c r="TFQ55" s="55"/>
      <c r="TFR55" s="55"/>
      <c r="TFS55" s="55"/>
      <c r="TFT55" s="55"/>
      <c r="TFU55" s="55"/>
      <c r="TFV55" s="55"/>
      <c r="TFW55" s="55"/>
      <c r="TFX55" s="55"/>
      <c r="TFY55" s="55"/>
      <c r="TFZ55" s="55"/>
      <c r="TGA55" s="55"/>
      <c r="TGB55" s="55"/>
      <c r="TGC55" s="55"/>
      <c r="TGD55" s="55"/>
      <c r="TGE55" s="55"/>
      <c r="TGF55" s="55"/>
      <c r="TGG55" s="55"/>
      <c r="TGH55" s="55"/>
      <c r="TGI55" s="55"/>
      <c r="TGJ55" s="55"/>
      <c r="TGK55" s="55"/>
      <c r="TGL55" s="55"/>
      <c r="TGM55" s="55"/>
      <c r="TGN55" s="55"/>
      <c r="TGO55" s="55"/>
      <c r="TGP55" s="55"/>
      <c r="TGQ55" s="55"/>
      <c r="TGR55" s="55"/>
      <c r="TGS55" s="55"/>
      <c r="TGT55" s="55"/>
      <c r="TGU55" s="55"/>
      <c r="TGV55" s="55"/>
      <c r="TGW55" s="55"/>
      <c r="TGX55" s="55"/>
      <c r="TGY55" s="55"/>
      <c r="TGZ55" s="55"/>
      <c r="THA55" s="55"/>
      <c r="THB55" s="55"/>
      <c r="THC55" s="55"/>
      <c r="THD55" s="55"/>
      <c r="THE55" s="55"/>
      <c r="THF55" s="55"/>
      <c r="THG55" s="55"/>
      <c r="THH55" s="55"/>
      <c r="THI55" s="55"/>
      <c r="THJ55" s="55"/>
      <c r="THK55" s="55"/>
      <c r="THL55" s="55"/>
      <c r="THM55" s="55"/>
      <c r="THN55" s="55"/>
      <c r="THO55" s="55"/>
      <c r="THP55" s="55"/>
      <c r="THQ55" s="55"/>
      <c r="THR55" s="55"/>
      <c r="THS55" s="55"/>
      <c r="THT55" s="55"/>
      <c r="THU55" s="55"/>
      <c r="THV55" s="55"/>
      <c r="THW55" s="55"/>
      <c r="THX55" s="55"/>
      <c r="THY55" s="55"/>
      <c r="THZ55" s="55"/>
      <c r="TIA55" s="55"/>
      <c r="TIB55" s="55"/>
      <c r="TIC55" s="55"/>
      <c r="TID55" s="55"/>
      <c r="TIE55" s="55"/>
      <c r="TIF55" s="55"/>
      <c r="TIG55" s="55"/>
      <c r="TIH55" s="55"/>
      <c r="TII55" s="55"/>
      <c r="TIJ55" s="55"/>
      <c r="TIK55" s="55"/>
      <c r="TIL55" s="55"/>
      <c r="TIM55" s="55"/>
      <c r="TIN55" s="55"/>
      <c r="TIO55" s="55"/>
      <c r="TIP55" s="55"/>
      <c r="TIQ55" s="55"/>
      <c r="TIR55" s="55"/>
      <c r="TIS55" s="55"/>
      <c r="TIT55" s="55"/>
      <c r="TIU55" s="55"/>
      <c r="TIV55" s="55"/>
      <c r="TIW55" s="55"/>
      <c r="TIX55" s="55"/>
      <c r="TIY55" s="55"/>
      <c r="TIZ55" s="55"/>
      <c r="TJA55" s="55"/>
      <c r="TJB55" s="55"/>
      <c r="TJC55" s="55"/>
      <c r="TJD55" s="55"/>
      <c r="TJE55" s="55"/>
      <c r="TJF55" s="55"/>
      <c r="TJG55" s="55"/>
      <c r="TJH55" s="55"/>
      <c r="TJI55" s="55"/>
      <c r="TJJ55" s="55"/>
      <c r="TJK55" s="55"/>
      <c r="TJL55" s="55"/>
      <c r="TJM55" s="55"/>
      <c r="TJN55" s="55"/>
      <c r="TJO55" s="55"/>
      <c r="TJP55" s="55"/>
      <c r="TJQ55" s="55"/>
      <c r="TJR55" s="55"/>
      <c r="TJS55" s="55"/>
      <c r="TJT55" s="55"/>
      <c r="TJU55" s="55"/>
      <c r="TJV55" s="55"/>
      <c r="TJW55" s="55"/>
      <c r="TJX55" s="55"/>
      <c r="TJY55" s="55"/>
      <c r="TJZ55" s="55"/>
      <c r="TKA55" s="55"/>
      <c r="TKB55" s="55"/>
      <c r="TKC55" s="55"/>
      <c r="TKD55" s="55"/>
      <c r="TKE55" s="55"/>
      <c r="TKF55" s="55"/>
      <c r="TKG55" s="55"/>
      <c r="TKH55" s="55"/>
      <c r="TKI55" s="55"/>
      <c r="TKJ55" s="55"/>
      <c r="TKK55" s="55"/>
      <c r="TKL55" s="55"/>
      <c r="TKM55" s="55"/>
      <c r="TKN55" s="55"/>
      <c r="TKO55" s="55"/>
      <c r="TKP55" s="55"/>
      <c r="TKQ55" s="55"/>
      <c r="TKR55" s="55"/>
      <c r="TKS55" s="55"/>
      <c r="TKT55" s="55"/>
      <c r="TKU55" s="55"/>
      <c r="TKV55" s="55"/>
      <c r="TKW55" s="55"/>
      <c r="TKX55" s="55"/>
      <c r="TKY55" s="55"/>
      <c r="TKZ55" s="55"/>
      <c r="TLA55" s="55"/>
      <c r="TLB55" s="55"/>
      <c r="TLC55" s="55"/>
      <c r="TLD55" s="55"/>
      <c r="TLE55" s="55"/>
      <c r="TLF55" s="55"/>
      <c r="TLG55" s="55"/>
      <c r="TLH55" s="55"/>
      <c r="TLI55" s="55"/>
      <c r="TLJ55" s="55"/>
      <c r="TLK55" s="55"/>
      <c r="TLL55" s="55"/>
      <c r="TLM55" s="55"/>
      <c r="TLN55" s="55"/>
      <c r="TLO55" s="55"/>
      <c r="TLP55" s="55"/>
      <c r="TLQ55" s="55"/>
      <c r="TLR55" s="55"/>
      <c r="TLS55" s="55"/>
      <c r="TLT55" s="55"/>
      <c r="TLU55" s="55"/>
      <c r="TLV55" s="55"/>
      <c r="TLW55" s="55"/>
      <c r="TLX55" s="55"/>
      <c r="TLY55" s="55"/>
      <c r="TLZ55" s="55"/>
      <c r="TMA55" s="55"/>
      <c r="TMB55" s="55"/>
      <c r="TMC55" s="55"/>
      <c r="TMD55" s="55"/>
      <c r="TME55" s="55"/>
      <c r="TMF55" s="55"/>
      <c r="TMG55" s="55"/>
      <c r="TMH55" s="55"/>
      <c r="TMI55" s="55"/>
      <c r="TMJ55" s="55"/>
      <c r="TMK55" s="55"/>
      <c r="TML55" s="55"/>
      <c r="TMM55" s="55"/>
      <c r="TMN55" s="55"/>
      <c r="TMO55" s="55"/>
      <c r="TMP55" s="55"/>
      <c r="TMQ55" s="55"/>
      <c r="TMR55" s="55"/>
      <c r="TMS55" s="55"/>
      <c r="TMT55" s="55"/>
      <c r="TMU55" s="55"/>
      <c r="TMV55" s="55"/>
      <c r="TMW55" s="55"/>
      <c r="TMX55" s="55"/>
      <c r="TMY55" s="55"/>
      <c r="TMZ55" s="55"/>
      <c r="TNA55" s="55"/>
      <c r="TNB55" s="55"/>
      <c r="TNC55" s="55"/>
      <c r="TND55" s="55"/>
      <c r="TNE55" s="55"/>
      <c r="TNF55" s="55"/>
      <c r="TNG55" s="55"/>
      <c r="TNH55" s="55"/>
      <c r="TNI55" s="55"/>
      <c r="TNJ55" s="55"/>
      <c r="TNK55" s="55"/>
      <c r="TNL55" s="55"/>
      <c r="TNM55" s="55"/>
      <c r="TNN55" s="55"/>
      <c r="TNO55" s="55"/>
      <c r="TNP55" s="55"/>
      <c r="TNQ55" s="55"/>
      <c r="TNR55" s="55"/>
      <c r="TNS55" s="55"/>
      <c r="TNT55" s="55"/>
      <c r="TNU55" s="55"/>
      <c r="TNV55" s="55"/>
      <c r="TNW55" s="55"/>
      <c r="TNX55" s="55"/>
      <c r="TNY55" s="55"/>
      <c r="TNZ55" s="55"/>
      <c r="TOA55" s="55"/>
      <c r="TOB55" s="55"/>
      <c r="TOC55" s="55"/>
      <c r="TOD55" s="55"/>
      <c r="TOE55" s="55"/>
      <c r="TOF55" s="55"/>
      <c r="TOG55" s="55"/>
      <c r="TOH55" s="55"/>
      <c r="TOI55" s="55"/>
      <c r="TOJ55" s="55"/>
      <c r="TOK55" s="55"/>
      <c r="TOL55" s="55"/>
      <c r="TOM55" s="55"/>
      <c r="TON55" s="55"/>
      <c r="TOO55" s="55"/>
      <c r="TOP55" s="55"/>
      <c r="TOQ55" s="55"/>
      <c r="TOR55" s="55"/>
      <c r="TOS55" s="55"/>
      <c r="TOT55" s="55"/>
      <c r="TOU55" s="55"/>
      <c r="TOV55" s="55"/>
      <c r="TOW55" s="55"/>
      <c r="TOX55" s="55"/>
      <c r="TOY55" s="55"/>
      <c r="TOZ55" s="55"/>
      <c r="TPA55" s="55"/>
      <c r="TPB55" s="55"/>
      <c r="TPC55" s="55"/>
      <c r="TPD55" s="55"/>
      <c r="TPE55" s="55"/>
      <c r="TPF55" s="55"/>
      <c r="TPG55" s="55"/>
      <c r="TPH55" s="55"/>
      <c r="TPI55" s="55"/>
      <c r="TPJ55" s="55"/>
      <c r="TPK55" s="55"/>
      <c r="TPL55" s="55"/>
      <c r="TPM55" s="55"/>
      <c r="TPN55" s="55"/>
      <c r="TPO55" s="55"/>
      <c r="TPP55" s="55"/>
      <c r="TPQ55" s="55"/>
      <c r="TPR55" s="55"/>
      <c r="TPS55" s="55"/>
      <c r="TPT55" s="55"/>
      <c r="TPU55" s="55"/>
      <c r="TPV55" s="55"/>
      <c r="TPW55" s="55"/>
      <c r="TPX55" s="55"/>
      <c r="TPY55" s="55"/>
      <c r="TPZ55" s="55"/>
      <c r="TQA55" s="55"/>
      <c r="TQB55" s="55"/>
      <c r="TQC55" s="55"/>
      <c r="TQD55" s="55"/>
      <c r="TQE55" s="55"/>
      <c r="TQF55" s="55"/>
      <c r="TQG55" s="55"/>
      <c r="TQH55" s="55"/>
      <c r="TQI55" s="55"/>
      <c r="TQJ55" s="55"/>
      <c r="TQK55" s="55"/>
      <c r="TQL55" s="55"/>
      <c r="TQM55" s="55"/>
      <c r="TQN55" s="55"/>
      <c r="TQO55" s="55"/>
      <c r="TQP55" s="55"/>
      <c r="TQQ55" s="55"/>
      <c r="TQR55" s="55"/>
      <c r="TQS55" s="55"/>
      <c r="TQT55" s="55"/>
      <c r="TQU55" s="55"/>
      <c r="TQV55" s="55"/>
      <c r="TQW55" s="55"/>
      <c r="TQX55" s="55"/>
      <c r="TQY55" s="55"/>
      <c r="TQZ55" s="55"/>
      <c r="TRA55" s="55"/>
      <c r="TRB55" s="55"/>
      <c r="TRC55" s="55"/>
      <c r="TRD55" s="55"/>
      <c r="TRE55" s="55"/>
      <c r="TRF55" s="55"/>
      <c r="TRG55" s="55"/>
      <c r="TRH55" s="55"/>
      <c r="TRI55" s="55"/>
      <c r="TRJ55" s="55"/>
      <c r="TRK55" s="55"/>
      <c r="TRL55" s="55"/>
      <c r="TRM55" s="55"/>
      <c r="TRN55" s="55"/>
      <c r="TRO55" s="55"/>
      <c r="TRP55" s="55"/>
      <c r="TRQ55" s="55"/>
      <c r="TRR55" s="55"/>
      <c r="TRS55" s="55"/>
      <c r="TRT55" s="55"/>
      <c r="TRU55" s="55"/>
      <c r="TRV55" s="55"/>
      <c r="TRW55" s="55"/>
      <c r="TRX55" s="55"/>
      <c r="TRY55" s="55"/>
      <c r="TRZ55" s="55"/>
      <c r="TSA55" s="55"/>
      <c r="TSB55" s="55"/>
      <c r="TSC55" s="55"/>
      <c r="TSD55" s="55"/>
      <c r="TSE55" s="55"/>
      <c r="TSF55" s="55"/>
      <c r="TSG55" s="55"/>
      <c r="TSH55" s="55"/>
      <c r="TSI55" s="55"/>
      <c r="TSJ55" s="55"/>
      <c r="TSK55" s="55"/>
      <c r="TSL55" s="55"/>
      <c r="TSM55" s="55"/>
      <c r="TSN55" s="55"/>
      <c r="TSO55" s="55"/>
      <c r="TSP55" s="55"/>
      <c r="TSQ55" s="55"/>
      <c r="TSR55" s="55"/>
      <c r="TSS55" s="55"/>
      <c r="TST55" s="55"/>
      <c r="TSU55" s="55"/>
      <c r="TSV55" s="55"/>
      <c r="TSW55" s="55"/>
      <c r="TSX55" s="55"/>
      <c r="TSY55" s="55"/>
      <c r="TSZ55" s="55"/>
      <c r="TTA55" s="55"/>
      <c r="TTB55" s="55"/>
      <c r="TTC55" s="55"/>
      <c r="TTD55" s="55"/>
      <c r="TTE55" s="55"/>
      <c r="TTF55" s="55"/>
      <c r="TTG55" s="55"/>
      <c r="TTH55" s="55"/>
      <c r="TTI55" s="55"/>
      <c r="TTJ55" s="55"/>
      <c r="TTK55" s="55"/>
      <c r="TTL55" s="55"/>
      <c r="TTM55" s="55"/>
      <c r="TTN55" s="55"/>
      <c r="TTO55" s="55"/>
      <c r="TTP55" s="55"/>
      <c r="TTQ55" s="55"/>
      <c r="TTR55" s="55"/>
      <c r="TTS55" s="55"/>
      <c r="TTT55" s="55"/>
      <c r="TTU55" s="55"/>
      <c r="TTV55" s="55"/>
      <c r="TTW55" s="55"/>
      <c r="TTX55" s="55"/>
      <c r="TTY55" s="55"/>
      <c r="TTZ55" s="55"/>
      <c r="TUA55" s="55"/>
      <c r="TUB55" s="55"/>
      <c r="TUC55" s="55"/>
      <c r="TUD55" s="55"/>
      <c r="TUE55" s="55"/>
      <c r="TUF55" s="55"/>
      <c r="TUG55" s="55"/>
      <c r="TUH55" s="55"/>
      <c r="TUI55" s="55"/>
      <c r="TUJ55" s="55"/>
      <c r="TUK55" s="55"/>
      <c r="TUL55" s="55"/>
      <c r="TUM55" s="55"/>
      <c r="TUN55" s="55"/>
      <c r="TUO55" s="55"/>
      <c r="TUP55" s="55"/>
      <c r="TUQ55" s="55"/>
      <c r="TUR55" s="55"/>
      <c r="TUS55" s="55"/>
      <c r="TUT55" s="55"/>
      <c r="TUU55" s="55"/>
      <c r="TUV55" s="55"/>
      <c r="TUW55" s="55"/>
      <c r="TUX55" s="55"/>
      <c r="TUY55" s="55"/>
      <c r="TUZ55" s="55"/>
      <c r="TVA55" s="55"/>
      <c r="TVB55" s="55"/>
      <c r="TVC55" s="55"/>
      <c r="TVD55" s="55"/>
      <c r="TVE55" s="55"/>
      <c r="TVF55" s="55"/>
      <c r="TVG55" s="55"/>
      <c r="TVH55" s="55"/>
      <c r="TVI55" s="55"/>
      <c r="TVJ55" s="55"/>
      <c r="TVK55" s="55"/>
      <c r="TVL55" s="55"/>
      <c r="TVM55" s="55"/>
      <c r="TVN55" s="55"/>
      <c r="TVO55" s="55"/>
      <c r="TVP55" s="55"/>
      <c r="TVQ55" s="55"/>
      <c r="TVR55" s="55"/>
      <c r="TVS55" s="55"/>
      <c r="TVT55" s="55"/>
      <c r="TVU55" s="55"/>
      <c r="TVV55" s="55"/>
      <c r="TVW55" s="55"/>
      <c r="TVX55" s="55"/>
      <c r="TVY55" s="55"/>
      <c r="TVZ55" s="55"/>
      <c r="TWA55" s="55"/>
      <c r="TWB55" s="55"/>
      <c r="TWC55" s="55"/>
      <c r="TWD55" s="55"/>
      <c r="TWE55" s="55"/>
      <c r="TWF55" s="55"/>
      <c r="TWG55" s="55"/>
      <c r="TWH55" s="55"/>
      <c r="TWI55" s="55"/>
      <c r="TWJ55" s="55"/>
      <c r="TWK55" s="55"/>
      <c r="TWL55" s="55"/>
      <c r="TWM55" s="55"/>
      <c r="TWN55" s="55"/>
      <c r="TWO55" s="55"/>
      <c r="TWP55" s="55"/>
      <c r="TWQ55" s="55"/>
      <c r="TWR55" s="55"/>
      <c r="TWS55" s="55"/>
      <c r="TWT55" s="55"/>
      <c r="TWU55" s="55"/>
      <c r="TWV55" s="55"/>
      <c r="TWW55" s="55"/>
      <c r="TWX55" s="55"/>
      <c r="TWY55" s="55"/>
      <c r="TWZ55" s="55"/>
      <c r="TXA55" s="55"/>
      <c r="TXB55" s="55"/>
      <c r="TXC55" s="55"/>
      <c r="TXD55" s="55"/>
      <c r="TXE55" s="55"/>
      <c r="TXF55" s="55"/>
      <c r="TXG55" s="55"/>
      <c r="TXH55" s="55"/>
      <c r="TXI55" s="55"/>
      <c r="TXJ55" s="55"/>
      <c r="TXK55" s="55"/>
      <c r="TXL55" s="55"/>
      <c r="TXM55" s="55"/>
      <c r="TXN55" s="55"/>
      <c r="TXO55" s="55"/>
      <c r="TXP55" s="55"/>
      <c r="TXQ55" s="55"/>
      <c r="TXR55" s="55"/>
      <c r="TXS55" s="55"/>
      <c r="TXT55" s="55"/>
      <c r="TXU55" s="55"/>
      <c r="TXV55" s="55"/>
      <c r="TXW55" s="55"/>
      <c r="TXX55" s="55"/>
      <c r="TXY55" s="55"/>
      <c r="TXZ55" s="55"/>
      <c r="TYA55" s="55"/>
      <c r="TYB55" s="55"/>
      <c r="TYC55" s="55"/>
      <c r="TYD55" s="55"/>
      <c r="TYE55" s="55"/>
      <c r="TYF55" s="55"/>
      <c r="TYG55" s="55"/>
      <c r="TYH55" s="55"/>
      <c r="TYI55" s="55"/>
      <c r="TYJ55" s="55"/>
      <c r="TYK55" s="55"/>
      <c r="TYL55" s="55"/>
      <c r="TYM55" s="55"/>
      <c r="TYN55" s="55"/>
      <c r="TYO55" s="55"/>
      <c r="TYP55" s="55"/>
      <c r="TYQ55" s="55"/>
      <c r="TYR55" s="55"/>
      <c r="TYS55" s="55"/>
      <c r="TYT55" s="55"/>
      <c r="TYU55" s="55"/>
      <c r="TYV55" s="55"/>
      <c r="TYW55" s="55"/>
      <c r="TYX55" s="55"/>
      <c r="TYY55" s="55"/>
      <c r="TYZ55" s="55"/>
      <c r="TZA55" s="55"/>
      <c r="TZB55" s="55"/>
      <c r="TZC55" s="55"/>
      <c r="TZD55" s="55"/>
      <c r="TZE55" s="55"/>
      <c r="TZF55" s="55"/>
      <c r="TZG55" s="55"/>
      <c r="TZH55" s="55"/>
      <c r="TZI55" s="55"/>
      <c r="TZJ55" s="55"/>
      <c r="TZK55" s="55"/>
      <c r="TZL55" s="55"/>
      <c r="TZM55" s="55"/>
      <c r="TZN55" s="55"/>
      <c r="TZO55" s="55"/>
      <c r="TZP55" s="55"/>
      <c r="TZQ55" s="55"/>
      <c r="TZR55" s="55"/>
      <c r="TZS55" s="55"/>
      <c r="TZT55" s="55"/>
      <c r="TZU55" s="55"/>
      <c r="TZV55" s="55"/>
      <c r="TZW55" s="55"/>
      <c r="TZX55" s="55"/>
      <c r="TZY55" s="55"/>
      <c r="TZZ55" s="55"/>
      <c r="UAA55" s="55"/>
      <c r="UAB55" s="55"/>
      <c r="UAC55" s="55"/>
      <c r="UAD55" s="55"/>
      <c r="UAE55" s="55"/>
      <c r="UAF55" s="55"/>
      <c r="UAG55" s="55"/>
      <c r="UAH55" s="55"/>
      <c r="UAI55" s="55"/>
      <c r="UAJ55" s="55"/>
      <c r="UAK55" s="55"/>
      <c r="UAL55" s="55"/>
      <c r="UAM55" s="55"/>
      <c r="UAN55" s="55"/>
      <c r="UAO55" s="55"/>
      <c r="UAP55" s="55"/>
      <c r="UAQ55" s="55"/>
      <c r="UAR55" s="55"/>
      <c r="UAS55" s="55"/>
      <c r="UAT55" s="55"/>
      <c r="UAU55" s="55"/>
      <c r="UAV55" s="55"/>
      <c r="UAW55" s="55"/>
      <c r="UAX55" s="55"/>
      <c r="UAY55" s="55"/>
      <c r="UAZ55" s="55"/>
      <c r="UBA55" s="55"/>
      <c r="UBB55" s="55"/>
      <c r="UBC55" s="55"/>
      <c r="UBD55" s="55"/>
      <c r="UBE55" s="55"/>
      <c r="UBF55" s="55"/>
      <c r="UBG55" s="55"/>
      <c r="UBH55" s="55"/>
      <c r="UBI55" s="55"/>
      <c r="UBJ55" s="55"/>
      <c r="UBK55" s="55"/>
      <c r="UBL55" s="55"/>
      <c r="UBM55" s="55"/>
      <c r="UBN55" s="55"/>
      <c r="UBO55" s="55"/>
      <c r="UBP55" s="55"/>
      <c r="UBQ55" s="55"/>
      <c r="UBR55" s="55"/>
      <c r="UBS55" s="55"/>
      <c r="UBT55" s="55"/>
      <c r="UBU55" s="55"/>
      <c r="UBV55" s="55"/>
      <c r="UBW55" s="55"/>
      <c r="UBX55" s="55"/>
      <c r="UBY55" s="55"/>
      <c r="UBZ55" s="55"/>
      <c r="UCA55" s="55"/>
      <c r="UCB55" s="55"/>
      <c r="UCC55" s="55"/>
      <c r="UCD55" s="55"/>
      <c r="UCE55" s="55"/>
      <c r="UCF55" s="55"/>
      <c r="UCG55" s="55"/>
      <c r="UCH55" s="55"/>
      <c r="UCI55" s="55"/>
      <c r="UCJ55" s="55"/>
      <c r="UCK55" s="55"/>
      <c r="UCL55" s="55"/>
      <c r="UCM55" s="55"/>
      <c r="UCN55" s="55"/>
      <c r="UCO55" s="55"/>
      <c r="UCP55" s="55"/>
      <c r="UCQ55" s="55"/>
      <c r="UCR55" s="55"/>
      <c r="UCS55" s="55"/>
      <c r="UCT55" s="55"/>
      <c r="UCU55" s="55"/>
      <c r="UCV55" s="55"/>
      <c r="UCW55" s="55"/>
      <c r="UCX55" s="55"/>
      <c r="UCY55" s="55"/>
      <c r="UCZ55" s="55"/>
      <c r="UDA55" s="55"/>
      <c r="UDB55" s="55"/>
      <c r="UDC55" s="55"/>
      <c r="UDD55" s="55"/>
      <c r="UDE55" s="55"/>
      <c r="UDF55" s="55"/>
      <c r="UDG55" s="55"/>
      <c r="UDH55" s="55"/>
      <c r="UDI55" s="55"/>
      <c r="UDJ55" s="55"/>
      <c r="UDK55" s="55"/>
      <c r="UDL55" s="55"/>
      <c r="UDM55" s="55"/>
      <c r="UDN55" s="55"/>
      <c r="UDO55" s="55"/>
      <c r="UDP55" s="55"/>
      <c r="UDQ55" s="55"/>
      <c r="UDR55" s="55"/>
      <c r="UDS55" s="55"/>
      <c r="UDT55" s="55"/>
      <c r="UDU55" s="55"/>
      <c r="UDV55" s="55"/>
      <c r="UDW55" s="55"/>
      <c r="UDX55" s="55"/>
      <c r="UDY55" s="55"/>
      <c r="UDZ55" s="55"/>
      <c r="UEA55" s="55"/>
      <c r="UEB55" s="55"/>
      <c r="UEC55" s="55"/>
      <c r="UED55" s="55"/>
      <c r="UEE55" s="55"/>
      <c r="UEF55" s="55"/>
      <c r="UEG55" s="55"/>
      <c r="UEH55" s="55"/>
      <c r="UEI55" s="55"/>
      <c r="UEJ55" s="55"/>
      <c r="UEK55" s="55"/>
      <c r="UEL55" s="55"/>
      <c r="UEM55" s="55"/>
      <c r="UEN55" s="55"/>
      <c r="UEO55" s="55"/>
      <c r="UEP55" s="55"/>
      <c r="UEQ55" s="55"/>
      <c r="UER55" s="55"/>
      <c r="UES55" s="55"/>
      <c r="UET55" s="55"/>
      <c r="UEU55" s="55"/>
      <c r="UEV55" s="55"/>
      <c r="UEW55" s="55"/>
      <c r="UEX55" s="55"/>
      <c r="UEY55" s="55"/>
      <c r="UEZ55" s="55"/>
      <c r="UFA55" s="55"/>
      <c r="UFB55" s="55"/>
      <c r="UFC55" s="55"/>
      <c r="UFD55" s="55"/>
      <c r="UFE55" s="55"/>
      <c r="UFF55" s="55"/>
      <c r="UFG55" s="55"/>
      <c r="UFH55" s="55"/>
      <c r="UFI55" s="55"/>
      <c r="UFJ55" s="55"/>
      <c r="UFK55" s="55"/>
      <c r="UFL55" s="55"/>
      <c r="UFM55" s="55"/>
      <c r="UFN55" s="55"/>
      <c r="UFO55" s="55"/>
      <c r="UFP55" s="55"/>
      <c r="UFQ55" s="55"/>
      <c r="UFR55" s="55"/>
      <c r="UFS55" s="55"/>
      <c r="UFT55" s="55"/>
      <c r="UFU55" s="55"/>
      <c r="UFV55" s="55"/>
      <c r="UFW55" s="55"/>
      <c r="UFX55" s="55"/>
      <c r="UFY55" s="55"/>
      <c r="UFZ55" s="55"/>
      <c r="UGA55" s="55"/>
      <c r="UGB55" s="55"/>
      <c r="UGC55" s="55"/>
      <c r="UGD55" s="55"/>
      <c r="UGE55" s="55"/>
      <c r="UGF55" s="55"/>
      <c r="UGG55" s="55"/>
      <c r="UGH55" s="55"/>
      <c r="UGI55" s="55"/>
      <c r="UGJ55" s="55"/>
      <c r="UGK55" s="55"/>
      <c r="UGL55" s="55"/>
      <c r="UGM55" s="55"/>
      <c r="UGN55" s="55"/>
      <c r="UGO55" s="55"/>
      <c r="UGP55" s="55"/>
      <c r="UGQ55" s="55"/>
      <c r="UGR55" s="55"/>
      <c r="UGS55" s="55"/>
      <c r="UGT55" s="55"/>
      <c r="UGU55" s="55"/>
      <c r="UGV55" s="55"/>
      <c r="UGW55" s="55"/>
      <c r="UGX55" s="55"/>
      <c r="UGY55" s="55"/>
      <c r="UGZ55" s="55"/>
      <c r="UHA55" s="55"/>
      <c r="UHB55" s="55"/>
      <c r="UHC55" s="55"/>
      <c r="UHD55" s="55"/>
      <c r="UHE55" s="55"/>
      <c r="UHF55" s="55"/>
      <c r="UHG55" s="55"/>
      <c r="UHH55" s="55"/>
      <c r="UHI55" s="55"/>
      <c r="UHJ55" s="55"/>
      <c r="UHK55" s="55"/>
      <c r="UHL55" s="55"/>
      <c r="UHM55" s="55"/>
      <c r="UHN55" s="55"/>
      <c r="UHO55" s="55"/>
      <c r="UHP55" s="55"/>
      <c r="UHQ55" s="55"/>
      <c r="UHR55" s="55"/>
      <c r="UHS55" s="55"/>
      <c r="UHT55" s="55"/>
      <c r="UHU55" s="55"/>
      <c r="UHV55" s="55"/>
      <c r="UHW55" s="55"/>
      <c r="UHX55" s="55"/>
      <c r="UHY55" s="55"/>
      <c r="UHZ55" s="55"/>
      <c r="UIA55" s="55"/>
      <c r="UIB55" s="55"/>
      <c r="UIC55" s="55"/>
      <c r="UID55" s="55"/>
      <c r="UIE55" s="55"/>
      <c r="UIF55" s="55"/>
      <c r="UIG55" s="55"/>
      <c r="UIH55" s="55"/>
      <c r="UII55" s="55"/>
      <c r="UIJ55" s="55"/>
      <c r="UIK55" s="55"/>
      <c r="UIL55" s="55"/>
      <c r="UIM55" s="55"/>
      <c r="UIN55" s="55"/>
      <c r="UIO55" s="55"/>
      <c r="UIP55" s="55"/>
      <c r="UIQ55" s="55"/>
      <c r="UIR55" s="55"/>
      <c r="UIS55" s="55"/>
      <c r="UIT55" s="55"/>
      <c r="UIU55" s="55"/>
      <c r="UIV55" s="55"/>
      <c r="UIW55" s="55"/>
      <c r="UIX55" s="55"/>
      <c r="UIY55" s="55"/>
      <c r="UIZ55" s="55"/>
      <c r="UJA55" s="55"/>
      <c r="UJB55" s="55"/>
      <c r="UJC55" s="55"/>
      <c r="UJD55" s="55"/>
      <c r="UJE55" s="55"/>
      <c r="UJF55" s="55"/>
      <c r="UJG55" s="55"/>
      <c r="UJH55" s="55"/>
      <c r="UJI55" s="55"/>
      <c r="UJJ55" s="55"/>
      <c r="UJK55" s="55"/>
      <c r="UJL55" s="55"/>
      <c r="UJM55" s="55"/>
      <c r="UJN55" s="55"/>
      <c r="UJO55" s="55"/>
      <c r="UJP55" s="55"/>
      <c r="UJQ55" s="55"/>
      <c r="UJR55" s="55"/>
      <c r="UJS55" s="55"/>
      <c r="UJT55" s="55"/>
      <c r="UJU55" s="55"/>
      <c r="UJV55" s="55"/>
      <c r="UJW55" s="55"/>
      <c r="UJX55" s="55"/>
      <c r="UJY55" s="55"/>
      <c r="UJZ55" s="55"/>
      <c r="UKA55" s="55"/>
      <c r="UKB55" s="55"/>
      <c r="UKC55" s="55"/>
      <c r="UKD55" s="55"/>
      <c r="UKE55" s="55"/>
      <c r="UKF55" s="55"/>
      <c r="UKG55" s="55"/>
      <c r="UKH55" s="55"/>
      <c r="UKI55" s="55"/>
      <c r="UKJ55" s="55"/>
      <c r="UKK55" s="55"/>
      <c r="UKL55" s="55"/>
      <c r="UKM55" s="55"/>
      <c r="UKN55" s="55"/>
      <c r="UKO55" s="55"/>
      <c r="UKP55" s="55"/>
      <c r="UKQ55" s="55"/>
      <c r="UKR55" s="55"/>
      <c r="UKS55" s="55"/>
      <c r="UKT55" s="55"/>
      <c r="UKU55" s="55"/>
      <c r="UKV55" s="55"/>
      <c r="UKW55" s="55"/>
      <c r="UKX55" s="55"/>
      <c r="UKY55" s="55"/>
      <c r="UKZ55" s="55"/>
      <c r="ULA55" s="55"/>
      <c r="ULB55" s="55"/>
      <c r="ULC55" s="55"/>
      <c r="ULD55" s="55"/>
      <c r="ULE55" s="55"/>
      <c r="ULF55" s="55"/>
      <c r="ULG55" s="55"/>
      <c r="ULH55" s="55"/>
      <c r="ULI55" s="55"/>
      <c r="ULJ55" s="55"/>
      <c r="ULK55" s="55"/>
      <c r="ULL55" s="55"/>
      <c r="ULM55" s="55"/>
      <c r="ULN55" s="55"/>
      <c r="ULO55" s="55"/>
      <c r="ULP55" s="55"/>
      <c r="ULQ55" s="55"/>
      <c r="ULR55" s="55"/>
      <c r="ULS55" s="55"/>
      <c r="ULT55" s="55"/>
      <c r="ULU55" s="55"/>
      <c r="ULV55" s="55"/>
      <c r="ULW55" s="55"/>
      <c r="ULX55" s="55"/>
      <c r="ULY55" s="55"/>
      <c r="ULZ55" s="55"/>
      <c r="UMA55" s="55"/>
      <c r="UMB55" s="55"/>
      <c r="UMC55" s="55"/>
      <c r="UMD55" s="55"/>
      <c r="UME55" s="55"/>
      <c r="UMF55" s="55"/>
      <c r="UMG55" s="55"/>
      <c r="UMH55" s="55"/>
      <c r="UMI55" s="55"/>
      <c r="UMJ55" s="55"/>
      <c r="UMK55" s="55"/>
      <c r="UML55" s="55"/>
      <c r="UMM55" s="55"/>
      <c r="UMN55" s="55"/>
      <c r="UMO55" s="55"/>
      <c r="UMP55" s="55"/>
      <c r="UMQ55" s="55"/>
      <c r="UMR55" s="55"/>
      <c r="UMS55" s="55"/>
      <c r="UMT55" s="55"/>
      <c r="UMU55" s="55"/>
      <c r="UMV55" s="55"/>
      <c r="UMW55" s="55"/>
      <c r="UMX55" s="55"/>
      <c r="UMY55" s="55"/>
      <c r="UMZ55" s="55"/>
      <c r="UNA55" s="55"/>
      <c r="UNB55" s="55"/>
      <c r="UNC55" s="55"/>
      <c r="UND55" s="55"/>
      <c r="UNE55" s="55"/>
      <c r="UNF55" s="55"/>
      <c r="UNG55" s="55"/>
      <c r="UNH55" s="55"/>
      <c r="UNI55" s="55"/>
      <c r="UNJ55" s="55"/>
      <c r="UNK55" s="55"/>
      <c r="UNL55" s="55"/>
      <c r="UNM55" s="55"/>
      <c r="UNN55" s="55"/>
      <c r="UNO55" s="55"/>
      <c r="UNP55" s="55"/>
      <c r="UNQ55" s="55"/>
      <c r="UNR55" s="55"/>
      <c r="UNS55" s="55"/>
      <c r="UNT55" s="55"/>
      <c r="UNU55" s="55"/>
      <c r="UNV55" s="55"/>
      <c r="UNW55" s="55"/>
      <c r="UNX55" s="55"/>
      <c r="UNY55" s="55"/>
      <c r="UNZ55" s="55"/>
      <c r="UOA55" s="55"/>
      <c r="UOB55" s="55"/>
      <c r="UOC55" s="55"/>
      <c r="UOD55" s="55"/>
      <c r="UOE55" s="55"/>
      <c r="UOF55" s="55"/>
      <c r="UOG55" s="55"/>
      <c r="UOH55" s="55"/>
      <c r="UOI55" s="55"/>
      <c r="UOJ55" s="55"/>
      <c r="UOK55" s="55"/>
      <c r="UOL55" s="55"/>
      <c r="UOM55" s="55"/>
      <c r="UON55" s="55"/>
      <c r="UOO55" s="55"/>
      <c r="UOP55" s="55"/>
      <c r="UOQ55" s="55"/>
      <c r="UOR55" s="55"/>
      <c r="UOS55" s="55"/>
      <c r="UOT55" s="55"/>
      <c r="UOU55" s="55"/>
      <c r="UOV55" s="55"/>
      <c r="UOW55" s="55"/>
      <c r="UOX55" s="55"/>
      <c r="UOY55" s="55"/>
      <c r="UOZ55" s="55"/>
      <c r="UPA55" s="55"/>
      <c r="UPB55" s="55"/>
      <c r="UPC55" s="55"/>
      <c r="UPD55" s="55"/>
      <c r="UPE55" s="55"/>
      <c r="UPF55" s="55"/>
      <c r="UPG55" s="55"/>
      <c r="UPH55" s="55"/>
      <c r="UPI55" s="55"/>
      <c r="UPJ55" s="55"/>
      <c r="UPK55" s="55"/>
      <c r="UPL55" s="55"/>
      <c r="UPM55" s="55"/>
      <c r="UPN55" s="55"/>
      <c r="UPO55" s="55"/>
      <c r="UPP55" s="55"/>
      <c r="UPQ55" s="55"/>
      <c r="UPR55" s="55"/>
      <c r="UPS55" s="55"/>
      <c r="UPT55" s="55"/>
      <c r="UPU55" s="55"/>
      <c r="UPV55" s="55"/>
      <c r="UPW55" s="55"/>
      <c r="UPX55" s="55"/>
      <c r="UPY55" s="55"/>
      <c r="UPZ55" s="55"/>
      <c r="UQA55" s="55"/>
      <c r="UQB55" s="55"/>
      <c r="UQC55" s="55"/>
      <c r="UQD55" s="55"/>
      <c r="UQE55" s="55"/>
      <c r="UQF55" s="55"/>
      <c r="UQG55" s="55"/>
      <c r="UQH55" s="55"/>
      <c r="UQI55" s="55"/>
      <c r="UQJ55" s="55"/>
      <c r="UQK55" s="55"/>
      <c r="UQL55" s="55"/>
      <c r="UQM55" s="55"/>
      <c r="UQN55" s="55"/>
      <c r="UQO55" s="55"/>
      <c r="UQP55" s="55"/>
      <c r="UQQ55" s="55"/>
      <c r="UQR55" s="55"/>
      <c r="UQS55" s="55"/>
      <c r="UQT55" s="55"/>
      <c r="UQU55" s="55"/>
      <c r="UQV55" s="55"/>
      <c r="UQW55" s="55"/>
      <c r="UQX55" s="55"/>
      <c r="UQY55" s="55"/>
      <c r="UQZ55" s="55"/>
      <c r="URA55" s="55"/>
      <c r="URB55" s="55"/>
      <c r="URC55" s="55"/>
      <c r="URD55" s="55"/>
      <c r="URE55" s="55"/>
      <c r="URF55" s="55"/>
      <c r="URG55" s="55"/>
      <c r="URH55" s="55"/>
      <c r="URI55" s="55"/>
      <c r="URJ55" s="55"/>
      <c r="URK55" s="55"/>
      <c r="URL55" s="55"/>
      <c r="URM55" s="55"/>
      <c r="URN55" s="55"/>
      <c r="URO55" s="55"/>
      <c r="URP55" s="55"/>
      <c r="URQ55" s="55"/>
      <c r="URR55" s="55"/>
      <c r="URS55" s="55"/>
      <c r="URT55" s="55"/>
      <c r="URU55" s="55"/>
      <c r="URV55" s="55"/>
      <c r="URW55" s="55"/>
      <c r="URX55" s="55"/>
      <c r="URY55" s="55"/>
      <c r="URZ55" s="55"/>
      <c r="USA55" s="55"/>
      <c r="USB55" s="55"/>
      <c r="USC55" s="55"/>
      <c r="USD55" s="55"/>
      <c r="USE55" s="55"/>
      <c r="USF55" s="55"/>
      <c r="USG55" s="55"/>
      <c r="USH55" s="55"/>
      <c r="USI55" s="55"/>
      <c r="USJ55" s="55"/>
      <c r="USK55" s="55"/>
      <c r="USL55" s="55"/>
      <c r="USM55" s="55"/>
      <c r="USN55" s="55"/>
      <c r="USO55" s="55"/>
      <c r="USP55" s="55"/>
      <c r="USQ55" s="55"/>
      <c r="USR55" s="55"/>
      <c r="USS55" s="55"/>
      <c r="UST55" s="55"/>
      <c r="USU55" s="55"/>
      <c r="USV55" s="55"/>
      <c r="USW55" s="55"/>
      <c r="USX55" s="55"/>
      <c r="USY55" s="55"/>
      <c r="USZ55" s="55"/>
      <c r="UTA55" s="55"/>
      <c r="UTB55" s="55"/>
      <c r="UTC55" s="55"/>
      <c r="UTD55" s="55"/>
      <c r="UTE55" s="55"/>
      <c r="UTF55" s="55"/>
      <c r="UTG55" s="55"/>
      <c r="UTH55" s="55"/>
      <c r="UTI55" s="55"/>
      <c r="UTJ55" s="55"/>
      <c r="UTK55" s="55"/>
      <c r="UTL55" s="55"/>
      <c r="UTM55" s="55"/>
      <c r="UTN55" s="55"/>
      <c r="UTO55" s="55"/>
      <c r="UTP55" s="55"/>
      <c r="UTQ55" s="55"/>
      <c r="UTR55" s="55"/>
      <c r="UTS55" s="55"/>
      <c r="UTT55" s="55"/>
      <c r="UTU55" s="55"/>
      <c r="UTV55" s="55"/>
      <c r="UTW55" s="55"/>
      <c r="UTX55" s="55"/>
      <c r="UTY55" s="55"/>
      <c r="UTZ55" s="55"/>
      <c r="UUA55" s="55"/>
      <c r="UUB55" s="55"/>
      <c r="UUC55" s="55"/>
      <c r="UUD55" s="55"/>
      <c r="UUE55" s="55"/>
      <c r="UUF55" s="55"/>
      <c r="UUG55" s="55"/>
      <c r="UUH55" s="55"/>
      <c r="UUI55" s="55"/>
      <c r="UUJ55" s="55"/>
      <c r="UUK55" s="55"/>
      <c r="UUL55" s="55"/>
      <c r="UUM55" s="55"/>
      <c r="UUN55" s="55"/>
      <c r="UUO55" s="55"/>
      <c r="UUP55" s="55"/>
      <c r="UUQ55" s="55"/>
      <c r="UUR55" s="55"/>
      <c r="UUS55" s="55"/>
      <c r="UUT55" s="55"/>
      <c r="UUU55" s="55"/>
      <c r="UUV55" s="55"/>
      <c r="UUW55" s="55"/>
      <c r="UUX55" s="55"/>
      <c r="UUY55" s="55"/>
      <c r="UUZ55" s="55"/>
      <c r="UVA55" s="55"/>
      <c r="UVB55" s="55"/>
      <c r="UVC55" s="55"/>
      <c r="UVD55" s="55"/>
      <c r="UVE55" s="55"/>
      <c r="UVF55" s="55"/>
      <c r="UVG55" s="55"/>
      <c r="UVH55" s="55"/>
      <c r="UVI55" s="55"/>
      <c r="UVJ55" s="55"/>
      <c r="UVK55" s="55"/>
      <c r="UVL55" s="55"/>
      <c r="UVM55" s="55"/>
      <c r="UVN55" s="55"/>
      <c r="UVO55" s="55"/>
      <c r="UVP55" s="55"/>
      <c r="UVQ55" s="55"/>
      <c r="UVR55" s="55"/>
      <c r="UVS55" s="55"/>
      <c r="UVT55" s="55"/>
      <c r="UVU55" s="55"/>
      <c r="UVV55" s="55"/>
      <c r="UVW55" s="55"/>
      <c r="UVX55" s="55"/>
      <c r="UVY55" s="55"/>
      <c r="UVZ55" s="55"/>
      <c r="UWA55" s="55"/>
      <c r="UWB55" s="55"/>
      <c r="UWC55" s="55"/>
      <c r="UWD55" s="55"/>
      <c r="UWE55" s="55"/>
      <c r="UWF55" s="55"/>
      <c r="UWG55" s="55"/>
      <c r="UWH55" s="55"/>
      <c r="UWI55" s="55"/>
      <c r="UWJ55" s="55"/>
      <c r="UWK55" s="55"/>
      <c r="UWL55" s="55"/>
      <c r="UWM55" s="55"/>
      <c r="UWN55" s="55"/>
      <c r="UWO55" s="55"/>
      <c r="UWP55" s="55"/>
      <c r="UWQ55" s="55"/>
      <c r="UWR55" s="55"/>
      <c r="UWS55" s="55"/>
      <c r="UWT55" s="55"/>
      <c r="UWU55" s="55"/>
      <c r="UWV55" s="55"/>
      <c r="UWW55" s="55"/>
      <c r="UWX55" s="55"/>
      <c r="UWY55" s="55"/>
      <c r="UWZ55" s="55"/>
      <c r="UXA55" s="55"/>
      <c r="UXB55" s="55"/>
      <c r="UXC55" s="55"/>
      <c r="UXD55" s="55"/>
      <c r="UXE55" s="55"/>
      <c r="UXF55" s="55"/>
      <c r="UXG55" s="55"/>
      <c r="UXH55" s="55"/>
      <c r="UXI55" s="55"/>
      <c r="UXJ55" s="55"/>
      <c r="UXK55" s="55"/>
      <c r="UXL55" s="55"/>
      <c r="UXM55" s="55"/>
      <c r="UXN55" s="55"/>
      <c r="UXO55" s="55"/>
      <c r="UXP55" s="55"/>
      <c r="UXQ55" s="55"/>
      <c r="UXR55" s="55"/>
      <c r="UXS55" s="55"/>
      <c r="UXT55" s="55"/>
      <c r="UXU55" s="55"/>
      <c r="UXV55" s="55"/>
      <c r="UXW55" s="55"/>
      <c r="UXX55" s="55"/>
      <c r="UXY55" s="55"/>
      <c r="UXZ55" s="55"/>
      <c r="UYA55" s="55"/>
      <c r="UYB55" s="55"/>
      <c r="UYC55" s="55"/>
      <c r="UYD55" s="55"/>
      <c r="UYE55" s="55"/>
      <c r="UYF55" s="55"/>
      <c r="UYG55" s="55"/>
      <c r="UYH55" s="55"/>
      <c r="UYI55" s="55"/>
      <c r="UYJ55" s="55"/>
      <c r="UYK55" s="55"/>
      <c r="UYL55" s="55"/>
      <c r="UYM55" s="55"/>
      <c r="UYN55" s="55"/>
      <c r="UYO55" s="55"/>
      <c r="UYP55" s="55"/>
      <c r="UYQ55" s="55"/>
      <c r="UYR55" s="55"/>
      <c r="UYS55" s="55"/>
      <c r="UYT55" s="55"/>
      <c r="UYU55" s="55"/>
      <c r="UYV55" s="55"/>
      <c r="UYW55" s="55"/>
      <c r="UYX55" s="55"/>
      <c r="UYY55" s="55"/>
      <c r="UYZ55" s="55"/>
      <c r="UZA55" s="55"/>
      <c r="UZB55" s="55"/>
      <c r="UZC55" s="55"/>
      <c r="UZD55" s="55"/>
      <c r="UZE55" s="55"/>
      <c r="UZF55" s="55"/>
      <c r="UZG55" s="55"/>
      <c r="UZH55" s="55"/>
      <c r="UZI55" s="55"/>
      <c r="UZJ55" s="55"/>
      <c r="UZK55" s="55"/>
      <c r="UZL55" s="55"/>
      <c r="UZM55" s="55"/>
      <c r="UZN55" s="55"/>
      <c r="UZO55" s="55"/>
      <c r="UZP55" s="55"/>
      <c r="UZQ55" s="55"/>
      <c r="UZR55" s="55"/>
      <c r="UZS55" s="55"/>
      <c r="UZT55" s="55"/>
      <c r="UZU55" s="55"/>
      <c r="UZV55" s="55"/>
      <c r="UZW55" s="55"/>
      <c r="UZX55" s="55"/>
      <c r="UZY55" s="55"/>
      <c r="UZZ55" s="55"/>
      <c r="VAA55" s="55"/>
      <c r="VAB55" s="55"/>
      <c r="VAC55" s="55"/>
      <c r="VAD55" s="55"/>
      <c r="VAE55" s="55"/>
      <c r="VAF55" s="55"/>
      <c r="VAG55" s="55"/>
      <c r="VAH55" s="55"/>
      <c r="VAI55" s="55"/>
      <c r="VAJ55" s="55"/>
      <c r="VAK55" s="55"/>
      <c r="VAL55" s="55"/>
      <c r="VAM55" s="55"/>
      <c r="VAN55" s="55"/>
      <c r="VAO55" s="55"/>
      <c r="VAP55" s="55"/>
      <c r="VAQ55" s="55"/>
      <c r="VAR55" s="55"/>
      <c r="VAS55" s="55"/>
      <c r="VAT55" s="55"/>
      <c r="VAU55" s="55"/>
      <c r="VAV55" s="55"/>
      <c r="VAW55" s="55"/>
      <c r="VAX55" s="55"/>
      <c r="VAY55" s="55"/>
      <c r="VAZ55" s="55"/>
      <c r="VBA55" s="55"/>
      <c r="VBB55" s="55"/>
      <c r="VBC55" s="55"/>
      <c r="VBD55" s="55"/>
      <c r="VBE55" s="55"/>
      <c r="VBF55" s="55"/>
      <c r="VBG55" s="55"/>
      <c r="VBH55" s="55"/>
      <c r="VBI55" s="55"/>
      <c r="VBJ55" s="55"/>
      <c r="VBK55" s="55"/>
      <c r="VBL55" s="55"/>
      <c r="VBM55" s="55"/>
      <c r="VBN55" s="55"/>
      <c r="VBO55" s="55"/>
      <c r="VBP55" s="55"/>
      <c r="VBQ55" s="55"/>
      <c r="VBR55" s="55"/>
      <c r="VBS55" s="55"/>
      <c r="VBT55" s="55"/>
      <c r="VBU55" s="55"/>
      <c r="VBV55" s="55"/>
      <c r="VBW55" s="55"/>
      <c r="VBX55" s="55"/>
      <c r="VBY55" s="55"/>
      <c r="VBZ55" s="55"/>
      <c r="VCA55" s="55"/>
      <c r="VCB55" s="55"/>
      <c r="VCC55" s="55"/>
      <c r="VCD55" s="55"/>
      <c r="VCE55" s="55"/>
      <c r="VCF55" s="55"/>
      <c r="VCG55" s="55"/>
      <c r="VCH55" s="55"/>
      <c r="VCI55" s="55"/>
      <c r="VCJ55" s="55"/>
      <c r="VCK55" s="55"/>
      <c r="VCL55" s="55"/>
      <c r="VCM55" s="55"/>
      <c r="VCN55" s="55"/>
      <c r="VCO55" s="55"/>
      <c r="VCP55" s="55"/>
      <c r="VCQ55" s="55"/>
      <c r="VCR55" s="55"/>
      <c r="VCS55" s="55"/>
      <c r="VCT55" s="55"/>
      <c r="VCU55" s="55"/>
      <c r="VCV55" s="55"/>
      <c r="VCW55" s="55"/>
      <c r="VCX55" s="55"/>
      <c r="VCY55" s="55"/>
      <c r="VCZ55" s="55"/>
      <c r="VDA55" s="55"/>
      <c r="VDB55" s="55"/>
      <c r="VDC55" s="55"/>
      <c r="VDD55" s="55"/>
      <c r="VDE55" s="55"/>
      <c r="VDF55" s="55"/>
      <c r="VDG55" s="55"/>
      <c r="VDH55" s="55"/>
      <c r="VDI55" s="55"/>
      <c r="VDJ55" s="55"/>
      <c r="VDK55" s="55"/>
      <c r="VDL55" s="55"/>
      <c r="VDM55" s="55"/>
      <c r="VDN55" s="55"/>
      <c r="VDO55" s="55"/>
      <c r="VDP55" s="55"/>
      <c r="VDQ55" s="55"/>
      <c r="VDR55" s="55"/>
      <c r="VDS55" s="55"/>
      <c r="VDT55" s="55"/>
      <c r="VDU55" s="55"/>
      <c r="VDV55" s="55"/>
      <c r="VDW55" s="55"/>
      <c r="VDX55" s="55"/>
      <c r="VDY55" s="55"/>
      <c r="VDZ55" s="55"/>
      <c r="VEA55" s="55"/>
      <c r="VEB55" s="55"/>
      <c r="VEC55" s="55"/>
      <c r="VED55" s="55"/>
      <c r="VEE55" s="55"/>
      <c r="VEF55" s="55"/>
      <c r="VEG55" s="55"/>
      <c r="VEH55" s="55"/>
      <c r="VEI55" s="55"/>
      <c r="VEJ55" s="55"/>
      <c r="VEK55" s="55"/>
      <c r="VEL55" s="55"/>
      <c r="VEM55" s="55"/>
      <c r="VEN55" s="55"/>
      <c r="VEO55" s="55"/>
      <c r="VEP55" s="55"/>
      <c r="VEQ55" s="55"/>
      <c r="VER55" s="55"/>
      <c r="VES55" s="55"/>
      <c r="VET55" s="55"/>
      <c r="VEU55" s="55"/>
      <c r="VEV55" s="55"/>
      <c r="VEW55" s="55"/>
      <c r="VEX55" s="55"/>
      <c r="VEY55" s="55"/>
      <c r="VEZ55" s="55"/>
      <c r="VFA55" s="55"/>
      <c r="VFB55" s="55"/>
      <c r="VFC55" s="55"/>
      <c r="VFD55" s="55"/>
      <c r="VFE55" s="55"/>
      <c r="VFF55" s="55"/>
      <c r="VFG55" s="55"/>
      <c r="VFH55" s="55"/>
      <c r="VFI55" s="55"/>
      <c r="VFJ55" s="55"/>
      <c r="VFK55" s="55"/>
      <c r="VFL55" s="55"/>
      <c r="VFM55" s="55"/>
      <c r="VFN55" s="55"/>
      <c r="VFO55" s="55"/>
      <c r="VFP55" s="55"/>
      <c r="VFQ55" s="55"/>
      <c r="VFR55" s="55"/>
      <c r="VFS55" s="55"/>
      <c r="VFT55" s="55"/>
      <c r="VFU55" s="55"/>
      <c r="VFV55" s="55"/>
      <c r="VFW55" s="55"/>
      <c r="VFX55" s="55"/>
      <c r="VFY55" s="55"/>
      <c r="VFZ55" s="55"/>
      <c r="VGA55" s="55"/>
      <c r="VGB55" s="55"/>
      <c r="VGC55" s="55"/>
      <c r="VGD55" s="55"/>
      <c r="VGE55" s="55"/>
      <c r="VGF55" s="55"/>
      <c r="VGG55" s="55"/>
      <c r="VGH55" s="55"/>
      <c r="VGI55" s="55"/>
      <c r="VGJ55" s="55"/>
      <c r="VGK55" s="55"/>
      <c r="VGL55" s="55"/>
      <c r="VGM55" s="55"/>
      <c r="VGN55" s="55"/>
      <c r="VGO55" s="55"/>
      <c r="VGP55" s="55"/>
      <c r="VGQ55" s="55"/>
      <c r="VGR55" s="55"/>
      <c r="VGS55" s="55"/>
      <c r="VGT55" s="55"/>
      <c r="VGU55" s="55"/>
      <c r="VGV55" s="55"/>
      <c r="VGW55" s="55"/>
      <c r="VGX55" s="55"/>
      <c r="VGY55" s="55"/>
      <c r="VGZ55" s="55"/>
      <c r="VHA55" s="55"/>
      <c r="VHB55" s="55"/>
      <c r="VHC55" s="55"/>
      <c r="VHD55" s="55"/>
      <c r="VHE55" s="55"/>
      <c r="VHF55" s="55"/>
      <c r="VHG55" s="55"/>
      <c r="VHH55" s="55"/>
      <c r="VHI55" s="55"/>
      <c r="VHJ55" s="55"/>
      <c r="VHK55" s="55"/>
      <c r="VHL55" s="55"/>
      <c r="VHM55" s="55"/>
      <c r="VHN55" s="55"/>
      <c r="VHO55" s="55"/>
      <c r="VHP55" s="55"/>
      <c r="VHQ55" s="55"/>
      <c r="VHR55" s="55"/>
      <c r="VHS55" s="55"/>
      <c r="VHT55" s="55"/>
      <c r="VHU55" s="55"/>
      <c r="VHV55" s="55"/>
      <c r="VHW55" s="55"/>
      <c r="VHX55" s="55"/>
      <c r="VHY55" s="55"/>
      <c r="VHZ55" s="55"/>
      <c r="VIA55" s="55"/>
      <c r="VIB55" s="55"/>
      <c r="VIC55" s="55"/>
      <c r="VID55" s="55"/>
      <c r="VIE55" s="55"/>
      <c r="VIF55" s="55"/>
      <c r="VIG55" s="55"/>
      <c r="VIH55" s="55"/>
      <c r="VII55" s="55"/>
      <c r="VIJ55" s="55"/>
      <c r="VIK55" s="55"/>
      <c r="VIL55" s="55"/>
      <c r="VIM55" s="55"/>
      <c r="VIN55" s="55"/>
      <c r="VIO55" s="55"/>
      <c r="VIP55" s="55"/>
      <c r="VIQ55" s="55"/>
      <c r="VIR55" s="55"/>
      <c r="VIS55" s="55"/>
      <c r="VIT55" s="55"/>
      <c r="VIU55" s="55"/>
      <c r="VIV55" s="55"/>
      <c r="VIW55" s="55"/>
      <c r="VIX55" s="55"/>
      <c r="VIY55" s="55"/>
      <c r="VIZ55" s="55"/>
      <c r="VJA55" s="55"/>
      <c r="VJB55" s="55"/>
      <c r="VJC55" s="55"/>
      <c r="VJD55" s="55"/>
      <c r="VJE55" s="55"/>
      <c r="VJF55" s="55"/>
      <c r="VJG55" s="55"/>
      <c r="VJH55" s="55"/>
      <c r="VJI55" s="55"/>
      <c r="VJJ55" s="55"/>
      <c r="VJK55" s="55"/>
      <c r="VJL55" s="55"/>
      <c r="VJM55" s="55"/>
      <c r="VJN55" s="55"/>
      <c r="VJO55" s="55"/>
      <c r="VJP55" s="55"/>
      <c r="VJQ55" s="55"/>
      <c r="VJR55" s="55"/>
      <c r="VJS55" s="55"/>
      <c r="VJT55" s="55"/>
      <c r="VJU55" s="55"/>
      <c r="VJV55" s="55"/>
      <c r="VJW55" s="55"/>
      <c r="VJX55" s="55"/>
      <c r="VJY55" s="55"/>
      <c r="VJZ55" s="55"/>
      <c r="VKA55" s="55"/>
      <c r="VKB55" s="55"/>
      <c r="VKC55" s="55"/>
      <c r="VKD55" s="55"/>
      <c r="VKE55" s="55"/>
      <c r="VKF55" s="55"/>
      <c r="VKG55" s="55"/>
      <c r="VKH55" s="55"/>
      <c r="VKI55" s="55"/>
      <c r="VKJ55" s="55"/>
      <c r="VKK55" s="55"/>
      <c r="VKL55" s="55"/>
      <c r="VKM55" s="55"/>
      <c r="VKN55" s="55"/>
      <c r="VKO55" s="55"/>
      <c r="VKP55" s="55"/>
      <c r="VKQ55" s="55"/>
      <c r="VKR55" s="55"/>
      <c r="VKS55" s="55"/>
      <c r="VKT55" s="55"/>
      <c r="VKU55" s="55"/>
      <c r="VKV55" s="55"/>
      <c r="VKW55" s="55"/>
      <c r="VKX55" s="55"/>
      <c r="VKY55" s="55"/>
      <c r="VKZ55" s="55"/>
      <c r="VLA55" s="55"/>
      <c r="VLB55" s="55"/>
      <c r="VLC55" s="55"/>
      <c r="VLD55" s="55"/>
      <c r="VLE55" s="55"/>
      <c r="VLF55" s="55"/>
      <c r="VLG55" s="55"/>
      <c r="VLH55" s="55"/>
      <c r="VLI55" s="55"/>
      <c r="VLJ55" s="55"/>
      <c r="VLK55" s="55"/>
      <c r="VLL55" s="55"/>
      <c r="VLM55" s="55"/>
      <c r="VLN55" s="55"/>
      <c r="VLO55" s="55"/>
      <c r="VLP55" s="55"/>
      <c r="VLQ55" s="55"/>
      <c r="VLR55" s="55"/>
      <c r="VLS55" s="55"/>
      <c r="VLT55" s="55"/>
      <c r="VLU55" s="55"/>
      <c r="VLV55" s="55"/>
      <c r="VLW55" s="55"/>
      <c r="VLX55" s="55"/>
      <c r="VLY55" s="55"/>
      <c r="VLZ55" s="55"/>
      <c r="VMA55" s="55"/>
      <c r="VMB55" s="55"/>
      <c r="VMC55" s="55"/>
      <c r="VMD55" s="55"/>
      <c r="VME55" s="55"/>
      <c r="VMF55" s="55"/>
      <c r="VMG55" s="55"/>
      <c r="VMH55" s="55"/>
      <c r="VMI55" s="55"/>
      <c r="VMJ55" s="55"/>
      <c r="VMK55" s="55"/>
      <c r="VML55" s="55"/>
      <c r="VMM55" s="55"/>
      <c r="VMN55" s="55"/>
      <c r="VMO55" s="55"/>
      <c r="VMP55" s="55"/>
      <c r="VMQ55" s="55"/>
      <c r="VMR55" s="55"/>
      <c r="VMS55" s="55"/>
      <c r="VMT55" s="55"/>
      <c r="VMU55" s="55"/>
      <c r="VMV55" s="55"/>
      <c r="VMW55" s="55"/>
      <c r="VMX55" s="55"/>
      <c r="VMY55" s="55"/>
      <c r="VMZ55" s="55"/>
      <c r="VNA55" s="55"/>
      <c r="VNB55" s="55"/>
      <c r="VNC55" s="55"/>
      <c r="VND55" s="55"/>
      <c r="VNE55" s="55"/>
      <c r="VNF55" s="55"/>
      <c r="VNG55" s="55"/>
      <c r="VNH55" s="55"/>
      <c r="VNI55" s="55"/>
      <c r="VNJ55" s="55"/>
      <c r="VNK55" s="55"/>
      <c r="VNL55" s="55"/>
      <c r="VNM55" s="55"/>
      <c r="VNN55" s="55"/>
      <c r="VNO55" s="55"/>
      <c r="VNP55" s="55"/>
      <c r="VNQ55" s="55"/>
      <c r="VNR55" s="55"/>
      <c r="VNS55" s="55"/>
      <c r="VNT55" s="55"/>
      <c r="VNU55" s="55"/>
      <c r="VNV55" s="55"/>
      <c r="VNW55" s="55"/>
      <c r="VNX55" s="55"/>
      <c r="VNY55" s="55"/>
      <c r="VNZ55" s="55"/>
      <c r="VOA55" s="55"/>
      <c r="VOB55" s="55"/>
      <c r="VOC55" s="55"/>
      <c r="VOD55" s="55"/>
      <c r="VOE55" s="55"/>
      <c r="VOF55" s="55"/>
      <c r="VOG55" s="55"/>
      <c r="VOH55" s="55"/>
      <c r="VOI55" s="55"/>
      <c r="VOJ55" s="55"/>
      <c r="VOK55" s="55"/>
      <c r="VOL55" s="55"/>
      <c r="VOM55" s="55"/>
      <c r="VON55" s="55"/>
      <c r="VOO55" s="55"/>
      <c r="VOP55" s="55"/>
      <c r="VOQ55" s="55"/>
      <c r="VOR55" s="55"/>
      <c r="VOS55" s="55"/>
      <c r="VOT55" s="55"/>
      <c r="VOU55" s="55"/>
      <c r="VOV55" s="55"/>
      <c r="VOW55" s="55"/>
      <c r="VOX55" s="55"/>
      <c r="VOY55" s="55"/>
      <c r="VOZ55" s="55"/>
      <c r="VPA55" s="55"/>
      <c r="VPB55" s="55"/>
      <c r="VPC55" s="55"/>
      <c r="VPD55" s="55"/>
      <c r="VPE55" s="55"/>
      <c r="VPF55" s="55"/>
      <c r="VPG55" s="55"/>
      <c r="VPH55" s="55"/>
      <c r="VPI55" s="55"/>
      <c r="VPJ55" s="55"/>
      <c r="VPK55" s="55"/>
      <c r="VPL55" s="55"/>
      <c r="VPM55" s="55"/>
      <c r="VPN55" s="55"/>
      <c r="VPO55" s="55"/>
      <c r="VPP55" s="55"/>
      <c r="VPQ55" s="55"/>
      <c r="VPR55" s="55"/>
      <c r="VPS55" s="55"/>
      <c r="VPT55" s="55"/>
      <c r="VPU55" s="55"/>
      <c r="VPV55" s="55"/>
      <c r="VPW55" s="55"/>
      <c r="VPX55" s="55"/>
      <c r="VPY55" s="55"/>
      <c r="VPZ55" s="55"/>
      <c r="VQA55" s="55"/>
      <c r="VQB55" s="55"/>
      <c r="VQC55" s="55"/>
      <c r="VQD55" s="55"/>
      <c r="VQE55" s="55"/>
      <c r="VQF55" s="55"/>
      <c r="VQG55" s="55"/>
      <c r="VQH55" s="55"/>
      <c r="VQI55" s="55"/>
      <c r="VQJ55" s="55"/>
      <c r="VQK55" s="55"/>
      <c r="VQL55" s="55"/>
      <c r="VQM55" s="55"/>
      <c r="VQN55" s="55"/>
      <c r="VQO55" s="55"/>
      <c r="VQP55" s="55"/>
      <c r="VQQ55" s="55"/>
      <c r="VQR55" s="55"/>
      <c r="VQS55" s="55"/>
      <c r="VQT55" s="55"/>
      <c r="VQU55" s="55"/>
      <c r="VQV55" s="55"/>
      <c r="VQW55" s="55"/>
      <c r="VQX55" s="55"/>
      <c r="VQY55" s="55"/>
      <c r="VQZ55" s="55"/>
      <c r="VRA55" s="55"/>
      <c r="VRB55" s="55"/>
      <c r="VRC55" s="55"/>
      <c r="VRD55" s="55"/>
      <c r="VRE55" s="55"/>
      <c r="VRF55" s="55"/>
      <c r="VRG55" s="55"/>
      <c r="VRH55" s="55"/>
      <c r="VRI55" s="55"/>
      <c r="VRJ55" s="55"/>
      <c r="VRK55" s="55"/>
      <c r="VRL55" s="55"/>
      <c r="VRM55" s="55"/>
      <c r="VRN55" s="55"/>
      <c r="VRO55" s="55"/>
      <c r="VRP55" s="55"/>
      <c r="VRQ55" s="55"/>
      <c r="VRR55" s="55"/>
      <c r="VRS55" s="55"/>
      <c r="VRT55" s="55"/>
      <c r="VRU55" s="55"/>
      <c r="VRV55" s="55"/>
      <c r="VRW55" s="55"/>
      <c r="VRX55" s="55"/>
      <c r="VRY55" s="55"/>
      <c r="VRZ55" s="55"/>
      <c r="VSA55" s="55"/>
      <c r="VSB55" s="55"/>
      <c r="VSC55" s="55"/>
      <c r="VSD55" s="55"/>
      <c r="VSE55" s="55"/>
      <c r="VSF55" s="55"/>
      <c r="VSG55" s="55"/>
      <c r="VSH55" s="55"/>
      <c r="VSI55" s="55"/>
      <c r="VSJ55" s="55"/>
      <c r="VSK55" s="55"/>
      <c r="VSL55" s="55"/>
      <c r="VSM55" s="55"/>
      <c r="VSN55" s="55"/>
      <c r="VSO55" s="55"/>
      <c r="VSP55" s="55"/>
      <c r="VSQ55" s="55"/>
      <c r="VSR55" s="55"/>
      <c r="VSS55" s="55"/>
      <c r="VST55" s="55"/>
      <c r="VSU55" s="55"/>
      <c r="VSV55" s="55"/>
      <c r="VSW55" s="55"/>
      <c r="VSX55" s="55"/>
      <c r="VSY55" s="55"/>
      <c r="VSZ55" s="55"/>
      <c r="VTA55" s="55"/>
      <c r="VTB55" s="55"/>
      <c r="VTC55" s="55"/>
      <c r="VTD55" s="55"/>
      <c r="VTE55" s="55"/>
      <c r="VTF55" s="55"/>
      <c r="VTG55" s="55"/>
      <c r="VTH55" s="55"/>
      <c r="VTI55" s="55"/>
      <c r="VTJ55" s="55"/>
      <c r="VTK55" s="55"/>
      <c r="VTL55" s="55"/>
      <c r="VTM55" s="55"/>
      <c r="VTN55" s="55"/>
      <c r="VTO55" s="55"/>
      <c r="VTP55" s="55"/>
      <c r="VTQ55" s="55"/>
      <c r="VTR55" s="55"/>
      <c r="VTS55" s="55"/>
      <c r="VTT55" s="55"/>
      <c r="VTU55" s="55"/>
      <c r="VTV55" s="55"/>
      <c r="VTW55" s="55"/>
      <c r="VTX55" s="55"/>
      <c r="VTY55" s="55"/>
      <c r="VTZ55" s="55"/>
      <c r="VUA55" s="55"/>
      <c r="VUB55" s="55"/>
      <c r="VUC55" s="55"/>
      <c r="VUD55" s="55"/>
      <c r="VUE55" s="55"/>
      <c r="VUF55" s="55"/>
      <c r="VUG55" s="55"/>
      <c r="VUH55" s="55"/>
      <c r="VUI55" s="55"/>
      <c r="VUJ55" s="55"/>
      <c r="VUK55" s="55"/>
      <c r="VUL55" s="55"/>
      <c r="VUM55" s="55"/>
      <c r="VUN55" s="55"/>
      <c r="VUO55" s="55"/>
      <c r="VUP55" s="55"/>
      <c r="VUQ55" s="55"/>
      <c r="VUR55" s="55"/>
      <c r="VUS55" s="55"/>
      <c r="VUT55" s="55"/>
      <c r="VUU55" s="55"/>
      <c r="VUV55" s="55"/>
      <c r="VUW55" s="55"/>
      <c r="VUX55" s="55"/>
      <c r="VUY55" s="55"/>
      <c r="VUZ55" s="55"/>
      <c r="VVA55" s="55"/>
      <c r="VVB55" s="55"/>
      <c r="VVC55" s="55"/>
      <c r="VVD55" s="55"/>
      <c r="VVE55" s="55"/>
      <c r="VVF55" s="55"/>
      <c r="VVG55" s="55"/>
      <c r="VVH55" s="55"/>
      <c r="VVI55" s="55"/>
      <c r="VVJ55" s="55"/>
      <c r="VVK55" s="55"/>
      <c r="VVL55" s="55"/>
      <c r="VVM55" s="55"/>
      <c r="VVN55" s="55"/>
      <c r="VVO55" s="55"/>
      <c r="VVP55" s="55"/>
      <c r="VVQ55" s="55"/>
      <c r="VVR55" s="55"/>
      <c r="VVS55" s="55"/>
      <c r="VVT55" s="55"/>
      <c r="VVU55" s="55"/>
      <c r="VVV55" s="55"/>
      <c r="VVW55" s="55"/>
      <c r="VVX55" s="55"/>
      <c r="VVY55" s="55"/>
      <c r="VVZ55" s="55"/>
      <c r="VWA55" s="55"/>
      <c r="VWB55" s="55"/>
      <c r="VWC55" s="55"/>
      <c r="VWD55" s="55"/>
      <c r="VWE55" s="55"/>
      <c r="VWF55" s="55"/>
      <c r="VWG55" s="55"/>
      <c r="VWH55" s="55"/>
      <c r="VWI55" s="55"/>
      <c r="VWJ55" s="55"/>
      <c r="VWK55" s="55"/>
      <c r="VWL55" s="55"/>
      <c r="VWM55" s="55"/>
      <c r="VWN55" s="55"/>
      <c r="VWO55" s="55"/>
      <c r="VWP55" s="55"/>
      <c r="VWQ55" s="55"/>
      <c r="VWR55" s="55"/>
      <c r="VWS55" s="55"/>
      <c r="VWT55" s="55"/>
      <c r="VWU55" s="55"/>
      <c r="VWV55" s="55"/>
      <c r="VWW55" s="55"/>
      <c r="VWX55" s="55"/>
      <c r="VWY55" s="55"/>
      <c r="VWZ55" s="55"/>
      <c r="VXA55" s="55"/>
      <c r="VXB55" s="55"/>
      <c r="VXC55" s="55"/>
      <c r="VXD55" s="55"/>
      <c r="VXE55" s="55"/>
      <c r="VXF55" s="55"/>
      <c r="VXG55" s="55"/>
      <c r="VXH55" s="55"/>
      <c r="VXI55" s="55"/>
      <c r="VXJ55" s="55"/>
      <c r="VXK55" s="55"/>
      <c r="VXL55" s="55"/>
      <c r="VXM55" s="55"/>
      <c r="VXN55" s="55"/>
      <c r="VXO55" s="55"/>
      <c r="VXP55" s="55"/>
      <c r="VXQ55" s="55"/>
      <c r="VXR55" s="55"/>
      <c r="VXS55" s="55"/>
      <c r="VXT55" s="55"/>
      <c r="VXU55" s="55"/>
      <c r="VXV55" s="55"/>
      <c r="VXW55" s="55"/>
      <c r="VXX55" s="55"/>
      <c r="VXY55" s="55"/>
      <c r="VXZ55" s="55"/>
      <c r="VYA55" s="55"/>
      <c r="VYB55" s="55"/>
      <c r="VYC55" s="55"/>
      <c r="VYD55" s="55"/>
      <c r="VYE55" s="55"/>
      <c r="VYF55" s="55"/>
      <c r="VYG55" s="55"/>
      <c r="VYH55" s="55"/>
      <c r="VYI55" s="55"/>
      <c r="VYJ55" s="55"/>
      <c r="VYK55" s="55"/>
      <c r="VYL55" s="55"/>
      <c r="VYM55" s="55"/>
      <c r="VYN55" s="55"/>
      <c r="VYO55" s="55"/>
      <c r="VYP55" s="55"/>
      <c r="VYQ55" s="55"/>
      <c r="VYR55" s="55"/>
      <c r="VYS55" s="55"/>
      <c r="VYT55" s="55"/>
      <c r="VYU55" s="55"/>
      <c r="VYV55" s="55"/>
      <c r="VYW55" s="55"/>
      <c r="VYX55" s="55"/>
      <c r="VYY55" s="55"/>
      <c r="VYZ55" s="55"/>
      <c r="VZA55" s="55"/>
      <c r="VZB55" s="55"/>
      <c r="VZC55" s="55"/>
      <c r="VZD55" s="55"/>
      <c r="VZE55" s="55"/>
      <c r="VZF55" s="55"/>
      <c r="VZG55" s="55"/>
      <c r="VZH55" s="55"/>
      <c r="VZI55" s="55"/>
      <c r="VZJ55" s="55"/>
      <c r="VZK55" s="55"/>
      <c r="VZL55" s="55"/>
      <c r="VZM55" s="55"/>
      <c r="VZN55" s="55"/>
      <c r="VZO55" s="55"/>
      <c r="VZP55" s="55"/>
      <c r="VZQ55" s="55"/>
      <c r="VZR55" s="55"/>
      <c r="VZS55" s="55"/>
      <c r="VZT55" s="55"/>
      <c r="VZU55" s="55"/>
      <c r="VZV55" s="55"/>
      <c r="VZW55" s="55"/>
      <c r="VZX55" s="55"/>
      <c r="VZY55" s="55"/>
      <c r="VZZ55" s="55"/>
      <c r="WAA55" s="55"/>
      <c r="WAB55" s="55"/>
      <c r="WAC55" s="55"/>
      <c r="WAD55" s="55"/>
      <c r="WAE55" s="55"/>
      <c r="WAF55" s="55"/>
      <c r="WAG55" s="55"/>
      <c r="WAH55" s="55"/>
      <c r="WAI55" s="55"/>
      <c r="WAJ55" s="55"/>
      <c r="WAK55" s="55"/>
      <c r="WAL55" s="55"/>
      <c r="WAM55" s="55"/>
      <c r="WAN55" s="55"/>
      <c r="WAO55" s="55"/>
      <c r="WAP55" s="55"/>
      <c r="WAQ55" s="55"/>
      <c r="WAR55" s="55"/>
      <c r="WAS55" s="55"/>
      <c r="WAT55" s="55"/>
      <c r="WAU55" s="55"/>
      <c r="WAV55" s="55"/>
      <c r="WAW55" s="55"/>
      <c r="WAX55" s="55"/>
      <c r="WAY55" s="55"/>
      <c r="WAZ55" s="55"/>
      <c r="WBA55" s="55"/>
      <c r="WBB55" s="55"/>
      <c r="WBC55" s="55"/>
      <c r="WBD55" s="55"/>
      <c r="WBE55" s="55"/>
      <c r="WBF55" s="55"/>
      <c r="WBG55" s="55"/>
      <c r="WBH55" s="55"/>
      <c r="WBI55" s="55"/>
      <c r="WBJ55" s="55"/>
      <c r="WBK55" s="55"/>
      <c r="WBL55" s="55"/>
      <c r="WBM55" s="55"/>
      <c r="WBN55" s="55"/>
      <c r="WBO55" s="55"/>
      <c r="WBP55" s="55"/>
      <c r="WBQ55" s="55"/>
      <c r="WBR55" s="55"/>
      <c r="WBS55" s="55"/>
      <c r="WBT55" s="55"/>
      <c r="WBU55" s="55"/>
      <c r="WBV55" s="55"/>
      <c r="WBW55" s="55"/>
      <c r="WBX55" s="55"/>
      <c r="WBY55" s="55"/>
      <c r="WBZ55" s="55"/>
      <c r="WCA55" s="55"/>
      <c r="WCB55" s="55"/>
      <c r="WCC55" s="55"/>
      <c r="WCD55" s="55"/>
      <c r="WCE55" s="55"/>
      <c r="WCF55" s="55"/>
      <c r="WCG55" s="55"/>
      <c r="WCH55" s="55"/>
      <c r="WCI55" s="55"/>
      <c r="WCJ55" s="55"/>
      <c r="WCK55" s="55"/>
      <c r="WCL55" s="55"/>
      <c r="WCM55" s="55"/>
      <c r="WCN55" s="55"/>
      <c r="WCO55" s="55"/>
      <c r="WCP55" s="55"/>
      <c r="WCQ55" s="55"/>
      <c r="WCR55" s="55"/>
      <c r="WCS55" s="55"/>
      <c r="WCT55" s="55"/>
      <c r="WCU55" s="55"/>
      <c r="WCV55" s="55"/>
      <c r="WCW55" s="55"/>
      <c r="WCX55" s="55"/>
      <c r="WCY55" s="55"/>
      <c r="WCZ55" s="55"/>
      <c r="WDA55" s="55"/>
      <c r="WDB55" s="55"/>
      <c r="WDC55" s="55"/>
      <c r="WDD55" s="55"/>
      <c r="WDE55" s="55"/>
      <c r="WDF55" s="55"/>
      <c r="WDG55" s="55"/>
      <c r="WDH55" s="55"/>
      <c r="WDI55" s="55"/>
      <c r="WDJ55" s="55"/>
      <c r="WDK55" s="55"/>
      <c r="WDL55" s="55"/>
      <c r="WDM55" s="55"/>
      <c r="WDN55" s="55"/>
      <c r="WDO55" s="55"/>
      <c r="WDP55" s="55"/>
      <c r="WDQ55" s="55"/>
      <c r="WDR55" s="55"/>
      <c r="WDS55" s="55"/>
      <c r="WDT55" s="55"/>
      <c r="WDU55" s="55"/>
      <c r="WDV55" s="55"/>
      <c r="WDW55" s="55"/>
      <c r="WDX55" s="55"/>
      <c r="WDY55" s="55"/>
      <c r="WDZ55" s="55"/>
      <c r="WEA55" s="55"/>
      <c r="WEB55" s="55"/>
      <c r="WEC55" s="55"/>
      <c r="WED55" s="55"/>
      <c r="WEE55" s="55"/>
      <c r="WEF55" s="55"/>
      <c r="WEG55" s="55"/>
      <c r="WEH55" s="55"/>
      <c r="WEI55" s="55"/>
      <c r="WEJ55" s="55"/>
      <c r="WEK55" s="55"/>
      <c r="WEL55" s="55"/>
      <c r="WEM55" s="55"/>
      <c r="WEN55" s="55"/>
      <c r="WEO55" s="55"/>
      <c r="WEP55" s="55"/>
      <c r="WEQ55" s="55"/>
      <c r="WER55" s="55"/>
      <c r="WES55" s="55"/>
      <c r="WET55" s="55"/>
      <c r="WEU55" s="55"/>
      <c r="WEV55" s="55"/>
      <c r="WEW55" s="55"/>
      <c r="WEX55" s="55"/>
      <c r="WEY55" s="55"/>
      <c r="WEZ55" s="55"/>
      <c r="WFA55" s="55"/>
      <c r="WFB55" s="55"/>
      <c r="WFC55" s="55"/>
      <c r="WFD55" s="55"/>
      <c r="WFE55" s="55"/>
      <c r="WFF55" s="55"/>
      <c r="WFG55" s="55"/>
      <c r="WFH55" s="55"/>
      <c r="WFI55" s="55"/>
      <c r="WFJ55" s="55"/>
      <c r="WFK55" s="55"/>
      <c r="WFL55" s="55"/>
      <c r="WFM55" s="55"/>
      <c r="WFN55" s="55"/>
      <c r="WFO55" s="55"/>
      <c r="WFP55" s="55"/>
      <c r="WFQ55" s="55"/>
      <c r="WFR55" s="55"/>
      <c r="WFS55" s="55"/>
      <c r="WFT55" s="55"/>
      <c r="WFU55" s="55"/>
      <c r="WFV55" s="55"/>
      <c r="WFW55" s="55"/>
      <c r="WFX55" s="55"/>
      <c r="WFY55" s="55"/>
      <c r="WFZ55" s="55"/>
      <c r="WGA55" s="55"/>
      <c r="WGB55" s="55"/>
      <c r="WGC55" s="55"/>
      <c r="WGD55" s="55"/>
      <c r="WGE55" s="55"/>
      <c r="WGF55" s="55"/>
      <c r="WGG55" s="55"/>
      <c r="WGH55" s="55"/>
      <c r="WGI55" s="55"/>
      <c r="WGJ55" s="55"/>
      <c r="WGK55" s="55"/>
      <c r="WGL55" s="55"/>
      <c r="WGM55" s="55"/>
      <c r="WGN55" s="55"/>
      <c r="WGO55" s="55"/>
      <c r="WGP55" s="55"/>
      <c r="WGQ55" s="55"/>
      <c r="WGR55" s="55"/>
      <c r="WGS55" s="55"/>
      <c r="WGT55" s="55"/>
      <c r="WGU55" s="55"/>
      <c r="WGV55" s="55"/>
      <c r="WGW55" s="55"/>
      <c r="WGX55" s="55"/>
      <c r="WGY55" s="55"/>
      <c r="WGZ55" s="55"/>
      <c r="WHA55" s="55"/>
      <c r="WHB55" s="55"/>
      <c r="WHC55" s="55"/>
      <c r="WHD55" s="55"/>
      <c r="WHE55" s="55"/>
      <c r="WHF55" s="55"/>
      <c r="WHG55" s="55"/>
      <c r="WHH55" s="55"/>
      <c r="WHI55" s="55"/>
      <c r="WHJ55" s="55"/>
      <c r="WHK55" s="55"/>
      <c r="WHL55" s="55"/>
      <c r="WHM55" s="55"/>
      <c r="WHN55" s="55"/>
      <c r="WHO55" s="55"/>
      <c r="WHP55" s="55"/>
      <c r="WHQ55" s="55"/>
      <c r="WHR55" s="55"/>
      <c r="WHS55" s="55"/>
      <c r="WHT55" s="55"/>
      <c r="WHU55" s="55"/>
      <c r="WHV55" s="55"/>
      <c r="WHW55" s="55"/>
      <c r="WHX55" s="55"/>
      <c r="WHY55" s="55"/>
      <c r="WHZ55" s="55"/>
      <c r="WIA55" s="55"/>
      <c r="WIB55" s="55"/>
      <c r="WIC55" s="55"/>
      <c r="WID55" s="55"/>
      <c r="WIE55" s="55"/>
      <c r="WIF55" s="55"/>
      <c r="WIG55" s="55"/>
      <c r="WIH55" s="55"/>
      <c r="WII55" s="55"/>
      <c r="WIJ55" s="55"/>
      <c r="WIK55" s="55"/>
      <c r="WIL55" s="55"/>
      <c r="WIM55" s="55"/>
      <c r="WIN55" s="55"/>
      <c r="WIO55" s="55"/>
      <c r="WIP55" s="55"/>
      <c r="WIQ55" s="55"/>
      <c r="WIR55" s="55"/>
      <c r="WIS55" s="55"/>
      <c r="WIT55" s="55"/>
      <c r="WIU55" s="55"/>
      <c r="WIV55" s="55"/>
      <c r="WIW55" s="55"/>
      <c r="WIX55" s="55"/>
      <c r="WIY55" s="55"/>
      <c r="WIZ55" s="55"/>
      <c r="WJA55" s="55"/>
      <c r="WJB55" s="55"/>
      <c r="WJC55" s="55"/>
      <c r="WJD55" s="55"/>
      <c r="WJE55" s="55"/>
      <c r="WJF55" s="55"/>
      <c r="WJG55" s="55"/>
      <c r="WJH55" s="55"/>
      <c r="WJI55" s="55"/>
      <c r="WJJ55" s="55"/>
      <c r="WJK55" s="55"/>
      <c r="WJL55" s="55"/>
      <c r="WJM55" s="55"/>
      <c r="WJN55" s="55"/>
      <c r="WJO55" s="55"/>
      <c r="WJP55" s="55"/>
      <c r="WJQ55" s="55"/>
      <c r="WJR55" s="55"/>
      <c r="WJS55" s="55"/>
      <c r="WJT55" s="55"/>
      <c r="WJU55" s="55"/>
      <c r="WJV55" s="55"/>
      <c r="WJW55" s="55"/>
      <c r="WJX55" s="55"/>
      <c r="WJY55" s="55"/>
      <c r="WJZ55" s="55"/>
      <c r="WKA55" s="55"/>
      <c r="WKB55" s="55"/>
      <c r="WKC55" s="55"/>
      <c r="WKD55" s="55"/>
      <c r="WKE55" s="55"/>
      <c r="WKF55" s="55"/>
      <c r="WKG55" s="55"/>
      <c r="WKH55" s="55"/>
      <c r="WKI55" s="55"/>
      <c r="WKJ55" s="55"/>
      <c r="WKK55" s="55"/>
      <c r="WKL55" s="55"/>
      <c r="WKM55" s="55"/>
      <c r="WKN55" s="55"/>
      <c r="WKO55" s="55"/>
      <c r="WKP55" s="55"/>
      <c r="WKQ55" s="55"/>
      <c r="WKR55" s="55"/>
      <c r="WKS55" s="55"/>
      <c r="WKT55" s="55"/>
      <c r="WKU55" s="55"/>
      <c r="WKV55" s="55"/>
      <c r="WKW55" s="55"/>
      <c r="WKX55" s="55"/>
      <c r="WKY55" s="55"/>
      <c r="WKZ55" s="55"/>
      <c r="WLA55" s="55"/>
      <c r="WLB55" s="55"/>
      <c r="WLC55" s="55"/>
      <c r="WLD55" s="55"/>
      <c r="WLE55" s="55"/>
      <c r="WLF55" s="55"/>
      <c r="WLG55" s="55"/>
      <c r="WLH55" s="55"/>
      <c r="WLI55" s="55"/>
      <c r="WLJ55" s="55"/>
      <c r="WLK55" s="55"/>
      <c r="WLL55" s="55"/>
      <c r="WLM55" s="55"/>
      <c r="WLN55" s="55"/>
      <c r="WLO55" s="55"/>
      <c r="WLP55" s="55"/>
      <c r="WLQ55" s="55"/>
      <c r="WLR55" s="55"/>
      <c r="WLS55" s="55"/>
      <c r="WLT55" s="55"/>
      <c r="WLU55" s="55"/>
      <c r="WLV55" s="55"/>
      <c r="WLW55" s="55"/>
      <c r="WLX55" s="55"/>
      <c r="WLY55" s="55"/>
      <c r="WLZ55" s="55"/>
      <c r="WMA55" s="55"/>
      <c r="WMB55" s="55"/>
      <c r="WMC55" s="55"/>
      <c r="WMD55" s="55"/>
      <c r="WME55" s="55"/>
      <c r="WMF55" s="55"/>
      <c r="WMG55" s="55"/>
      <c r="WMH55" s="55"/>
      <c r="WMI55" s="55"/>
      <c r="WMJ55" s="55"/>
      <c r="WMK55" s="55"/>
      <c r="WML55" s="55"/>
      <c r="WMM55" s="55"/>
      <c r="WMN55" s="55"/>
      <c r="WMO55" s="55"/>
      <c r="WMP55" s="55"/>
      <c r="WMQ55" s="55"/>
      <c r="WMR55" s="55"/>
      <c r="WMS55" s="55"/>
      <c r="WMT55" s="55"/>
      <c r="WMU55" s="55"/>
      <c r="WMV55" s="55"/>
      <c r="WMW55" s="55"/>
      <c r="WMX55" s="55"/>
      <c r="WMY55" s="55"/>
      <c r="WMZ55" s="55"/>
      <c r="WNA55" s="55"/>
      <c r="WNB55" s="55"/>
      <c r="WNC55" s="55"/>
      <c r="WND55" s="55"/>
      <c r="WNE55" s="55"/>
      <c r="WNF55" s="55"/>
      <c r="WNG55" s="55"/>
      <c r="WNH55" s="55"/>
      <c r="WNI55" s="55"/>
      <c r="WNJ55" s="55"/>
      <c r="WNK55" s="55"/>
      <c r="WNL55" s="55"/>
      <c r="WNM55" s="55"/>
      <c r="WNN55" s="55"/>
      <c r="WNO55" s="55"/>
      <c r="WNP55" s="55"/>
      <c r="WNQ55" s="55"/>
      <c r="WNR55" s="55"/>
      <c r="WNS55" s="55"/>
      <c r="WNT55" s="55"/>
      <c r="WNU55" s="55"/>
      <c r="WNV55" s="55"/>
      <c r="WNW55" s="55"/>
      <c r="WNX55" s="55"/>
      <c r="WNY55" s="55"/>
      <c r="WNZ55" s="55"/>
      <c r="WOA55" s="55"/>
      <c r="WOB55" s="55"/>
      <c r="WOC55" s="55"/>
      <c r="WOD55" s="55"/>
      <c r="WOE55" s="55"/>
      <c r="WOF55" s="55"/>
      <c r="WOG55" s="55"/>
      <c r="WOH55" s="55"/>
      <c r="WOI55" s="55"/>
      <c r="WOJ55" s="55"/>
      <c r="WOK55" s="55"/>
      <c r="WOL55" s="55"/>
      <c r="WOM55" s="55"/>
      <c r="WON55" s="55"/>
      <c r="WOO55" s="55"/>
      <c r="WOP55" s="55"/>
      <c r="WOQ55" s="55"/>
      <c r="WOR55" s="55"/>
      <c r="WOS55" s="55"/>
      <c r="WOT55" s="55"/>
      <c r="WOU55" s="55"/>
      <c r="WOV55" s="55"/>
      <c r="WOW55" s="55"/>
      <c r="WOX55" s="55"/>
      <c r="WOY55" s="55"/>
      <c r="WOZ55" s="55"/>
      <c r="WPA55" s="55"/>
      <c r="WPB55" s="55"/>
      <c r="WPC55" s="55"/>
      <c r="WPD55" s="55"/>
      <c r="WPE55" s="55"/>
      <c r="WPF55" s="55"/>
      <c r="WPG55" s="55"/>
      <c r="WPH55" s="55"/>
      <c r="WPI55" s="55"/>
      <c r="WPJ55" s="55"/>
      <c r="WPK55" s="55"/>
      <c r="WPL55" s="55"/>
      <c r="WPM55" s="55"/>
      <c r="WPN55" s="55"/>
      <c r="WPO55" s="55"/>
      <c r="WPP55" s="55"/>
      <c r="WPQ55" s="55"/>
      <c r="WPR55" s="55"/>
      <c r="WPS55" s="55"/>
      <c r="WPT55" s="55"/>
      <c r="WPU55" s="55"/>
      <c r="WPV55" s="55"/>
      <c r="WPW55" s="55"/>
      <c r="WPX55" s="55"/>
      <c r="WPY55" s="55"/>
      <c r="WPZ55" s="55"/>
      <c r="WQA55" s="55"/>
      <c r="WQB55" s="55"/>
      <c r="WQC55" s="55"/>
      <c r="WQD55" s="55"/>
      <c r="WQE55" s="55"/>
      <c r="WQF55" s="55"/>
      <c r="WQG55" s="55"/>
      <c r="WQH55" s="55"/>
      <c r="WQI55" s="55"/>
      <c r="WQJ55" s="55"/>
      <c r="WQK55" s="55"/>
      <c r="WQL55" s="55"/>
      <c r="WQM55" s="55"/>
      <c r="WQN55" s="55"/>
      <c r="WQO55" s="55"/>
      <c r="WQP55" s="55"/>
      <c r="WQQ55" s="55"/>
      <c r="WQR55" s="55"/>
      <c r="WQS55" s="55"/>
      <c r="WQT55" s="55"/>
      <c r="WQU55" s="55"/>
      <c r="WQV55" s="55"/>
      <c r="WQW55" s="55"/>
      <c r="WQX55" s="55"/>
      <c r="WQY55" s="55"/>
      <c r="WQZ55" s="55"/>
      <c r="WRA55" s="55"/>
      <c r="WRB55" s="55"/>
      <c r="WRC55" s="55"/>
      <c r="WRD55" s="55"/>
      <c r="WRE55" s="55"/>
      <c r="WRF55" s="55"/>
      <c r="WRG55" s="55"/>
      <c r="WRH55" s="55"/>
      <c r="WRI55" s="55"/>
      <c r="WRJ55" s="55"/>
      <c r="WRK55" s="55"/>
      <c r="WRL55" s="55"/>
      <c r="WRM55" s="55"/>
      <c r="WRN55" s="55"/>
      <c r="WRO55" s="55"/>
      <c r="WRP55" s="55"/>
      <c r="WRQ55" s="55"/>
      <c r="WRR55" s="55"/>
      <c r="WRS55" s="55"/>
      <c r="WRT55" s="55"/>
      <c r="WRU55" s="55"/>
      <c r="WRV55" s="55"/>
      <c r="WRW55" s="55"/>
      <c r="WRX55" s="55"/>
      <c r="WRY55" s="55"/>
      <c r="WRZ55" s="55"/>
      <c r="WSA55" s="55"/>
      <c r="WSB55" s="55"/>
      <c r="WSC55" s="55"/>
      <c r="WSD55" s="55"/>
      <c r="WSE55" s="55"/>
      <c r="WSF55" s="55"/>
      <c r="WSG55" s="55"/>
      <c r="WSH55" s="55"/>
      <c r="WSI55" s="55"/>
      <c r="WSJ55" s="55"/>
      <c r="WSK55" s="55"/>
      <c r="WSL55" s="55"/>
      <c r="WSM55" s="55"/>
      <c r="WSN55" s="55"/>
      <c r="WSO55" s="55"/>
      <c r="WSP55" s="55"/>
      <c r="WSQ55" s="55"/>
      <c r="WSR55" s="55"/>
      <c r="WSS55" s="55"/>
      <c r="WST55" s="55"/>
      <c r="WSU55" s="55"/>
      <c r="WSV55" s="55"/>
      <c r="WSW55" s="55"/>
      <c r="WSX55" s="55"/>
      <c r="WSY55" s="55"/>
      <c r="WSZ55" s="55"/>
      <c r="WTA55" s="55"/>
      <c r="WTB55" s="55"/>
      <c r="WTC55" s="55"/>
      <c r="WTD55" s="55"/>
      <c r="WTE55" s="55"/>
      <c r="WTF55" s="55"/>
      <c r="WTG55" s="55"/>
      <c r="WTH55" s="55"/>
      <c r="WTI55" s="55"/>
      <c r="WTJ55" s="55"/>
      <c r="WTK55" s="55"/>
      <c r="WTL55" s="55"/>
      <c r="WTM55" s="55"/>
      <c r="WTN55" s="55"/>
      <c r="WTO55" s="55"/>
      <c r="WTP55" s="55"/>
      <c r="WTQ55" s="55"/>
      <c r="WTR55" s="55"/>
      <c r="WTS55" s="55"/>
      <c r="WTT55" s="55"/>
      <c r="WTU55" s="55"/>
      <c r="WTV55" s="55"/>
      <c r="WTW55" s="55"/>
      <c r="WTX55" s="55"/>
      <c r="WTY55" s="55"/>
      <c r="WTZ55" s="55"/>
      <c r="WUA55" s="55"/>
      <c r="WUB55" s="55"/>
      <c r="WUC55" s="55"/>
      <c r="WUD55" s="55"/>
      <c r="WUE55" s="55"/>
      <c r="WUF55" s="55"/>
      <c r="WUG55" s="55"/>
      <c r="WUH55" s="55"/>
      <c r="WUI55" s="55"/>
      <c r="WUJ55" s="55"/>
      <c r="WUK55" s="55"/>
      <c r="WUL55" s="55"/>
      <c r="WUM55" s="55"/>
      <c r="WUN55" s="55"/>
      <c r="WUO55" s="55"/>
      <c r="WUP55" s="55"/>
      <c r="WUQ55" s="55"/>
      <c r="WUR55" s="55"/>
      <c r="WUS55" s="55"/>
      <c r="WUT55" s="55"/>
      <c r="WUU55" s="55"/>
      <c r="WUV55" s="55"/>
      <c r="WUW55" s="55"/>
      <c r="WUX55" s="55"/>
      <c r="WUY55" s="55"/>
      <c r="WUZ55" s="55"/>
      <c r="WVA55" s="55"/>
      <c r="WVB55" s="55"/>
      <c r="WVC55" s="55"/>
      <c r="WVD55" s="55"/>
      <c r="WVE55" s="55"/>
      <c r="WVF55" s="55"/>
      <c r="WVG55" s="55"/>
      <c r="WVH55" s="55"/>
      <c r="WVI55" s="55"/>
      <c r="WVJ55" s="55"/>
      <c r="WVK55" s="55"/>
      <c r="WVL55" s="55"/>
      <c r="WVM55" s="55"/>
      <c r="WVN55" s="55"/>
      <c r="WVO55" s="55"/>
      <c r="WVP55" s="55"/>
      <c r="WVQ55" s="55"/>
      <c r="WVR55" s="55"/>
      <c r="WVS55" s="55"/>
      <c r="WVT55" s="55"/>
      <c r="WVU55" s="55"/>
      <c r="WVV55" s="55"/>
      <c r="WVW55" s="55"/>
      <c r="WVX55" s="55"/>
      <c r="WVY55" s="55"/>
      <c r="WVZ55" s="55"/>
      <c r="WWA55" s="55"/>
      <c r="WWB55" s="55"/>
      <c r="WWC55" s="55"/>
      <c r="WWD55" s="55"/>
      <c r="WWE55" s="55"/>
      <c r="WWF55" s="55"/>
      <c r="WWG55" s="55"/>
      <c r="WWH55" s="55"/>
      <c r="WWI55" s="55"/>
      <c r="WWJ55" s="55"/>
      <c r="WWK55" s="55"/>
      <c r="WWL55" s="55"/>
      <c r="WWM55" s="55"/>
      <c r="WWN55" s="55"/>
      <c r="WWO55" s="55"/>
      <c r="WWP55" s="55"/>
      <c r="WWQ55" s="55"/>
      <c r="WWR55" s="55"/>
      <c r="WWS55" s="55"/>
      <c r="WWT55" s="55"/>
      <c r="WWU55" s="55"/>
      <c r="WWV55" s="55"/>
      <c r="WWW55" s="55"/>
      <c r="WWX55" s="55"/>
      <c r="WWY55" s="55"/>
      <c r="WWZ55" s="55"/>
      <c r="WXA55" s="55"/>
      <c r="WXB55" s="55"/>
      <c r="WXC55" s="55"/>
      <c r="WXD55" s="55"/>
      <c r="WXE55" s="55"/>
      <c r="WXF55" s="55"/>
      <c r="WXG55" s="55"/>
      <c r="WXH55" s="55"/>
      <c r="WXI55" s="55"/>
      <c r="WXJ55" s="55"/>
      <c r="WXK55" s="55"/>
      <c r="WXL55" s="55"/>
      <c r="WXM55" s="55"/>
      <c r="WXN55" s="55"/>
      <c r="WXO55" s="55"/>
      <c r="WXP55" s="55"/>
      <c r="WXQ55" s="55"/>
      <c r="WXR55" s="55"/>
      <c r="WXS55" s="55"/>
      <c r="WXT55" s="55"/>
      <c r="WXU55" s="55"/>
      <c r="WXV55" s="55"/>
      <c r="WXW55" s="55"/>
      <c r="WXX55" s="55"/>
      <c r="WXY55" s="55"/>
      <c r="WXZ55" s="55"/>
      <c r="WYA55" s="55"/>
      <c r="WYB55" s="55"/>
      <c r="WYC55" s="55"/>
      <c r="WYD55" s="55"/>
      <c r="WYE55" s="55"/>
      <c r="WYF55" s="55"/>
      <c r="WYG55" s="55"/>
      <c r="WYH55" s="55"/>
      <c r="WYI55" s="55"/>
      <c r="WYJ55" s="55"/>
      <c r="WYK55" s="55"/>
      <c r="WYL55" s="55"/>
      <c r="WYM55" s="55"/>
      <c r="WYN55" s="55"/>
      <c r="WYO55" s="55"/>
      <c r="WYP55" s="55"/>
      <c r="WYQ55" s="55"/>
      <c r="WYR55" s="55"/>
      <c r="WYS55" s="55"/>
      <c r="WYT55" s="55"/>
      <c r="WYU55" s="55"/>
      <c r="WYV55" s="55"/>
      <c r="WYW55" s="55"/>
      <c r="WYX55" s="55"/>
      <c r="WYY55" s="55"/>
      <c r="WYZ55" s="55"/>
      <c r="WZA55" s="55"/>
      <c r="WZB55" s="55"/>
      <c r="WZC55" s="55"/>
      <c r="WZD55" s="55"/>
      <c r="WZE55" s="55"/>
      <c r="WZF55" s="55"/>
      <c r="WZG55" s="55"/>
      <c r="WZH55" s="55"/>
      <c r="WZI55" s="55"/>
      <c r="WZJ55" s="55"/>
      <c r="WZK55" s="55"/>
      <c r="WZL55" s="55"/>
      <c r="WZM55" s="55"/>
      <c r="WZN55" s="55"/>
      <c r="WZO55" s="55"/>
      <c r="WZP55" s="55"/>
      <c r="WZQ55" s="55"/>
      <c r="WZR55" s="55"/>
      <c r="WZS55" s="55"/>
      <c r="WZT55" s="55"/>
      <c r="WZU55" s="55"/>
      <c r="WZV55" s="55"/>
      <c r="WZW55" s="55"/>
      <c r="WZX55" s="55"/>
      <c r="WZY55" s="55"/>
      <c r="WZZ55" s="55"/>
      <c r="XAA55" s="55"/>
      <c r="XAB55" s="55"/>
      <c r="XAC55" s="55"/>
      <c r="XAD55" s="55"/>
      <c r="XAE55" s="55"/>
      <c r="XAF55" s="55"/>
      <c r="XAG55" s="55"/>
      <c r="XAH55" s="55"/>
      <c r="XAI55" s="55"/>
      <c r="XAJ55" s="55"/>
      <c r="XAK55" s="55"/>
      <c r="XAL55" s="55"/>
      <c r="XAM55" s="55"/>
      <c r="XAN55" s="55"/>
      <c r="XAO55" s="55"/>
      <c r="XAP55" s="55"/>
      <c r="XAQ55" s="55"/>
      <c r="XAR55" s="55"/>
      <c r="XAS55" s="55"/>
      <c r="XAT55" s="55"/>
      <c r="XAU55" s="55"/>
      <c r="XAV55" s="55"/>
      <c r="XAW55" s="55"/>
      <c r="XAX55" s="55"/>
      <c r="XAY55" s="55"/>
      <c r="XAZ55" s="55"/>
      <c r="XBA55" s="55"/>
      <c r="XBB55" s="55"/>
      <c r="XBC55" s="55"/>
      <c r="XBD55" s="55"/>
      <c r="XBE55" s="55"/>
      <c r="XBF55" s="55"/>
      <c r="XBG55" s="55"/>
      <c r="XBH55" s="55"/>
      <c r="XBI55" s="55"/>
      <c r="XBJ55" s="55"/>
      <c r="XBK55" s="55"/>
      <c r="XBL55" s="55"/>
      <c r="XBM55" s="55"/>
      <c r="XBN55" s="55"/>
      <c r="XBO55" s="55"/>
      <c r="XBP55" s="55"/>
      <c r="XBQ55" s="55"/>
      <c r="XBR55" s="55"/>
      <c r="XBS55" s="55"/>
      <c r="XBT55" s="55"/>
      <c r="XBU55" s="55"/>
      <c r="XBV55" s="55"/>
      <c r="XBW55" s="55"/>
      <c r="XBX55" s="55"/>
      <c r="XBY55" s="55"/>
      <c r="XBZ55" s="55"/>
      <c r="XCA55" s="55"/>
      <c r="XCB55" s="55"/>
      <c r="XCC55" s="55"/>
      <c r="XCD55" s="55"/>
      <c r="XCE55" s="55"/>
      <c r="XCF55" s="55"/>
      <c r="XCG55" s="55"/>
      <c r="XCH55" s="55"/>
      <c r="XCI55" s="55"/>
      <c r="XCJ55" s="55"/>
      <c r="XCK55" s="55"/>
      <c r="XCL55" s="55"/>
      <c r="XCM55" s="55"/>
      <c r="XCN55" s="55"/>
      <c r="XCO55" s="55"/>
      <c r="XCP55" s="55"/>
      <c r="XCQ55" s="55"/>
      <c r="XCR55" s="55"/>
      <c r="XCS55" s="55"/>
      <c r="XCT55" s="55"/>
      <c r="XCU55" s="55"/>
      <c r="XCV55" s="55"/>
      <c r="XCW55" s="55"/>
      <c r="XCX55" s="55"/>
      <c r="XCY55" s="55"/>
      <c r="XCZ55" s="55"/>
      <c r="XDA55" s="55"/>
      <c r="XDB55" s="55"/>
      <c r="XDC55" s="55"/>
      <c r="XDD55" s="55"/>
      <c r="XDE55" s="55"/>
      <c r="XDF55" s="55"/>
      <c r="XDG55" s="55"/>
      <c r="XDH55" s="55"/>
      <c r="XDI55" s="55"/>
      <c r="XDJ55" s="55"/>
      <c r="XDK55" s="55"/>
      <c r="XDL55" s="55"/>
      <c r="XDM55" s="55"/>
      <c r="XDN55" s="55"/>
      <c r="XDO55" s="55"/>
      <c r="XDP55" s="55"/>
      <c r="XDQ55" s="55"/>
      <c r="XDR55" s="55"/>
      <c r="XDS55" s="55"/>
      <c r="XDT55" s="55"/>
      <c r="XDU55" s="55"/>
      <c r="XDV55" s="55"/>
      <c r="XDW55" s="55"/>
      <c r="XDX55" s="55"/>
      <c r="XDY55" s="55"/>
      <c r="XDZ55" s="55"/>
      <c r="XEA55" s="55"/>
      <c r="XEB55" s="55"/>
      <c r="XEC55" s="55"/>
      <c r="XED55" s="55"/>
      <c r="XEE55" s="55"/>
      <c r="XEF55" s="55"/>
      <c r="XEG55" s="55"/>
      <c r="XEH55" s="55"/>
      <c r="XEI55" s="55"/>
      <c r="XEJ55" s="55"/>
      <c r="XEK55" s="55"/>
      <c r="XEL55" s="55"/>
      <c r="XEM55" s="55"/>
      <c r="XEN55" s="55"/>
      <c r="XEO55" s="55"/>
      <c r="XEP55" s="55"/>
      <c r="XEQ55" s="55"/>
      <c r="XER55" s="55"/>
      <c r="XES55" s="55"/>
      <c r="XET55" s="55"/>
      <c r="XEU55" s="55"/>
      <c r="XEV55" s="55"/>
      <c r="XEW55" s="55"/>
      <c r="XEX55" s="55"/>
      <c r="XEY55" s="55"/>
      <c r="XEZ55" s="55"/>
      <c r="XFA55" s="55"/>
      <c r="XFB55" s="55"/>
      <c r="XFC55" s="55"/>
    </row>
    <row r="57" spans="1:16383" x14ac:dyDescent="0.35">
      <c r="A57" t="s">
        <v>203</v>
      </c>
      <c r="C57" s="22"/>
      <c r="D57" s="22"/>
      <c r="E57" s="22"/>
      <c r="F57" s="22"/>
      <c r="G57" s="22">
        <f>G40</f>
        <v>11427030301.178078</v>
      </c>
      <c r="H57" s="22">
        <f>H40</f>
        <v>11237258071.089705</v>
      </c>
      <c r="I57" s="22">
        <f>I40</f>
        <v>10726646161.733892</v>
      </c>
      <c r="J57" s="22"/>
      <c r="K57" s="22"/>
      <c r="L57" s="22"/>
      <c r="M57" s="22"/>
      <c r="N57" s="22"/>
      <c r="O57" s="22"/>
    </row>
    <row r="58" spans="1:16383" x14ac:dyDescent="0.35">
      <c r="A58" t="s">
        <v>221</v>
      </c>
      <c r="G58" s="22">
        <f>G46</f>
        <v>3301296457.5197301</v>
      </c>
      <c r="H58" s="22">
        <f>H46</f>
        <v>3201382879.8657732</v>
      </c>
      <c r="I58" s="22">
        <f>I46</f>
        <v>3097873624.8769369</v>
      </c>
      <c r="J58" s="22"/>
      <c r="K58" s="22"/>
      <c r="L58" s="22"/>
      <c r="M58" s="22"/>
      <c r="N58" s="22"/>
      <c r="O58" s="22"/>
    </row>
    <row r="59" spans="1:16383" x14ac:dyDescent="0.35">
      <c r="A59" t="s">
        <v>200</v>
      </c>
      <c r="G59" s="22">
        <f>G49</f>
        <v>5366907895.545682</v>
      </c>
      <c r="H59" s="22">
        <f>H49</f>
        <v>5172485534.2508202</v>
      </c>
      <c r="I59" s="22">
        <f>I49</f>
        <v>4872130462.3861923</v>
      </c>
      <c r="J59" s="22"/>
      <c r="K59" s="22"/>
      <c r="L59" s="22"/>
      <c r="M59" s="22"/>
      <c r="N59" s="22"/>
      <c r="O59" s="22"/>
    </row>
    <row r="60" spans="1:16383" ht="15" thickBot="1" x14ac:dyDescent="0.4">
      <c r="A60" s="2" t="s">
        <v>201</v>
      </c>
      <c r="B60" s="2"/>
      <c r="C60" s="2"/>
      <c r="D60" s="2"/>
      <c r="E60" s="2"/>
      <c r="F60" s="2"/>
      <c r="G60" s="27">
        <f>G52</f>
        <v>607915217.55433083</v>
      </c>
      <c r="H60" s="27">
        <f>H52</f>
        <v>940598969.53955448</v>
      </c>
      <c r="I60" s="27">
        <f>I52</f>
        <v>1283012806.6054683</v>
      </c>
      <c r="J60" s="27"/>
      <c r="K60" s="27"/>
      <c r="L60" s="27"/>
      <c r="M60" s="27"/>
      <c r="N60" s="27"/>
      <c r="O60" s="27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  <c r="DP60" s="2"/>
      <c r="DQ60" s="2"/>
      <c r="DR60" s="2"/>
      <c r="DS60" s="2"/>
      <c r="DT60" s="2"/>
      <c r="DU60" s="2"/>
      <c r="DV60" s="2"/>
      <c r="DW60" s="2"/>
      <c r="DX60" s="2"/>
      <c r="DY60" s="2"/>
      <c r="DZ60" s="2"/>
      <c r="EA60" s="2"/>
      <c r="EB60" s="2"/>
      <c r="EC60" s="2"/>
      <c r="ED60" s="2"/>
      <c r="EE60" s="2"/>
      <c r="EF60" s="2"/>
      <c r="EG60" s="2"/>
      <c r="EH60" s="2"/>
      <c r="EI60" s="2"/>
      <c r="EJ60" s="2"/>
      <c r="EK60" s="2"/>
      <c r="EL60" s="2"/>
      <c r="EM60" s="2"/>
      <c r="EN60" s="2"/>
      <c r="EO60" s="2"/>
      <c r="EP60" s="2"/>
      <c r="EQ60" s="2"/>
      <c r="ER60" s="2"/>
      <c r="ES60" s="2"/>
      <c r="ET60" s="2"/>
      <c r="EU60" s="2"/>
      <c r="EV60" s="2"/>
      <c r="EW60" s="2"/>
      <c r="EX60" s="2"/>
      <c r="EY60" s="2"/>
      <c r="EZ60" s="2"/>
      <c r="FA60" s="2"/>
      <c r="FB60" s="2"/>
      <c r="FC60" s="2"/>
      <c r="FD60" s="2"/>
      <c r="FE60" s="2"/>
      <c r="FF60" s="2"/>
      <c r="FG60" s="2"/>
      <c r="FH60" s="2"/>
      <c r="FI60" s="2"/>
      <c r="FJ60" s="2"/>
      <c r="FK60" s="2"/>
      <c r="FL60" s="2"/>
      <c r="FM60" s="2"/>
      <c r="FN60" s="2"/>
      <c r="FO60" s="2"/>
      <c r="FP60" s="2"/>
      <c r="FQ60" s="2"/>
      <c r="FR60" s="2"/>
      <c r="FS60" s="2"/>
      <c r="FT60" s="2"/>
      <c r="FU60" s="2"/>
      <c r="FV60" s="2"/>
      <c r="FW60" s="2"/>
      <c r="FX60" s="2"/>
      <c r="FY60" s="2"/>
      <c r="FZ60" s="2"/>
      <c r="GA60" s="2"/>
      <c r="GB60" s="2"/>
      <c r="GC60" s="2"/>
      <c r="GD60" s="2"/>
      <c r="GE60" s="2"/>
      <c r="GF60" s="2"/>
      <c r="GG60" s="2"/>
      <c r="GH60" s="2"/>
      <c r="GI60" s="2"/>
      <c r="GJ60" s="2"/>
      <c r="GK60" s="2"/>
      <c r="GL60" s="2"/>
      <c r="GM60" s="2"/>
      <c r="GN60" s="2"/>
      <c r="GO60" s="2"/>
      <c r="GP60" s="2"/>
      <c r="GQ60" s="2"/>
      <c r="GR60" s="2"/>
      <c r="GS60" s="2"/>
      <c r="GT60" s="2"/>
      <c r="GU60" s="2"/>
      <c r="GV60" s="2"/>
      <c r="GW60" s="2"/>
      <c r="GX60" s="2"/>
      <c r="GY60" s="2"/>
      <c r="GZ60" s="2"/>
      <c r="HA60" s="2"/>
      <c r="HB60" s="2"/>
      <c r="HC60" s="2"/>
      <c r="HD60" s="2"/>
      <c r="HE60" s="2"/>
      <c r="HF60" s="2"/>
      <c r="HG60" s="2"/>
      <c r="HH60" s="2"/>
      <c r="HI60" s="2"/>
      <c r="HJ60" s="2"/>
      <c r="HK60" s="2"/>
      <c r="HL60" s="2"/>
      <c r="HM60" s="2"/>
      <c r="HN60" s="2"/>
      <c r="HO60" s="2"/>
      <c r="HP60" s="2"/>
      <c r="HQ60" s="2"/>
      <c r="HR60" s="2"/>
      <c r="HS60" s="2"/>
      <c r="HT60" s="2"/>
      <c r="HU60" s="2"/>
      <c r="HV60" s="2"/>
      <c r="HW60" s="2"/>
      <c r="HX60" s="2"/>
      <c r="HY60" s="2"/>
      <c r="HZ60" s="2"/>
      <c r="IA60" s="2"/>
      <c r="IB60" s="2"/>
      <c r="IC60" s="2"/>
      <c r="ID60" s="2"/>
      <c r="IE60" s="2"/>
      <c r="IF60" s="2"/>
      <c r="IG60" s="2"/>
      <c r="IH60" s="2"/>
      <c r="II60" s="2"/>
      <c r="IJ60" s="2"/>
      <c r="IK60" s="2"/>
      <c r="IL60" s="2"/>
      <c r="IM60" s="2"/>
      <c r="IN60" s="2"/>
      <c r="IO60" s="2"/>
      <c r="IP60" s="2"/>
      <c r="IQ60" s="2"/>
      <c r="IR60" s="2"/>
      <c r="IS60" s="2"/>
      <c r="IT60" s="2"/>
      <c r="IU60" s="2"/>
      <c r="IV60" s="2"/>
      <c r="IW60" s="2"/>
      <c r="IX60" s="2"/>
      <c r="IY60" s="2"/>
      <c r="IZ60" s="2"/>
      <c r="JA60" s="2"/>
      <c r="JB60" s="2"/>
      <c r="JC60" s="2"/>
      <c r="JD60" s="2"/>
      <c r="JE60" s="2"/>
      <c r="JF60" s="2"/>
      <c r="JG60" s="2"/>
      <c r="JH60" s="2"/>
      <c r="JI60" s="2"/>
      <c r="JJ60" s="2"/>
      <c r="JK60" s="2"/>
      <c r="JL60" s="2"/>
      <c r="JM60" s="2"/>
      <c r="JN60" s="2"/>
      <c r="JO60" s="2"/>
      <c r="JP60" s="2"/>
      <c r="JQ60" s="2"/>
      <c r="JR60" s="2"/>
      <c r="JS60" s="2"/>
      <c r="JT60" s="2"/>
      <c r="JU60" s="2"/>
      <c r="JV60" s="2"/>
      <c r="JW60" s="2"/>
      <c r="JX60" s="2"/>
      <c r="JY60" s="2"/>
      <c r="JZ60" s="2"/>
      <c r="KA60" s="2"/>
      <c r="KB60" s="2"/>
      <c r="KC60" s="2"/>
      <c r="KD60" s="2"/>
      <c r="KE60" s="2"/>
      <c r="KF60" s="2"/>
      <c r="KG60" s="2"/>
      <c r="KH60" s="2"/>
      <c r="KI60" s="2"/>
      <c r="KJ60" s="2"/>
      <c r="KK60" s="2"/>
      <c r="KL60" s="2"/>
      <c r="KM60" s="2"/>
      <c r="KN60" s="2"/>
      <c r="KO60" s="2"/>
      <c r="KP60" s="2"/>
      <c r="KQ60" s="2"/>
      <c r="KR60" s="2"/>
      <c r="KS60" s="2"/>
      <c r="KT60" s="2"/>
      <c r="KU60" s="2"/>
      <c r="KV60" s="2"/>
      <c r="KW60" s="2"/>
      <c r="KX60" s="2"/>
      <c r="KY60" s="2"/>
      <c r="KZ60" s="2"/>
      <c r="LA60" s="2"/>
      <c r="LB60" s="2"/>
      <c r="LC60" s="2"/>
      <c r="LD60" s="2"/>
      <c r="LE60" s="2"/>
      <c r="LF60" s="2"/>
      <c r="LG60" s="2"/>
      <c r="LH60" s="2"/>
      <c r="LI60" s="2"/>
      <c r="LJ60" s="2"/>
      <c r="LK60" s="2"/>
      <c r="LL60" s="2"/>
      <c r="LM60" s="2"/>
      <c r="LN60" s="2"/>
      <c r="LO60" s="2"/>
      <c r="LP60" s="2"/>
      <c r="LQ60" s="2"/>
      <c r="LR60" s="2"/>
      <c r="LS60" s="2"/>
      <c r="LT60" s="2"/>
      <c r="LU60" s="2"/>
      <c r="LV60" s="2"/>
      <c r="LW60" s="2"/>
      <c r="LX60" s="2"/>
      <c r="LY60" s="2"/>
      <c r="LZ60" s="2"/>
      <c r="MA60" s="2"/>
      <c r="MB60" s="2"/>
      <c r="MC60" s="2"/>
      <c r="MD60" s="2"/>
      <c r="ME60" s="2"/>
      <c r="MF60" s="2"/>
      <c r="MG60" s="2"/>
      <c r="MH60" s="2"/>
      <c r="MI60" s="2"/>
      <c r="MJ60" s="2"/>
      <c r="MK60" s="2"/>
      <c r="ML60" s="2"/>
      <c r="MM60" s="2"/>
      <c r="MN60" s="2"/>
      <c r="MO60" s="2"/>
      <c r="MP60" s="2"/>
      <c r="MQ60" s="2"/>
      <c r="MR60" s="2"/>
      <c r="MS60" s="2"/>
      <c r="MT60" s="2"/>
      <c r="MU60" s="2"/>
      <c r="MV60" s="2"/>
      <c r="MW60" s="2"/>
      <c r="MX60" s="2"/>
      <c r="MY60" s="2"/>
      <c r="MZ60" s="2"/>
      <c r="NA60" s="2"/>
      <c r="NB60" s="2"/>
      <c r="NC60" s="2"/>
      <c r="ND60" s="2"/>
      <c r="NE60" s="2"/>
      <c r="NF60" s="2"/>
      <c r="NG60" s="2"/>
      <c r="NH60" s="2"/>
      <c r="NI60" s="2"/>
      <c r="NJ60" s="2"/>
      <c r="NK60" s="2"/>
      <c r="NL60" s="2"/>
      <c r="NM60" s="2"/>
      <c r="NN60" s="2"/>
      <c r="NO60" s="2"/>
      <c r="NP60" s="2"/>
      <c r="NQ60" s="2"/>
      <c r="NR60" s="2"/>
      <c r="NS60" s="2"/>
      <c r="NT60" s="2"/>
      <c r="NU60" s="2"/>
      <c r="NV60" s="2"/>
      <c r="NW60" s="2"/>
      <c r="NX60" s="2"/>
      <c r="NY60" s="2"/>
      <c r="NZ60" s="2"/>
      <c r="OA60" s="2"/>
      <c r="OB60" s="2"/>
      <c r="OC60" s="2"/>
      <c r="OD60" s="2"/>
      <c r="OE60" s="2"/>
      <c r="OF60" s="2"/>
      <c r="OG60" s="2"/>
      <c r="OH60" s="2"/>
      <c r="OI60" s="2"/>
      <c r="OJ60" s="2"/>
      <c r="OK60" s="2"/>
      <c r="OL60" s="2"/>
      <c r="OM60" s="2"/>
      <c r="ON60" s="2"/>
      <c r="OO60" s="2"/>
      <c r="OP60" s="2"/>
      <c r="OQ60" s="2"/>
      <c r="OR60" s="2"/>
      <c r="OS60" s="2"/>
      <c r="OT60" s="2"/>
      <c r="OU60" s="2"/>
      <c r="OV60" s="2"/>
      <c r="OW60" s="2"/>
      <c r="OX60" s="2"/>
      <c r="OY60" s="2"/>
      <c r="OZ60" s="2"/>
      <c r="PA60" s="2"/>
      <c r="PB60" s="2"/>
      <c r="PC60" s="2"/>
      <c r="PD60" s="2"/>
      <c r="PE60" s="2"/>
      <c r="PF60" s="2"/>
      <c r="PG60" s="2"/>
      <c r="PH60" s="2"/>
      <c r="PI60" s="2"/>
      <c r="PJ60" s="2"/>
      <c r="PK60" s="2"/>
      <c r="PL60" s="2"/>
      <c r="PM60" s="2"/>
      <c r="PN60" s="2"/>
      <c r="PO60" s="2"/>
      <c r="PP60" s="2"/>
      <c r="PQ60" s="2"/>
      <c r="PR60" s="2"/>
      <c r="PS60" s="2"/>
      <c r="PT60" s="2"/>
      <c r="PU60" s="2"/>
      <c r="PV60" s="2"/>
      <c r="PW60" s="2"/>
      <c r="PX60" s="2"/>
      <c r="PY60" s="2"/>
      <c r="PZ60" s="2"/>
      <c r="QA60" s="2"/>
      <c r="QB60" s="2"/>
      <c r="QC60" s="2"/>
      <c r="QD60" s="2"/>
      <c r="QE60" s="2"/>
      <c r="QF60" s="2"/>
      <c r="QG60" s="2"/>
      <c r="QH60" s="2"/>
      <c r="QI60" s="2"/>
      <c r="QJ60" s="2"/>
      <c r="QK60" s="2"/>
      <c r="QL60" s="2"/>
      <c r="QM60" s="2"/>
      <c r="QN60" s="2"/>
      <c r="QO60" s="2"/>
      <c r="QP60" s="2"/>
      <c r="QQ60" s="2"/>
      <c r="QR60" s="2"/>
      <c r="QS60" s="2"/>
      <c r="QT60" s="2"/>
      <c r="QU60" s="2"/>
      <c r="QV60" s="2"/>
      <c r="QW60" s="2"/>
      <c r="QX60" s="2"/>
      <c r="QY60" s="2"/>
      <c r="QZ60" s="2"/>
      <c r="RA60" s="2"/>
      <c r="RB60" s="2"/>
      <c r="RC60" s="2"/>
      <c r="RD60" s="2"/>
      <c r="RE60" s="2"/>
      <c r="RF60" s="2"/>
      <c r="RG60" s="2"/>
      <c r="RH60" s="2"/>
      <c r="RI60" s="2"/>
      <c r="RJ60" s="2"/>
      <c r="RK60" s="2"/>
      <c r="RL60" s="2"/>
      <c r="RM60" s="2"/>
      <c r="RN60" s="2"/>
      <c r="RO60" s="2"/>
      <c r="RP60" s="2"/>
      <c r="RQ60" s="2"/>
      <c r="RR60" s="2"/>
      <c r="RS60" s="2"/>
      <c r="RT60" s="2"/>
      <c r="RU60" s="2"/>
      <c r="RV60" s="2"/>
      <c r="RW60" s="2"/>
      <c r="RX60" s="2"/>
      <c r="RY60" s="2"/>
      <c r="RZ60" s="2"/>
      <c r="SA60" s="2"/>
      <c r="SB60" s="2"/>
      <c r="SC60" s="2"/>
      <c r="SD60" s="2"/>
      <c r="SE60" s="2"/>
      <c r="SF60" s="2"/>
      <c r="SG60" s="2"/>
      <c r="SH60" s="2"/>
      <c r="SI60" s="2"/>
      <c r="SJ60" s="2"/>
      <c r="SK60" s="2"/>
      <c r="SL60" s="2"/>
      <c r="SM60" s="2"/>
      <c r="SN60" s="2"/>
      <c r="SO60" s="2"/>
      <c r="SP60" s="2"/>
      <c r="SQ60" s="2"/>
      <c r="SR60" s="2"/>
      <c r="SS60" s="2"/>
      <c r="ST60" s="2"/>
      <c r="SU60" s="2"/>
      <c r="SV60" s="2"/>
      <c r="SW60" s="2"/>
      <c r="SX60" s="2"/>
      <c r="SY60" s="2"/>
      <c r="SZ60" s="2"/>
      <c r="TA60" s="2"/>
      <c r="TB60" s="2"/>
      <c r="TC60" s="2"/>
      <c r="TD60" s="2"/>
      <c r="TE60" s="2"/>
      <c r="TF60" s="2"/>
      <c r="TG60" s="2"/>
      <c r="TH60" s="2"/>
      <c r="TI60" s="2"/>
      <c r="TJ60" s="2"/>
      <c r="TK60" s="2"/>
      <c r="TL60" s="2"/>
      <c r="TM60" s="2"/>
      <c r="TN60" s="2"/>
      <c r="TO60" s="2"/>
      <c r="TP60" s="2"/>
      <c r="TQ60" s="2"/>
      <c r="TR60" s="2"/>
      <c r="TS60" s="2"/>
      <c r="TT60" s="2"/>
      <c r="TU60" s="2"/>
      <c r="TV60" s="2"/>
      <c r="TW60" s="2"/>
      <c r="TX60" s="2"/>
      <c r="TY60" s="2"/>
      <c r="TZ60" s="2"/>
      <c r="UA60" s="2"/>
      <c r="UB60" s="2"/>
      <c r="UC60" s="2"/>
      <c r="UD60" s="2"/>
      <c r="UE60" s="2"/>
      <c r="UF60" s="2"/>
      <c r="UG60" s="2"/>
      <c r="UH60" s="2"/>
      <c r="UI60" s="2"/>
      <c r="UJ60" s="2"/>
      <c r="UK60" s="2"/>
      <c r="UL60" s="2"/>
      <c r="UM60" s="2"/>
      <c r="UN60" s="2"/>
      <c r="UO60" s="2"/>
      <c r="UP60" s="2"/>
      <c r="UQ60" s="2"/>
      <c r="UR60" s="2"/>
      <c r="US60" s="2"/>
      <c r="UT60" s="2"/>
      <c r="UU60" s="2"/>
      <c r="UV60" s="2"/>
      <c r="UW60" s="2"/>
      <c r="UX60" s="2"/>
      <c r="UY60" s="2"/>
      <c r="UZ60" s="2"/>
      <c r="VA60" s="2"/>
      <c r="VB60" s="2"/>
      <c r="VC60" s="2"/>
      <c r="VD60" s="2"/>
      <c r="VE60" s="2"/>
      <c r="VF60" s="2"/>
      <c r="VG60" s="2"/>
      <c r="VH60" s="2"/>
      <c r="VI60" s="2"/>
      <c r="VJ60" s="2"/>
      <c r="VK60" s="2"/>
      <c r="VL60" s="2"/>
      <c r="VM60" s="2"/>
      <c r="VN60" s="2"/>
      <c r="VO60" s="2"/>
      <c r="VP60" s="2"/>
      <c r="VQ60" s="2"/>
      <c r="VR60" s="2"/>
      <c r="VS60" s="2"/>
      <c r="VT60" s="2"/>
      <c r="VU60" s="2"/>
      <c r="VV60" s="2"/>
      <c r="VW60" s="2"/>
      <c r="VX60" s="2"/>
      <c r="VY60" s="2"/>
      <c r="VZ60" s="2"/>
      <c r="WA60" s="2"/>
      <c r="WB60" s="2"/>
      <c r="WC60" s="2"/>
      <c r="WD60" s="2"/>
      <c r="WE60" s="2"/>
      <c r="WF60" s="2"/>
      <c r="WG60" s="2"/>
      <c r="WH60" s="2"/>
      <c r="WI60" s="2"/>
      <c r="WJ60" s="2"/>
      <c r="WK60" s="2"/>
      <c r="WL60" s="2"/>
      <c r="WM60" s="2"/>
      <c r="WN60" s="2"/>
      <c r="WO60" s="2"/>
      <c r="WP60" s="2"/>
      <c r="WQ60" s="2"/>
      <c r="WR60" s="2"/>
      <c r="WS60" s="2"/>
      <c r="WT60" s="2"/>
      <c r="WU60" s="2"/>
      <c r="WV60" s="2"/>
      <c r="WW60" s="2"/>
      <c r="WX60" s="2"/>
      <c r="WY60" s="2"/>
      <c r="WZ60" s="2"/>
      <c r="XA60" s="2"/>
      <c r="XB60" s="2"/>
      <c r="XC60" s="2"/>
      <c r="XD60" s="2"/>
      <c r="XE60" s="2"/>
      <c r="XF60" s="2"/>
      <c r="XG60" s="2"/>
      <c r="XH60" s="2"/>
      <c r="XI60" s="2"/>
      <c r="XJ60" s="2"/>
      <c r="XK60" s="2"/>
      <c r="XL60" s="2"/>
      <c r="XM60" s="2"/>
      <c r="XN60" s="2"/>
      <c r="XO60" s="2"/>
      <c r="XP60" s="2"/>
      <c r="XQ60" s="2"/>
      <c r="XR60" s="2"/>
      <c r="XS60" s="2"/>
      <c r="XT60" s="2"/>
      <c r="XU60" s="2"/>
      <c r="XV60" s="2"/>
      <c r="XW60" s="2"/>
      <c r="XX60" s="2"/>
      <c r="XY60" s="2"/>
      <c r="XZ60" s="2"/>
      <c r="YA60" s="2"/>
      <c r="YB60" s="2"/>
      <c r="YC60" s="2"/>
      <c r="YD60" s="2"/>
      <c r="YE60" s="2"/>
      <c r="YF60" s="2"/>
      <c r="YG60" s="2"/>
      <c r="YH60" s="2"/>
      <c r="YI60" s="2"/>
      <c r="YJ60" s="2"/>
      <c r="YK60" s="2"/>
      <c r="YL60" s="2"/>
      <c r="YM60" s="2"/>
      <c r="YN60" s="2"/>
      <c r="YO60" s="2"/>
      <c r="YP60" s="2"/>
      <c r="YQ60" s="2"/>
      <c r="YR60" s="2"/>
      <c r="YS60" s="2"/>
      <c r="YT60" s="2"/>
      <c r="YU60" s="2"/>
      <c r="YV60" s="2"/>
      <c r="YW60" s="2"/>
      <c r="YX60" s="2"/>
      <c r="YY60" s="2"/>
      <c r="YZ60" s="2"/>
      <c r="ZA60" s="2"/>
      <c r="ZB60" s="2"/>
      <c r="ZC60" s="2"/>
      <c r="ZD60" s="2"/>
      <c r="ZE60" s="2"/>
      <c r="ZF60" s="2"/>
      <c r="ZG60" s="2"/>
      <c r="ZH60" s="2"/>
      <c r="ZI60" s="2"/>
      <c r="ZJ60" s="2"/>
      <c r="ZK60" s="2"/>
      <c r="ZL60" s="2"/>
      <c r="ZM60" s="2"/>
      <c r="ZN60" s="2"/>
      <c r="ZO60" s="2"/>
      <c r="ZP60" s="2"/>
      <c r="ZQ60" s="2"/>
      <c r="ZR60" s="2"/>
      <c r="ZS60" s="2"/>
      <c r="ZT60" s="2"/>
      <c r="ZU60" s="2"/>
      <c r="ZV60" s="2"/>
      <c r="ZW60" s="2"/>
      <c r="ZX60" s="2"/>
      <c r="ZY60" s="2"/>
      <c r="ZZ60" s="2"/>
      <c r="AAA60" s="2"/>
      <c r="AAB60" s="2"/>
      <c r="AAC60" s="2"/>
      <c r="AAD60" s="2"/>
      <c r="AAE60" s="2"/>
      <c r="AAF60" s="2"/>
      <c r="AAG60" s="2"/>
      <c r="AAH60" s="2"/>
      <c r="AAI60" s="2"/>
      <c r="AAJ60" s="2"/>
      <c r="AAK60" s="2"/>
      <c r="AAL60" s="2"/>
      <c r="AAM60" s="2"/>
      <c r="AAN60" s="2"/>
      <c r="AAO60" s="2"/>
      <c r="AAP60" s="2"/>
      <c r="AAQ60" s="2"/>
      <c r="AAR60" s="2"/>
      <c r="AAS60" s="2"/>
      <c r="AAT60" s="2"/>
      <c r="AAU60" s="2"/>
      <c r="AAV60" s="2"/>
      <c r="AAW60" s="2"/>
      <c r="AAX60" s="2"/>
      <c r="AAY60" s="2"/>
      <c r="AAZ60" s="2"/>
      <c r="ABA60" s="2"/>
      <c r="ABB60" s="2"/>
      <c r="ABC60" s="2"/>
      <c r="ABD60" s="2"/>
      <c r="ABE60" s="2"/>
      <c r="ABF60" s="2"/>
      <c r="ABG60" s="2"/>
      <c r="ABH60" s="2"/>
      <c r="ABI60" s="2"/>
      <c r="ABJ60" s="2"/>
      <c r="ABK60" s="2"/>
      <c r="ABL60" s="2"/>
      <c r="ABM60" s="2"/>
      <c r="ABN60" s="2"/>
      <c r="ABO60" s="2"/>
      <c r="ABP60" s="2"/>
      <c r="ABQ60" s="2"/>
      <c r="ABR60" s="2"/>
      <c r="ABS60" s="2"/>
      <c r="ABT60" s="2"/>
      <c r="ABU60" s="2"/>
      <c r="ABV60" s="2"/>
      <c r="ABW60" s="2"/>
      <c r="ABX60" s="2"/>
      <c r="ABY60" s="2"/>
      <c r="ABZ60" s="2"/>
      <c r="ACA60" s="2"/>
      <c r="ACB60" s="2"/>
      <c r="ACC60" s="2"/>
      <c r="ACD60" s="2"/>
      <c r="ACE60" s="2"/>
      <c r="ACF60" s="2"/>
      <c r="ACG60" s="2"/>
      <c r="ACH60" s="2"/>
      <c r="ACI60" s="2"/>
      <c r="ACJ60" s="2"/>
      <c r="ACK60" s="2"/>
      <c r="ACL60" s="2"/>
      <c r="ACM60" s="2"/>
      <c r="ACN60" s="2"/>
      <c r="ACO60" s="2"/>
      <c r="ACP60" s="2"/>
      <c r="ACQ60" s="2"/>
      <c r="ACR60" s="2"/>
      <c r="ACS60" s="2"/>
      <c r="ACT60" s="2"/>
      <c r="ACU60" s="2"/>
      <c r="ACV60" s="2"/>
      <c r="ACW60" s="2"/>
      <c r="ACX60" s="2"/>
      <c r="ACY60" s="2"/>
      <c r="ACZ60" s="2"/>
      <c r="ADA60" s="2"/>
      <c r="ADB60" s="2"/>
      <c r="ADC60" s="2"/>
      <c r="ADD60" s="2"/>
      <c r="ADE60" s="2"/>
      <c r="ADF60" s="2"/>
      <c r="ADG60" s="2"/>
      <c r="ADH60" s="2"/>
      <c r="ADI60" s="2"/>
      <c r="ADJ60" s="2"/>
      <c r="ADK60" s="2"/>
      <c r="ADL60" s="2"/>
      <c r="ADM60" s="2"/>
      <c r="ADN60" s="2"/>
      <c r="ADO60" s="2"/>
      <c r="ADP60" s="2"/>
      <c r="ADQ60" s="2"/>
      <c r="ADR60" s="2"/>
      <c r="ADS60" s="2"/>
      <c r="ADT60" s="2"/>
      <c r="ADU60" s="2"/>
      <c r="ADV60" s="2"/>
      <c r="ADW60" s="2"/>
      <c r="ADX60" s="2"/>
      <c r="ADY60" s="2"/>
      <c r="ADZ60" s="2"/>
      <c r="AEA60" s="2"/>
      <c r="AEB60" s="2"/>
      <c r="AEC60" s="2"/>
      <c r="AED60" s="2"/>
      <c r="AEE60" s="2"/>
      <c r="AEF60" s="2"/>
      <c r="AEG60" s="2"/>
      <c r="AEH60" s="2"/>
      <c r="AEI60" s="2"/>
      <c r="AEJ60" s="2"/>
      <c r="AEK60" s="2"/>
      <c r="AEL60" s="2"/>
      <c r="AEM60" s="2"/>
      <c r="AEN60" s="2"/>
      <c r="AEO60" s="2"/>
      <c r="AEP60" s="2"/>
      <c r="AEQ60" s="2"/>
      <c r="AER60" s="2"/>
      <c r="AES60" s="2"/>
      <c r="AET60" s="2"/>
      <c r="AEU60" s="2"/>
      <c r="AEV60" s="2"/>
      <c r="AEW60" s="2"/>
      <c r="AEX60" s="2"/>
      <c r="AEY60" s="2"/>
      <c r="AEZ60" s="2"/>
      <c r="AFA60" s="2"/>
      <c r="AFB60" s="2"/>
      <c r="AFC60" s="2"/>
      <c r="AFD60" s="2"/>
      <c r="AFE60" s="2"/>
      <c r="AFF60" s="2"/>
      <c r="AFG60" s="2"/>
      <c r="AFH60" s="2"/>
      <c r="AFI60" s="2"/>
      <c r="AFJ60" s="2"/>
      <c r="AFK60" s="2"/>
      <c r="AFL60" s="2"/>
      <c r="AFM60" s="2"/>
      <c r="AFN60" s="2"/>
      <c r="AFO60" s="2"/>
      <c r="AFP60" s="2"/>
      <c r="AFQ60" s="2"/>
      <c r="AFR60" s="2"/>
      <c r="AFS60" s="2"/>
      <c r="AFT60" s="2"/>
      <c r="AFU60" s="2"/>
      <c r="AFV60" s="2"/>
      <c r="AFW60" s="2"/>
      <c r="AFX60" s="2"/>
      <c r="AFY60" s="2"/>
      <c r="AFZ60" s="2"/>
      <c r="AGA60" s="2"/>
      <c r="AGB60" s="2"/>
      <c r="AGC60" s="2"/>
      <c r="AGD60" s="2"/>
      <c r="AGE60" s="2"/>
      <c r="AGF60" s="2"/>
      <c r="AGG60" s="2"/>
      <c r="AGH60" s="2"/>
      <c r="AGI60" s="2"/>
      <c r="AGJ60" s="2"/>
      <c r="AGK60" s="2"/>
      <c r="AGL60" s="2"/>
      <c r="AGM60" s="2"/>
      <c r="AGN60" s="2"/>
      <c r="AGO60" s="2"/>
      <c r="AGP60" s="2"/>
      <c r="AGQ60" s="2"/>
      <c r="AGR60" s="2"/>
      <c r="AGS60" s="2"/>
      <c r="AGT60" s="2"/>
      <c r="AGU60" s="2"/>
      <c r="AGV60" s="2"/>
      <c r="AGW60" s="2"/>
      <c r="AGX60" s="2"/>
      <c r="AGY60" s="2"/>
      <c r="AGZ60" s="2"/>
      <c r="AHA60" s="2"/>
      <c r="AHB60" s="2"/>
      <c r="AHC60" s="2"/>
      <c r="AHD60" s="2"/>
      <c r="AHE60" s="2"/>
      <c r="AHF60" s="2"/>
      <c r="AHG60" s="2"/>
      <c r="AHH60" s="2"/>
      <c r="AHI60" s="2"/>
      <c r="AHJ60" s="2"/>
      <c r="AHK60" s="2"/>
      <c r="AHL60" s="2"/>
      <c r="AHM60" s="2"/>
      <c r="AHN60" s="2"/>
      <c r="AHO60" s="2"/>
      <c r="AHP60" s="2"/>
      <c r="AHQ60" s="2"/>
      <c r="AHR60" s="2"/>
      <c r="AHS60" s="2"/>
      <c r="AHT60" s="2"/>
      <c r="AHU60" s="2"/>
      <c r="AHV60" s="2"/>
      <c r="AHW60" s="2"/>
      <c r="AHX60" s="2"/>
      <c r="AHY60" s="2"/>
      <c r="AHZ60" s="2"/>
      <c r="AIA60" s="2"/>
      <c r="AIB60" s="2"/>
      <c r="AIC60" s="2"/>
      <c r="AID60" s="2"/>
      <c r="AIE60" s="2"/>
      <c r="AIF60" s="2"/>
      <c r="AIG60" s="2"/>
      <c r="AIH60" s="2"/>
      <c r="AII60" s="2"/>
      <c r="AIJ60" s="2"/>
      <c r="AIK60" s="2"/>
      <c r="AIL60" s="2"/>
      <c r="AIM60" s="2"/>
      <c r="AIN60" s="2"/>
      <c r="AIO60" s="2"/>
      <c r="AIP60" s="2"/>
      <c r="AIQ60" s="2"/>
      <c r="AIR60" s="2"/>
      <c r="AIS60" s="2"/>
      <c r="AIT60" s="2"/>
      <c r="AIU60" s="2"/>
      <c r="AIV60" s="2"/>
      <c r="AIW60" s="2"/>
      <c r="AIX60" s="2"/>
      <c r="AIY60" s="2"/>
      <c r="AIZ60" s="2"/>
      <c r="AJA60" s="2"/>
      <c r="AJB60" s="2"/>
      <c r="AJC60" s="2"/>
      <c r="AJD60" s="2"/>
      <c r="AJE60" s="2"/>
      <c r="AJF60" s="2"/>
      <c r="AJG60" s="2"/>
      <c r="AJH60" s="2"/>
      <c r="AJI60" s="2"/>
      <c r="AJJ60" s="2"/>
      <c r="AJK60" s="2"/>
      <c r="AJL60" s="2"/>
      <c r="AJM60" s="2"/>
      <c r="AJN60" s="2"/>
      <c r="AJO60" s="2"/>
      <c r="AJP60" s="2"/>
      <c r="AJQ60" s="2"/>
      <c r="AJR60" s="2"/>
      <c r="AJS60" s="2"/>
      <c r="AJT60" s="2"/>
      <c r="AJU60" s="2"/>
      <c r="AJV60" s="2"/>
      <c r="AJW60" s="2"/>
      <c r="AJX60" s="2"/>
      <c r="AJY60" s="2"/>
      <c r="AJZ60" s="2"/>
      <c r="AKA60" s="2"/>
      <c r="AKB60" s="2"/>
      <c r="AKC60" s="2"/>
      <c r="AKD60" s="2"/>
      <c r="AKE60" s="2"/>
      <c r="AKF60" s="2"/>
      <c r="AKG60" s="2"/>
      <c r="AKH60" s="2"/>
      <c r="AKI60" s="2"/>
      <c r="AKJ60" s="2"/>
      <c r="AKK60" s="2"/>
      <c r="AKL60" s="2"/>
      <c r="AKM60" s="2"/>
      <c r="AKN60" s="2"/>
      <c r="AKO60" s="2"/>
      <c r="AKP60" s="2"/>
      <c r="AKQ60" s="2"/>
      <c r="AKR60" s="2"/>
      <c r="AKS60" s="2"/>
      <c r="AKT60" s="2"/>
      <c r="AKU60" s="2"/>
      <c r="AKV60" s="2"/>
      <c r="AKW60" s="2"/>
      <c r="AKX60" s="2"/>
      <c r="AKY60" s="2"/>
      <c r="AKZ60" s="2"/>
      <c r="ALA60" s="2"/>
      <c r="ALB60" s="2"/>
      <c r="ALC60" s="2"/>
      <c r="ALD60" s="2"/>
      <c r="ALE60" s="2"/>
      <c r="ALF60" s="2"/>
      <c r="ALG60" s="2"/>
      <c r="ALH60" s="2"/>
      <c r="ALI60" s="2"/>
      <c r="ALJ60" s="2"/>
      <c r="ALK60" s="2"/>
      <c r="ALL60" s="2"/>
      <c r="ALM60" s="2"/>
      <c r="ALN60" s="2"/>
      <c r="ALO60" s="2"/>
      <c r="ALP60" s="2"/>
      <c r="ALQ60" s="2"/>
      <c r="ALR60" s="2"/>
      <c r="ALS60" s="2"/>
      <c r="ALT60" s="2"/>
      <c r="ALU60" s="2"/>
      <c r="ALV60" s="2"/>
      <c r="ALW60" s="2"/>
      <c r="ALX60" s="2"/>
      <c r="ALY60" s="2"/>
      <c r="ALZ60" s="2"/>
      <c r="AMA60" s="2"/>
      <c r="AMB60" s="2"/>
      <c r="AMC60" s="2"/>
      <c r="AMD60" s="2"/>
      <c r="AME60" s="2"/>
      <c r="AMF60" s="2"/>
      <c r="AMG60" s="2"/>
      <c r="AMH60" s="2"/>
      <c r="AMI60" s="2"/>
      <c r="AMJ60" s="2"/>
      <c r="AMK60" s="2"/>
      <c r="AML60" s="2"/>
      <c r="AMM60" s="2"/>
      <c r="AMN60" s="2"/>
      <c r="AMO60" s="2"/>
      <c r="AMP60" s="2"/>
      <c r="AMQ60" s="2"/>
      <c r="AMR60" s="2"/>
      <c r="AMS60" s="2"/>
      <c r="AMT60" s="2"/>
      <c r="AMU60" s="2"/>
      <c r="AMV60" s="2"/>
      <c r="AMW60" s="2"/>
      <c r="AMX60" s="2"/>
      <c r="AMY60" s="2"/>
      <c r="AMZ60" s="2"/>
      <c r="ANA60" s="2"/>
      <c r="ANB60" s="2"/>
      <c r="ANC60" s="2"/>
      <c r="AND60" s="2"/>
      <c r="ANE60" s="2"/>
      <c r="ANF60" s="2"/>
      <c r="ANG60" s="2"/>
      <c r="ANH60" s="2"/>
      <c r="ANI60" s="2"/>
      <c r="ANJ60" s="2"/>
      <c r="ANK60" s="2"/>
      <c r="ANL60" s="2"/>
      <c r="ANM60" s="2"/>
      <c r="ANN60" s="2"/>
      <c r="ANO60" s="2"/>
      <c r="ANP60" s="2"/>
      <c r="ANQ60" s="2"/>
      <c r="ANR60" s="2"/>
      <c r="ANS60" s="2"/>
      <c r="ANT60" s="2"/>
      <c r="ANU60" s="2"/>
      <c r="ANV60" s="2"/>
      <c r="ANW60" s="2"/>
      <c r="ANX60" s="2"/>
      <c r="ANY60" s="2"/>
      <c r="ANZ60" s="2"/>
      <c r="AOA60" s="2"/>
      <c r="AOB60" s="2"/>
      <c r="AOC60" s="2"/>
      <c r="AOD60" s="2"/>
      <c r="AOE60" s="2"/>
      <c r="AOF60" s="2"/>
      <c r="AOG60" s="2"/>
      <c r="AOH60" s="2"/>
      <c r="AOI60" s="2"/>
      <c r="AOJ60" s="2"/>
      <c r="AOK60" s="2"/>
      <c r="AOL60" s="2"/>
      <c r="AOM60" s="2"/>
      <c r="AON60" s="2"/>
      <c r="AOO60" s="2"/>
      <c r="AOP60" s="2"/>
      <c r="AOQ60" s="2"/>
      <c r="AOR60" s="2"/>
      <c r="AOS60" s="2"/>
      <c r="AOT60" s="2"/>
      <c r="AOU60" s="2"/>
      <c r="AOV60" s="2"/>
      <c r="AOW60" s="2"/>
      <c r="AOX60" s="2"/>
      <c r="AOY60" s="2"/>
      <c r="AOZ60" s="2"/>
      <c r="APA60" s="2"/>
      <c r="APB60" s="2"/>
      <c r="APC60" s="2"/>
      <c r="APD60" s="2"/>
      <c r="APE60" s="2"/>
      <c r="APF60" s="2"/>
      <c r="APG60" s="2"/>
      <c r="APH60" s="2"/>
      <c r="API60" s="2"/>
      <c r="APJ60" s="2"/>
      <c r="APK60" s="2"/>
      <c r="APL60" s="2"/>
      <c r="APM60" s="2"/>
      <c r="APN60" s="2"/>
      <c r="APO60" s="2"/>
      <c r="APP60" s="2"/>
      <c r="APQ60" s="2"/>
      <c r="APR60" s="2"/>
      <c r="APS60" s="2"/>
      <c r="APT60" s="2"/>
      <c r="APU60" s="2"/>
      <c r="APV60" s="2"/>
      <c r="APW60" s="2"/>
      <c r="APX60" s="2"/>
      <c r="APY60" s="2"/>
      <c r="APZ60" s="2"/>
      <c r="AQA60" s="2"/>
      <c r="AQB60" s="2"/>
      <c r="AQC60" s="2"/>
      <c r="AQD60" s="2"/>
      <c r="AQE60" s="2"/>
      <c r="AQF60" s="2"/>
      <c r="AQG60" s="2"/>
      <c r="AQH60" s="2"/>
      <c r="AQI60" s="2"/>
      <c r="AQJ60" s="2"/>
      <c r="AQK60" s="2"/>
      <c r="AQL60" s="2"/>
      <c r="AQM60" s="2"/>
      <c r="AQN60" s="2"/>
      <c r="AQO60" s="2"/>
      <c r="AQP60" s="2"/>
      <c r="AQQ60" s="2"/>
      <c r="AQR60" s="2"/>
      <c r="AQS60" s="2"/>
      <c r="AQT60" s="2"/>
      <c r="AQU60" s="2"/>
      <c r="AQV60" s="2"/>
      <c r="AQW60" s="2"/>
      <c r="AQX60" s="2"/>
      <c r="AQY60" s="2"/>
      <c r="AQZ60" s="2"/>
      <c r="ARA60" s="2"/>
      <c r="ARB60" s="2"/>
      <c r="ARC60" s="2"/>
      <c r="ARD60" s="2"/>
      <c r="ARE60" s="2"/>
      <c r="ARF60" s="2"/>
      <c r="ARG60" s="2"/>
      <c r="ARH60" s="2"/>
      <c r="ARI60" s="2"/>
      <c r="ARJ60" s="2"/>
      <c r="ARK60" s="2"/>
      <c r="ARL60" s="2"/>
      <c r="ARM60" s="2"/>
      <c r="ARN60" s="2"/>
      <c r="ARO60" s="2"/>
      <c r="ARP60" s="2"/>
      <c r="ARQ60" s="2"/>
      <c r="ARR60" s="2"/>
      <c r="ARS60" s="2"/>
      <c r="ART60" s="2"/>
      <c r="ARU60" s="2"/>
      <c r="ARV60" s="2"/>
      <c r="ARW60" s="2"/>
      <c r="ARX60" s="2"/>
      <c r="ARY60" s="2"/>
      <c r="ARZ60" s="2"/>
      <c r="ASA60" s="2"/>
      <c r="ASB60" s="2"/>
      <c r="ASC60" s="2"/>
      <c r="ASD60" s="2"/>
      <c r="ASE60" s="2"/>
      <c r="ASF60" s="2"/>
      <c r="ASG60" s="2"/>
      <c r="ASH60" s="2"/>
      <c r="ASI60" s="2"/>
      <c r="ASJ60" s="2"/>
      <c r="ASK60" s="2"/>
      <c r="ASL60" s="2"/>
      <c r="ASM60" s="2"/>
      <c r="ASN60" s="2"/>
      <c r="ASO60" s="2"/>
      <c r="ASP60" s="2"/>
      <c r="ASQ60" s="2"/>
      <c r="ASR60" s="2"/>
      <c r="ASS60" s="2"/>
      <c r="AST60" s="2"/>
      <c r="ASU60" s="2"/>
      <c r="ASV60" s="2"/>
      <c r="ASW60" s="2"/>
      <c r="ASX60" s="2"/>
      <c r="ASY60" s="2"/>
      <c r="ASZ60" s="2"/>
      <c r="ATA60" s="2"/>
      <c r="ATB60" s="2"/>
      <c r="ATC60" s="2"/>
      <c r="ATD60" s="2"/>
      <c r="ATE60" s="2"/>
      <c r="ATF60" s="2"/>
      <c r="ATG60" s="2"/>
      <c r="ATH60" s="2"/>
      <c r="ATI60" s="2"/>
      <c r="ATJ60" s="2"/>
      <c r="ATK60" s="2"/>
      <c r="ATL60" s="2"/>
      <c r="ATM60" s="2"/>
      <c r="ATN60" s="2"/>
      <c r="ATO60" s="2"/>
      <c r="ATP60" s="2"/>
      <c r="ATQ60" s="2"/>
      <c r="ATR60" s="2"/>
      <c r="ATS60" s="2"/>
      <c r="ATT60" s="2"/>
      <c r="ATU60" s="2"/>
      <c r="ATV60" s="2"/>
      <c r="ATW60" s="2"/>
      <c r="ATX60" s="2"/>
      <c r="ATY60" s="2"/>
      <c r="ATZ60" s="2"/>
      <c r="AUA60" s="2"/>
      <c r="AUB60" s="2"/>
      <c r="AUC60" s="2"/>
      <c r="AUD60" s="2"/>
      <c r="AUE60" s="2"/>
      <c r="AUF60" s="2"/>
      <c r="AUG60" s="2"/>
      <c r="AUH60" s="2"/>
      <c r="AUI60" s="2"/>
      <c r="AUJ60" s="2"/>
      <c r="AUK60" s="2"/>
      <c r="AUL60" s="2"/>
      <c r="AUM60" s="2"/>
      <c r="AUN60" s="2"/>
      <c r="AUO60" s="2"/>
      <c r="AUP60" s="2"/>
      <c r="AUQ60" s="2"/>
      <c r="AUR60" s="2"/>
      <c r="AUS60" s="2"/>
      <c r="AUT60" s="2"/>
      <c r="AUU60" s="2"/>
      <c r="AUV60" s="2"/>
      <c r="AUW60" s="2"/>
      <c r="AUX60" s="2"/>
      <c r="AUY60" s="2"/>
      <c r="AUZ60" s="2"/>
      <c r="AVA60" s="2"/>
      <c r="AVB60" s="2"/>
      <c r="AVC60" s="2"/>
      <c r="AVD60" s="2"/>
      <c r="AVE60" s="2"/>
      <c r="AVF60" s="2"/>
      <c r="AVG60" s="2"/>
      <c r="AVH60" s="2"/>
      <c r="AVI60" s="2"/>
      <c r="AVJ60" s="2"/>
      <c r="AVK60" s="2"/>
      <c r="AVL60" s="2"/>
      <c r="AVM60" s="2"/>
      <c r="AVN60" s="2"/>
      <c r="AVO60" s="2"/>
      <c r="AVP60" s="2"/>
      <c r="AVQ60" s="2"/>
      <c r="AVR60" s="2"/>
      <c r="AVS60" s="2"/>
      <c r="AVT60" s="2"/>
      <c r="AVU60" s="2"/>
      <c r="AVV60" s="2"/>
      <c r="AVW60" s="2"/>
      <c r="AVX60" s="2"/>
      <c r="AVY60" s="2"/>
      <c r="AVZ60" s="2"/>
      <c r="AWA60" s="2"/>
      <c r="AWB60" s="2"/>
      <c r="AWC60" s="2"/>
      <c r="AWD60" s="2"/>
      <c r="AWE60" s="2"/>
      <c r="AWF60" s="2"/>
      <c r="AWG60" s="2"/>
      <c r="AWH60" s="2"/>
      <c r="AWI60" s="2"/>
      <c r="AWJ60" s="2"/>
      <c r="AWK60" s="2"/>
      <c r="AWL60" s="2"/>
      <c r="AWM60" s="2"/>
      <c r="AWN60" s="2"/>
      <c r="AWO60" s="2"/>
      <c r="AWP60" s="2"/>
      <c r="AWQ60" s="2"/>
      <c r="AWR60" s="2"/>
      <c r="AWS60" s="2"/>
      <c r="AWT60" s="2"/>
      <c r="AWU60" s="2"/>
      <c r="AWV60" s="2"/>
      <c r="AWW60" s="2"/>
      <c r="AWX60" s="2"/>
      <c r="AWY60" s="2"/>
      <c r="AWZ60" s="2"/>
      <c r="AXA60" s="2"/>
      <c r="AXB60" s="2"/>
      <c r="AXC60" s="2"/>
      <c r="AXD60" s="2"/>
      <c r="AXE60" s="2"/>
      <c r="AXF60" s="2"/>
      <c r="AXG60" s="2"/>
      <c r="AXH60" s="2"/>
      <c r="AXI60" s="2"/>
      <c r="AXJ60" s="2"/>
      <c r="AXK60" s="2"/>
      <c r="AXL60" s="2"/>
      <c r="AXM60" s="2"/>
      <c r="AXN60" s="2"/>
      <c r="AXO60" s="2"/>
      <c r="AXP60" s="2"/>
      <c r="AXQ60" s="2"/>
      <c r="AXR60" s="2"/>
      <c r="AXS60" s="2"/>
      <c r="AXT60" s="2"/>
      <c r="AXU60" s="2"/>
      <c r="AXV60" s="2"/>
      <c r="AXW60" s="2"/>
      <c r="AXX60" s="2"/>
      <c r="AXY60" s="2"/>
      <c r="AXZ60" s="2"/>
      <c r="AYA60" s="2"/>
      <c r="AYB60" s="2"/>
      <c r="AYC60" s="2"/>
      <c r="AYD60" s="2"/>
      <c r="AYE60" s="2"/>
      <c r="AYF60" s="2"/>
      <c r="AYG60" s="2"/>
      <c r="AYH60" s="2"/>
      <c r="AYI60" s="2"/>
      <c r="AYJ60" s="2"/>
      <c r="AYK60" s="2"/>
      <c r="AYL60" s="2"/>
      <c r="AYM60" s="2"/>
      <c r="AYN60" s="2"/>
      <c r="AYO60" s="2"/>
      <c r="AYP60" s="2"/>
      <c r="AYQ60" s="2"/>
      <c r="AYR60" s="2"/>
      <c r="AYS60" s="2"/>
      <c r="AYT60" s="2"/>
      <c r="AYU60" s="2"/>
      <c r="AYV60" s="2"/>
      <c r="AYW60" s="2"/>
      <c r="AYX60" s="2"/>
      <c r="AYY60" s="2"/>
      <c r="AYZ60" s="2"/>
      <c r="AZA60" s="2"/>
      <c r="AZB60" s="2"/>
      <c r="AZC60" s="2"/>
      <c r="AZD60" s="2"/>
      <c r="AZE60" s="2"/>
      <c r="AZF60" s="2"/>
      <c r="AZG60" s="2"/>
      <c r="AZH60" s="2"/>
      <c r="AZI60" s="2"/>
      <c r="AZJ60" s="2"/>
      <c r="AZK60" s="2"/>
      <c r="AZL60" s="2"/>
      <c r="AZM60" s="2"/>
      <c r="AZN60" s="2"/>
      <c r="AZO60" s="2"/>
      <c r="AZP60" s="2"/>
      <c r="AZQ60" s="2"/>
      <c r="AZR60" s="2"/>
      <c r="AZS60" s="2"/>
      <c r="AZT60" s="2"/>
      <c r="AZU60" s="2"/>
      <c r="AZV60" s="2"/>
      <c r="AZW60" s="2"/>
      <c r="AZX60" s="2"/>
      <c r="AZY60" s="2"/>
      <c r="AZZ60" s="2"/>
      <c r="BAA60" s="2"/>
      <c r="BAB60" s="2"/>
      <c r="BAC60" s="2"/>
      <c r="BAD60" s="2"/>
      <c r="BAE60" s="2"/>
      <c r="BAF60" s="2"/>
      <c r="BAG60" s="2"/>
      <c r="BAH60" s="2"/>
      <c r="BAI60" s="2"/>
      <c r="BAJ60" s="2"/>
      <c r="BAK60" s="2"/>
      <c r="BAL60" s="2"/>
      <c r="BAM60" s="2"/>
      <c r="BAN60" s="2"/>
      <c r="BAO60" s="2"/>
      <c r="BAP60" s="2"/>
      <c r="BAQ60" s="2"/>
      <c r="BAR60" s="2"/>
      <c r="BAS60" s="2"/>
      <c r="BAT60" s="2"/>
      <c r="BAU60" s="2"/>
      <c r="BAV60" s="2"/>
      <c r="BAW60" s="2"/>
      <c r="BAX60" s="2"/>
      <c r="BAY60" s="2"/>
      <c r="BAZ60" s="2"/>
      <c r="BBA60" s="2"/>
      <c r="BBB60" s="2"/>
      <c r="BBC60" s="2"/>
      <c r="BBD60" s="2"/>
      <c r="BBE60" s="2"/>
      <c r="BBF60" s="2"/>
      <c r="BBG60" s="2"/>
      <c r="BBH60" s="2"/>
      <c r="BBI60" s="2"/>
      <c r="BBJ60" s="2"/>
      <c r="BBK60" s="2"/>
      <c r="BBL60" s="2"/>
      <c r="BBM60" s="2"/>
      <c r="BBN60" s="2"/>
      <c r="BBO60" s="2"/>
      <c r="BBP60" s="2"/>
      <c r="BBQ60" s="2"/>
      <c r="BBR60" s="2"/>
      <c r="BBS60" s="2"/>
      <c r="BBT60" s="2"/>
      <c r="BBU60" s="2"/>
      <c r="BBV60" s="2"/>
      <c r="BBW60" s="2"/>
      <c r="BBX60" s="2"/>
      <c r="BBY60" s="2"/>
      <c r="BBZ60" s="2"/>
      <c r="BCA60" s="2"/>
      <c r="BCB60" s="2"/>
      <c r="BCC60" s="2"/>
      <c r="BCD60" s="2"/>
      <c r="BCE60" s="2"/>
      <c r="BCF60" s="2"/>
      <c r="BCG60" s="2"/>
      <c r="BCH60" s="2"/>
      <c r="BCI60" s="2"/>
      <c r="BCJ60" s="2"/>
      <c r="BCK60" s="2"/>
      <c r="BCL60" s="2"/>
      <c r="BCM60" s="2"/>
      <c r="BCN60" s="2"/>
      <c r="BCO60" s="2"/>
      <c r="BCP60" s="2"/>
      <c r="BCQ60" s="2"/>
      <c r="BCR60" s="2"/>
      <c r="BCS60" s="2"/>
      <c r="BCT60" s="2"/>
      <c r="BCU60" s="2"/>
      <c r="BCV60" s="2"/>
      <c r="BCW60" s="2"/>
      <c r="BCX60" s="2"/>
      <c r="BCY60" s="2"/>
      <c r="BCZ60" s="2"/>
      <c r="BDA60" s="2"/>
      <c r="BDB60" s="2"/>
      <c r="BDC60" s="2"/>
      <c r="BDD60" s="2"/>
      <c r="BDE60" s="2"/>
      <c r="BDF60" s="2"/>
      <c r="BDG60" s="2"/>
      <c r="BDH60" s="2"/>
      <c r="BDI60" s="2"/>
      <c r="BDJ60" s="2"/>
      <c r="BDK60" s="2"/>
      <c r="BDL60" s="2"/>
      <c r="BDM60" s="2"/>
      <c r="BDN60" s="2"/>
      <c r="BDO60" s="2"/>
      <c r="BDP60" s="2"/>
      <c r="BDQ60" s="2"/>
      <c r="BDR60" s="2"/>
      <c r="BDS60" s="2"/>
      <c r="BDT60" s="2"/>
      <c r="BDU60" s="2"/>
      <c r="BDV60" s="2"/>
      <c r="BDW60" s="2"/>
      <c r="BDX60" s="2"/>
      <c r="BDY60" s="2"/>
      <c r="BDZ60" s="2"/>
      <c r="BEA60" s="2"/>
      <c r="BEB60" s="2"/>
      <c r="BEC60" s="2"/>
      <c r="BED60" s="2"/>
      <c r="BEE60" s="2"/>
      <c r="BEF60" s="2"/>
      <c r="BEG60" s="2"/>
      <c r="BEH60" s="2"/>
      <c r="BEI60" s="2"/>
      <c r="BEJ60" s="2"/>
      <c r="BEK60" s="2"/>
      <c r="BEL60" s="2"/>
      <c r="BEM60" s="2"/>
      <c r="BEN60" s="2"/>
      <c r="BEO60" s="2"/>
      <c r="BEP60" s="2"/>
      <c r="BEQ60" s="2"/>
      <c r="BER60" s="2"/>
      <c r="BES60" s="2"/>
      <c r="BET60" s="2"/>
      <c r="BEU60" s="2"/>
      <c r="BEV60" s="2"/>
      <c r="BEW60" s="2"/>
      <c r="BEX60" s="2"/>
      <c r="BEY60" s="2"/>
      <c r="BEZ60" s="2"/>
      <c r="BFA60" s="2"/>
      <c r="BFB60" s="2"/>
      <c r="BFC60" s="2"/>
      <c r="BFD60" s="2"/>
      <c r="BFE60" s="2"/>
      <c r="BFF60" s="2"/>
      <c r="BFG60" s="2"/>
      <c r="BFH60" s="2"/>
      <c r="BFI60" s="2"/>
      <c r="BFJ60" s="2"/>
      <c r="BFK60" s="2"/>
      <c r="BFL60" s="2"/>
      <c r="BFM60" s="2"/>
      <c r="BFN60" s="2"/>
      <c r="BFO60" s="2"/>
      <c r="BFP60" s="2"/>
      <c r="BFQ60" s="2"/>
      <c r="BFR60" s="2"/>
      <c r="BFS60" s="2"/>
      <c r="BFT60" s="2"/>
      <c r="BFU60" s="2"/>
      <c r="BFV60" s="2"/>
      <c r="BFW60" s="2"/>
      <c r="BFX60" s="2"/>
      <c r="BFY60" s="2"/>
      <c r="BFZ60" s="2"/>
      <c r="BGA60" s="2"/>
      <c r="BGB60" s="2"/>
      <c r="BGC60" s="2"/>
      <c r="BGD60" s="2"/>
      <c r="BGE60" s="2"/>
      <c r="BGF60" s="2"/>
      <c r="BGG60" s="2"/>
      <c r="BGH60" s="2"/>
      <c r="BGI60" s="2"/>
      <c r="BGJ60" s="2"/>
      <c r="BGK60" s="2"/>
      <c r="BGL60" s="2"/>
      <c r="BGM60" s="2"/>
      <c r="BGN60" s="2"/>
      <c r="BGO60" s="2"/>
      <c r="BGP60" s="2"/>
      <c r="BGQ60" s="2"/>
      <c r="BGR60" s="2"/>
      <c r="BGS60" s="2"/>
      <c r="BGT60" s="2"/>
      <c r="BGU60" s="2"/>
      <c r="BGV60" s="2"/>
      <c r="BGW60" s="2"/>
      <c r="BGX60" s="2"/>
      <c r="BGY60" s="2"/>
      <c r="BGZ60" s="2"/>
      <c r="BHA60" s="2"/>
      <c r="BHB60" s="2"/>
      <c r="BHC60" s="2"/>
      <c r="BHD60" s="2"/>
      <c r="BHE60" s="2"/>
      <c r="BHF60" s="2"/>
      <c r="BHG60" s="2"/>
      <c r="BHH60" s="2"/>
      <c r="BHI60" s="2"/>
      <c r="BHJ60" s="2"/>
      <c r="BHK60" s="2"/>
      <c r="BHL60" s="2"/>
      <c r="BHM60" s="2"/>
      <c r="BHN60" s="2"/>
      <c r="BHO60" s="2"/>
      <c r="BHP60" s="2"/>
      <c r="BHQ60" s="2"/>
      <c r="BHR60" s="2"/>
      <c r="BHS60" s="2"/>
      <c r="BHT60" s="2"/>
      <c r="BHU60" s="2"/>
      <c r="BHV60" s="2"/>
      <c r="BHW60" s="2"/>
      <c r="BHX60" s="2"/>
      <c r="BHY60" s="2"/>
      <c r="BHZ60" s="2"/>
      <c r="BIA60" s="2"/>
      <c r="BIB60" s="2"/>
      <c r="BIC60" s="2"/>
      <c r="BID60" s="2"/>
      <c r="BIE60" s="2"/>
      <c r="BIF60" s="2"/>
      <c r="BIG60" s="2"/>
      <c r="BIH60" s="2"/>
      <c r="BII60" s="2"/>
      <c r="BIJ60" s="2"/>
      <c r="BIK60" s="2"/>
      <c r="BIL60" s="2"/>
      <c r="BIM60" s="2"/>
      <c r="BIN60" s="2"/>
      <c r="BIO60" s="2"/>
      <c r="BIP60" s="2"/>
      <c r="BIQ60" s="2"/>
      <c r="BIR60" s="2"/>
      <c r="BIS60" s="2"/>
      <c r="BIT60" s="2"/>
      <c r="BIU60" s="2"/>
      <c r="BIV60" s="2"/>
      <c r="BIW60" s="2"/>
      <c r="BIX60" s="2"/>
      <c r="BIY60" s="2"/>
      <c r="BIZ60" s="2"/>
      <c r="BJA60" s="2"/>
      <c r="BJB60" s="2"/>
      <c r="BJC60" s="2"/>
      <c r="BJD60" s="2"/>
      <c r="BJE60" s="2"/>
      <c r="BJF60" s="2"/>
      <c r="BJG60" s="2"/>
      <c r="BJH60" s="2"/>
      <c r="BJI60" s="2"/>
      <c r="BJJ60" s="2"/>
      <c r="BJK60" s="2"/>
      <c r="BJL60" s="2"/>
      <c r="BJM60" s="2"/>
      <c r="BJN60" s="2"/>
      <c r="BJO60" s="2"/>
      <c r="BJP60" s="2"/>
      <c r="BJQ60" s="2"/>
      <c r="BJR60" s="2"/>
      <c r="BJS60" s="2"/>
      <c r="BJT60" s="2"/>
      <c r="BJU60" s="2"/>
      <c r="BJV60" s="2"/>
      <c r="BJW60" s="2"/>
      <c r="BJX60" s="2"/>
      <c r="BJY60" s="2"/>
      <c r="BJZ60" s="2"/>
      <c r="BKA60" s="2"/>
      <c r="BKB60" s="2"/>
      <c r="BKC60" s="2"/>
      <c r="BKD60" s="2"/>
      <c r="BKE60" s="2"/>
      <c r="BKF60" s="2"/>
      <c r="BKG60" s="2"/>
      <c r="BKH60" s="2"/>
      <c r="BKI60" s="2"/>
      <c r="BKJ60" s="2"/>
      <c r="BKK60" s="2"/>
      <c r="BKL60" s="2"/>
      <c r="BKM60" s="2"/>
      <c r="BKN60" s="2"/>
      <c r="BKO60" s="2"/>
      <c r="BKP60" s="2"/>
      <c r="BKQ60" s="2"/>
      <c r="BKR60" s="2"/>
      <c r="BKS60" s="2"/>
      <c r="BKT60" s="2"/>
      <c r="BKU60" s="2"/>
      <c r="BKV60" s="2"/>
      <c r="BKW60" s="2"/>
      <c r="BKX60" s="2"/>
      <c r="BKY60" s="2"/>
      <c r="BKZ60" s="2"/>
      <c r="BLA60" s="2"/>
      <c r="BLB60" s="2"/>
      <c r="BLC60" s="2"/>
      <c r="BLD60" s="2"/>
      <c r="BLE60" s="2"/>
      <c r="BLF60" s="2"/>
      <c r="BLG60" s="2"/>
      <c r="BLH60" s="2"/>
      <c r="BLI60" s="2"/>
      <c r="BLJ60" s="2"/>
      <c r="BLK60" s="2"/>
      <c r="BLL60" s="2"/>
      <c r="BLM60" s="2"/>
      <c r="BLN60" s="2"/>
      <c r="BLO60" s="2"/>
      <c r="BLP60" s="2"/>
      <c r="BLQ60" s="2"/>
      <c r="BLR60" s="2"/>
      <c r="BLS60" s="2"/>
      <c r="BLT60" s="2"/>
      <c r="BLU60" s="2"/>
      <c r="BLV60" s="2"/>
      <c r="BLW60" s="2"/>
      <c r="BLX60" s="2"/>
      <c r="BLY60" s="2"/>
      <c r="BLZ60" s="2"/>
      <c r="BMA60" s="2"/>
      <c r="BMB60" s="2"/>
      <c r="BMC60" s="2"/>
      <c r="BMD60" s="2"/>
      <c r="BME60" s="2"/>
      <c r="BMF60" s="2"/>
      <c r="BMG60" s="2"/>
      <c r="BMH60" s="2"/>
      <c r="BMI60" s="2"/>
      <c r="BMJ60" s="2"/>
      <c r="BMK60" s="2"/>
      <c r="BML60" s="2"/>
      <c r="BMM60" s="2"/>
      <c r="BMN60" s="2"/>
      <c r="BMO60" s="2"/>
      <c r="BMP60" s="2"/>
      <c r="BMQ60" s="2"/>
      <c r="BMR60" s="2"/>
      <c r="BMS60" s="2"/>
      <c r="BMT60" s="2"/>
      <c r="BMU60" s="2"/>
      <c r="BMV60" s="2"/>
      <c r="BMW60" s="2"/>
      <c r="BMX60" s="2"/>
      <c r="BMY60" s="2"/>
      <c r="BMZ60" s="2"/>
      <c r="BNA60" s="2"/>
      <c r="BNB60" s="2"/>
      <c r="BNC60" s="2"/>
      <c r="BND60" s="2"/>
      <c r="BNE60" s="2"/>
      <c r="BNF60" s="2"/>
      <c r="BNG60" s="2"/>
      <c r="BNH60" s="2"/>
      <c r="BNI60" s="2"/>
      <c r="BNJ60" s="2"/>
      <c r="BNK60" s="2"/>
      <c r="BNL60" s="2"/>
      <c r="BNM60" s="2"/>
      <c r="BNN60" s="2"/>
      <c r="BNO60" s="2"/>
      <c r="BNP60" s="2"/>
      <c r="BNQ60" s="2"/>
      <c r="BNR60" s="2"/>
      <c r="BNS60" s="2"/>
      <c r="BNT60" s="2"/>
      <c r="BNU60" s="2"/>
      <c r="BNV60" s="2"/>
      <c r="BNW60" s="2"/>
      <c r="BNX60" s="2"/>
      <c r="BNY60" s="2"/>
      <c r="BNZ60" s="2"/>
      <c r="BOA60" s="2"/>
      <c r="BOB60" s="2"/>
      <c r="BOC60" s="2"/>
      <c r="BOD60" s="2"/>
      <c r="BOE60" s="2"/>
      <c r="BOF60" s="2"/>
      <c r="BOG60" s="2"/>
      <c r="BOH60" s="2"/>
      <c r="BOI60" s="2"/>
      <c r="BOJ60" s="2"/>
      <c r="BOK60" s="2"/>
      <c r="BOL60" s="2"/>
      <c r="BOM60" s="2"/>
      <c r="BON60" s="2"/>
      <c r="BOO60" s="2"/>
      <c r="BOP60" s="2"/>
      <c r="BOQ60" s="2"/>
      <c r="BOR60" s="2"/>
      <c r="BOS60" s="2"/>
      <c r="BOT60" s="2"/>
      <c r="BOU60" s="2"/>
      <c r="BOV60" s="2"/>
      <c r="BOW60" s="2"/>
      <c r="BOX60" s="2"/>
      <c r="BOY60" s="2"/>
      <c r="BOZ60" s="2"/>
      <c r="BPA60" s="2"/>
      <c r="BPB60" s="2"/>
      <c r="BPC60" s="2"/>
      <c r="BPD60" s="2"/>
      <c r="BPE60" s="2"/>
      <c r="BPF60" s="2"/>
      <c r="BPG60" s="2"/>
      <c r="BPH60" s="2"/>
      <c r="BPI60" s="2"/>
      <c r="BPJ60" s="2"/>
      <c r="BPK60" s="2"/>
      <c r="BPL60" s="2"/>
      <c r="BPM60" s="2"/>
      <c r="BPN60" s="2"/>
      <c r="BPO60" s="2"/>
      <c r="BPP60" s="2"/>
      <c r="BPQ60" s="2"/>
      <c r="BPR60" s="2"/>
      <c r="BPS60" s="2"/>
      <c r="BPT60" s="2"/>
      <c r="BPU60" s="2"/>
      <c r="BPV60" s="2"/>
      <c r="BPW60" s="2"/>
      <c r="BPX60" s="2"/>
      <c r="BPY60" s="2"/>
      <c r="BPZ60" s="2"/>
      <c r="BQA60" s="2"/>
      <c r="BQB60" s="2"/>
      <c r="BQC60" s="2"/>
      <c r="BQD60" s="2"/>
      <c r="BQE60" s="2"/>
      <c r="BQF60" s="2"/>
      <c r="BQG60" s="2"/>
      <c r="BQH60" s="2"/>
      <c r="BQI60" s="2"/>
      <c r="BQJ60" s="2"/>
      <c r="BQK60" s="2"/>
      <c r="BQL60" s="2"/>
      <c r="BQM60" s="2"/>
      <c r="BQN60" s="2"/>
      <c r="BQO60" s="2"/>
      <c r="BQP60" s="2"/>
      <c r="BQQ60" s="2"/>
      <c r="BQR60" s="2"/>
      <c r="BQS60" s="2"/>
      <c r="BQT60" s="2"/>
      <c r="BQU60" s="2"/>
      <c r="BQV60" s="2"/>
      <c r="BQW60" s="2"/>
      <c r="BQX60" s="2"/>
      <c r="BQY60" s="2"/>
      <c r="BQZ60" s="2"/>
      <c r="BRA60" s="2"/>
      <c r="BRB60" s="2"/>
      <c r="BRC60" s="2"/>
      <c r="BRD60" s="2"/>
      <c r="BRE60" s="2"/>
      <c r="BRF60" s="2"/>
      <c r="BRG60" s="2"/>
      <c r="BRH60" s="2"/>
      <c r="BRI60" s="2"/>
      <c r="BRJ60" s="2"/>
      <c r="BRK60" s="2"/>
      <c r="BRL60" s="2"/>
      <c r="BRM60" s="2"/>
      <c r="BRN60" s="2"/>
      <c r="BRO60" s="2"/>
      <c r="BRP60" s="2"/>
      <c r="BRQ60" s="2"/>
      <c r="BRR60" s="2"/>
      <c r="BRS60" s="2"/>
      <c r="BRT60" s="2"/>
      <c r="BRU60" s="2"/>
      <c r="BRV60" s="2"/>
      <c r="BRW60" s="2"/>
      <c r="BRX60" s="2"/>
      <c r="BRY60" s="2"/>
      <c r="BRZ60" s="2"/>
      <c r="BSA60" s="2"/>
      <c r="BSB60" s="2"/>
      <c r="BSC60" s="2"/>
      <c r="BSD60" s="2"/>
      <c r="BSE60" s="2"/>
      <c r="BSF60" s="2"/>
      <c r="BSG60" s="2"/>
      <c r="BSH60" s="2"/>
      <c r="BSI60" s="2"/>
      <c r="BSJ60" s="2"/>
      <c r="BSK60" s="2"/>
      <c r="BSL60" s="2"/>
      <c r="BSM60" s="2"/>
      <c r="BSN60" s="2"/>
      <c r="BSO60" s="2"/>
      <c r="BSP60" s="2"/>
      <c r="BSQ60" s="2"/>
      <c r="BSR60" s="2"/>
      <c r="BSS60" s="2"/>
      <c r="BST60" s="2"/>
      <c r="BSU60" s="2"/>
      <c r="BSV60" s="2"/>
      <c r="BSW60" s="2"/>
      <c r="BSX60" s="2"/>
      <c r="BSY60" s="2"/>
      <c r="BSZ60" s="2"/>
      <c r="BTA60" s="2"/>
      <c r="BTB60" s="2"/>
      <c r="BTC60" s="2"/>
      <c r="BTD60" s="2"/>
      <c r="BTE60" s="2"/>
      <c r="BTF60" s="2"/>
      <c r="BTG60" s="2"/>
      <c r="BTH60" s="2"/>
      <c r="BTI60" s="2"/>
      <c r="BTJ60" s="2"/>
      <c r="BTK60" s="2"/>
      <c r="BTL60" s="2"/>
      <c r="BTM60" s="2"/>
      <c r="BTN60" s="2"/>
      <c r="BTO60" s="2"/>
      <c r="BTP60" s="2"/>
      <c r="BTQ60" s="2"/>
      <c r="BTR60" s="2"/>
      <c r="BTS60" s="2"/>
      <c r="BTT60" s="2"/>
      <c r="BTU60" s="2"/>
      <c r="BTV60" s="2"/>
      <c r="BTW60" s="2"/>
      <c r="BTX60" s="2"/>
      <c r="BTY60" s="2"/>
      <c r="BTZ60" s="2"/>
      <c r="BUA60" s="2"/>
      <c r="BUB60" s="2"/>
      <c r="BUC60" s="2"/>
      <c r="BUD60" s="2"/>
      <c r="BUE60" s="2"/>
      <c r="BUF60" s="2"/>
      <c r="BUG60" s="2"/>
      <c r="BUH60" s="2"/>
      <c r="BUI60" s="2"/>
      <c r="BUJ60" s="2"/>
      <c r="BUK60" s="2"/>
      <c r="BUL60" s="2"/>
      <c r="BUM60" s="2"/>
      <c r="BUN60" s="2"/>
      <c r="BUO60" s="2"/>
      <c r="BUP60" s="2"/>
      <c r="BUQ60" s="2"/>
      <c r="BUR60" s="2"/>
      <c r="BUS60" s="2"/>
      <c r="BUT60" s="2"/>
      <c r="BUU60" s="2"/>
      <c r="BUV60" s="2"/>
      <c r="BUW60" s="2"/>
      <c r="BUX60" s="2"/>
      <c r="BUY60" s="2"/>
      <c r="BUZ60" s="2"/>
      <c r="BVA60" s="2"/>
      <c r="BVB60" s="2"/>
      <c r="BVC60" s="2"/>
      <c r="BVD60" s="2"/>
      <c r="BVE60" s="2"/>
      <c r="BVF60" s="2"/>
      <c r="BVG60" s="2"/>
      <c r="BVH60" s="2"/>
      <c r="BVI60" s="2"/>
      <c r="BVJ60" s="2"/>
      <c r="BVK60" s="2"/>
      <c r="BVL60" s="2"/>
      <c r="BVM60" s="2"/>
      <c r="BVN60" s="2"/>
      <c r="BVO60" s="2"/>
      <c r="BVP60" s="2"/>
      <c r="BVQ60" s="2"/>
      <c r="BVR60" s="2"/>
      <c r="BVS60" s="2"/>
      <c r="BVT60" s="2"/>
      <c r="BVU60" s="2"/>
      <c r="BVV60" s="2"/>
      <c r="BVW60" s="2"/>
      <c r="BVX60" s="2"/>
      <c r="BVY60" s="2"/>
      <c r="BVZ60" s="2"/>
      <c r="BWA60" s="2"/>
      <c r="BWB60" s="2"/>
      <c r="BWC60" s="2"/>
      <c r="BWD60" s="2"/>
      <c r="BWE60" s="2"/>
      <c r="BWF60" s="2"/>
      <c r="BWG60" s="2"/>
      <c r="BWH60" s="2"/>
      <c r="BWI60" s="2"/>
      <c r="BWJ60" s="2"/>
      <c r="BWK60" s="2"/>
      <c r="BWL60" s="2"/>
      <c r="BWM60" s="2"/>
      <c r="BWN60" s="2"/>
      <c r="BWO60" s="2"/>
      <c r="BWP60" s="2"/>
      <c r="BWQ60" s="2"/>
      <c r="BWR60" s="2"/>
      <c r="BWS60" s="2"/>
      <c r="BWT60" s="2"/>
      <c r="BWU60" s="2"/>
      <c r="BWV60" s="2"/>
      <c r="BWW60" s="2"/>
      <c r="BWX60" s="2"/>
      <c r="BWY60" s="2"/>
      <c r="BWZ60" s="2"/>
      <c r="BXA60" s="2"/>
      <c r="BXB60" s="2"/>
      <c r="BXC60" s="2"/>
      <c r="BXD60" s="2"/>
      <c r="BXE60" s="2"/>
      <c r="BXF60" s="2"/>
      <c r="BXG60" s="2"/>
      <c r="BXH60" s="2"/>
      <c r="BXI60" s="2"/>
      <c r="BXJ60" s="2"/>
      <c r="BXK60" s="2"/>
      <c r="BXL60" s="2"/>
      <c r="BXM60" s="2"/>
      <c r="BXN60" s="2"/>
      <c r="BXO60" s="2"/>
      <c r="BXP60" s="2"/>
      <c r="BXQ60" s="2"/>
      <c r="BXR60" s="2"/>
      <c r="BXS60" s="2"/>
      <c r="BXT60" s="2"/>
      <c r="BXU60" s="2"/>
      <c r="BXV60" s="2"/>
      <c r="BXW60" s="2"/>
      <c r="BXX60" s="2"/>
      <c r="BXY60" s="2"/>
      <c r="BXZ60" s="2"/>
      <c r="BYA60" s="2"/>
      <c r="BYB60" s="2"/>
      <c r="BYC60" s="2"/>
      <c r="BYD60" s="2"/>
      <c r="BYE60" s="2"/>
      <c r="BYF60" s="2"/>
      <c r="BYG60" s="2"/>
      <c r="BYH60" s="2"/>
      <c r="BYI60" s="2"/>
      <c r="BYJ60" s="2"/>
      <c r="BYK60" s="2"/>
      <c r="BYL60" s="2"/>
      <c r="BYM60" s="2"/>
      <c r="BYN60" s="2"/>
      <c r="BYO60" s="2"/>
      <c r="BYP60" s="2"/>
      <c r="BYQ60" s="2"/>
      <c r="BYR60" s="2"/>
      <c r="BYS60" s="2"/>
      <c r="BYT60" s="2"/>
      <c r="BYU60" s="2"/>
      <c r="BYV60" s="2"/>
      <c r="BYW60" s="2"/>
      <c r="BYX60" s="2"/>
      <c r="BYY60" s="2"/>
      <c r="BYZ60" s="2"/>
      <c r="BZA60" s="2"/>
      <c r="BZB60" s="2"/>
      <c r="BZC60" s="2"/>
      <c r="BZD60" s="2"/>
      <c r="BZE60" s="2"/>
      <c r="BZF60" s="2"/>
      <c r="BZG60" s="2"/>
      <c r="BZH60" s="2"/>
      <c r="BZI60" s="2"/>
      <c r="BZJ60" s="2"/>
      <c r="BZK60" s="2"/>
      <c r="BZL60" s="2"/>
      <c r="BZM60" s="2"/>
      <c r="BZN60" s="2"/>
      <c r="BZO60" s="2"/>
      <c r="BZP60" s="2"/>
      <c r="BZQ60" s="2"/>
      <c r="BZR60" s="2"/>
      <c r="BZS60" s="2"/>
      <c r="BZT60" s="2"/>
      <c r="BZU60" s="2"/>
      <c r="BZV60" s="2"/>
      <c r="BZW60" s="2"/>
      <c r="BZX60" s="2"/>
      <c r="BZY60" s="2"/>
      <c r="BZZ60" s="2"/>
      <c r="CAA60" s="2"/>
      <c r="CAB60" s="2"/>
      <c r="CAC60" s="2"/>
      <c r="CAD60" s="2"/>
      <c r="CAE60" s="2"/>
      <c r="CAF60" s="2"/>
      <c r="CAG60" s="2"/>
      <c r="CAH60" s="2"/>
      <c r="CAI60" s="2"/>
      <c r="CAJ60" s="2"/>
      <c r="CAK60" s="2"/>
      <c r="CAL60" s="2"/>
      <c r="CAM60" s="2"/>
      <c r="CAN60" s="2"/>
      <c r="CAO60" s="2"/>
      <c r="CAP60" s="2"/>
      <c r="CAQ60" s="2"/>
      <c r="CAR60" s="2"/>
      <c r="CAS60" s="2"/>
      <c r="CAT60" s="2"/>
      <c r="CAU60" s="2"/>
      <c r="CAV60" s="2"/>
      <c r="CAW60" s="2"/>
      <c r="CAX60" s="2"/>
      <c r="CAY60" s="2"/>
      <c r="CAZ60" s="2"/>
      <c r="CBA60" s="2"/>
      <c r="CBB60" s="2"/>
      <c r="CBC60" s="2"/>
      <c r="CBD60" s="2"/>
      <c r="CBE60" s="2"/>
      <c r="CBF60" s="2"/>
      <c r="CBG60" s="2"/>
      <c r="CBH60" s="2"/>
      <c r="CBI60" s="2"/>
      <c r="CBJ60" s="2"/>
      <c r="CBK60" s="2"/>
      <c r="CBL60" s="2"/>
      <c r="CBM60" s="2"/>
      <c r="CBN60" s="2"/>
      <c r="CBO60" s="2"/>
      <c r="CBP60" s="2"/>
      <c r="CBQ60" s="2"/>
      <c r="CBR60" s="2"/>
      <c r="CBS60" s="2"/>
      <c r="CBT60" s="2"/>
      <c r="CBU60" s="2"/>
      <c r="CBV60" s="2"/>
      <c r="CBW60" s="2"/>
      <c r="CBX60" s="2"/>
      <c r="CBY60" s="2"/>
      <c r="CBZ60" s="2"/>
      <c r="CCA60" s="2"/>
      <c r="CCB60" s="2"/>
      <c r="CCC60" s="2"/>
      <c r="CCD60" s="2"/>
      <c r="CCE60" s="2"/>
      <c r="CCF60" s="2"/>
      <c r="CCG60" s="2"/>
      <c r="CCH60" s="2"/>
      <c r="CCI60" s="2"/>
      <c r="CCJ60" s="2"/>
      <c r="CCK60" s="2"/>
      <c r="CCL60" s="2"/>
      <c r="CCM60" s="2"/>
      <c r="CCN60" s="2"/>
      <c r="CCO60" s="2"/>
      <c r="CCP60" s="2"/>
      <c r="CCQ60" s="2"/>
      <c r="CCR60" s="2"/>
      <c r="CCS60" s="2"/>
      <c r="CCT60" s="2"/>
      <c r="CCU60" s="2"/>
      <c r="CCV60" s="2"/>
      <c r="CCW60" s="2"/>
      <c r="CCX60" s="2"/>
      <c r="CCY60" s="2"/>
      <c r="CCZ60" s="2"/>
      <c r="CDA60" s="2"/>
      <c r="CDB60" s="2"/>
      <c r="CDC60" s="2"/>
      <c r="CDD60" s="2"/>
      <c r="CDE60" s="2"/>
      <c r="CDF60" s="2"/>
      <c r="CDG60" s="2"/>
      <c r="CDH60" s="2"/>
      <c r="CDI60" s="2"/>
      <c r="CDJ60" s="2"/>
      <c r="CDK60" s="2"/>
      <c r="CDL60" s="2"/>
      <c r="CDM60" s="2"/>
      <c r="CDN60" s="2"/>
      <c r="CDO60" s="2"/>
      <c r="CDP60" s="2"/>
      <c r="CDQ60" s="2"/>
      <c r="CDR60" s="2"/>
      <c r="CDS60" s="2"/>
      <c r="CDT60" s="2"/>
      <c r="CDU60" s="2"/>
      <c r="CDV60" s="2"/>
      <c r="CDW60" s="2"/>
      <c r="CDX60" s="2"/>
      <c r="CDY60" s="2"/>
      <c r="CDZ60" s="2"/>
      <c r="CEA60" s="2"/>
      <c r="CEB60" s="2"/>
      <c r="CEC60" s="2"/>
      <c r="CED60" s="2"/>
      <c r="CEE60" s="2"/>
      <c r="CEF60" s="2"/>
      <c r="CEG60" s="2"/>
      <c r="CEH60" s="2"/>
      <c r="CEI60" s="2"/>
      <c r="CEJ60" s="2"/>
      <c r="CEK60" s="2"/>
      <c r="CEL60" s="2"/>
      <c r="CEM60" s="2"/>
      <c r="CEN60" s="2"/>
      <c r="CEO60" s="2"/>
      <c r="CEP60" s="2"/>
      <c r="CEQ60" s="2"/>
      <c r="CER60" s="2"/>
      <c r="CES60" s="2"/>
      <c r="CET60" s="2"/>
      <c r="CEU60" s="2"/>
      <c r="CEV60" s="2"/>
      <c r="CEW60" s="2"/>
      <c r="CEX60" s="2"/>
      <c r="CEY60" s="2"/>
      <c r="CEZ60" s="2"/>
      <c r="CFA60" s="2"/>
      <c r="CFB60" s="2"/>
      <c r="CFC60" s="2"/>
      <c r="CFD60" s="2"/>
      <c r="CFE60" s="2"/>
      <c r="CFF60" s="2"/>
      <c r="CFG60" s="2"/>
      <c r="CFH60" s="2"/>
      <c r="CFI60" s="2"/>
      <c r="CFJ60" s="2"/>
      <c r="CFK60" s="2"/>
      <c r="CFL60" s="2"/>
      <c r="CFM60" s="2"/>
      <c r="CFN60" s="2"/>
      <c r="CFO60" s="2"/>
      <c r="CFP60" s="2"/>
      <c r="CFQ60" s="2"/>
      <c r="CFR60" s="2"/>
      <c r="CFS60" s="2"/>
      <c r="CFT60" s="2"/>
      <c r="CFU60" s="2"/>
      <c r="CFV60" s="2"/>
      <c r="CFW60" s="2"/>
      <c r="CFX60" s="2"/>
      <c r="CFY60" s="2"/>
      <c r="CFZ60" s="2"/>
      <c r="CGA60" s="2"/>
      <c r="CGB60" s="2"/>
      <c r="CGC60" s="2"/>
      <c r="CGD60" s="2"/>
      <c r="CGE60" s="2"/>
      <c r="CGF60" s="2"/>
      <c r="CGG60" s="2"/>
      <c r="CGH60" s="2"/>
      <c r="CGI60" s="2"/>
      <c r="CGJ60" s="2"/>
      <c r="CGK60" s="2"/>
      <c r="CGL60" s="2"/>
      <c r="CGM60" s="2"/>
      <c r="CGN60" s="2"/>
      <c r="CGO60" s="2"/>
      <c r="CGP60" s="2"/>
      <c r="CGQ60" s="2"/>
      <c r="CGR60" s="2"/>
      <c r="CGS60" s="2"/>
      <c r="CGT60" s="2"/>
      <c r="CGU60" s="2"/>
      <c r="CGV60" s="2"/>
      <c r="CGW60" s="2"/>
      <c r="CGX60" s="2"/>
      <c r="CGY60" s="2"/>
      <c r="CGZ60" s="2"/>
      <c r="CHA60" s="2"/>
      <c r="CHB60" s="2"/>
      <c r="CHC60" s="2"/>
      <c r="CHD60" s="2"/>
      <c r="CHE60" s="2"/>
      <c r="CHF60" s="2"/>
      <c r="CHG60" s="2"/>
      <c r="CHH60" s="2"/>
      <c r="CHI60" s="2"/>
      <c r="CHJ60" s="2"/>
      <c r="CHK60" s="2"/>
      <c r="CHL60" s="2"/>
      <c r="CHM60" s="2"/>
      <c r="CHN60" s="2"/>
      <c r="CHO60" s="2"/>
      <c r="CHP60" s="2"/>
      <c r="CHQ60" s="2"/>
      <c r="CHR60" s="2"/>
      <c r="CHS60" s="2"/>
      <c r="CHT60" s="2"/>
      <c r="CHU60" s="2"/>
      <c r="CHV60" s="2"/>
      <c r="CHW60" s="2"/>
      <c r="CHX60" s="2"/>
      <c r="CHY60" s="2"/>
      <c r="CHZ60" s="2"/>
      <c r="CIA60" s="2"/>
      <c r="CIB60" s="2"/>
      <c r="CIC60" s="2"/>
      <c r="CID60" s="2"/>
      <c r="CIE60" s="2"/>
      <c r="CIF60" s="2"/>
      <c r="CIG60" s="2"/>
      <c r="CIH60" s="2"/>
      <c r="CII60" s="2"/>
      <c r="CIJ60" s="2"/>
      <c r="CIK60" s="2"/>
      <c r="CIL60" s="2"/>
      <c r="CIM60" s="2"/>
      <c r="CIN60" s="2"/>
      <c r="CIO60" s="2"/>
      <c r="CIP60" s="2"/>
      <c r="CIQ60" s="2"/>
      <c r="CIR60" s="2"/>
      <c r="CIS60" s="2"/>
      <c r="CIT60" s="2"/>
      <c r="CIU60" s="2"/>
      <c r="CIV60" s="2"/>
      <c r="CIW60" s="2"/>
      <c r="CIX60" s="2"/>
      <c r="CIY60" s="2"/>
      <c r="CIZ60" s="2"/>
      <c r="CJA60" s="2"/>
      <c r="CJB60" s="2"/>
      <c r="CJC60" s="2"/>
      <c r="CJD60" s="2"/>
      <c r="CJE60" s="2"/>
      <c r="CJF60" s="2"/>
      <c r="CJG60" s="2"/>
      <c r="CJH60" s="2"/>
      <c r="CJI60" s="2"/>
      <c r="CJJ60" s="2"/>
      <c r="CJK60" s="2"/>
      <c r="CJL60" s="2"/>
      <c r="CJM60" s="2"/>
      <c r="CJN60" s="2"/>
      <c r="CJO60" s="2"/>
      <c r="CJP60" s="2"/>
      <c r="CJQ60" s="2"/>
      <c r="CJR60" s="2"/>
      <c r="CJS60" s="2"/>
      <c r="CJT60" s="2"/>
      <c r="CJU60" s="2"/>
      <c r="CJV60" s="2"/>
      <c r="CJW60" s="2"/>
      <c r="CJX60" s="2"/>
      <c r="CJY60" s="2"/>
      <c r="CJZ60" s="2"/>
      <c r="CKA60" s="2"/>
      <c r="CKB60" s="2"/>
      <c r="CKC60" s="2"/>
      <c r="CKD60" s="2"/>
      <c r="CKE60" s="2"/>
      <c r="CKF60" s="2"/>
      <c r="CKG60" s="2"/>
      <c r="CKH60" s="2"/>
      <c r="CKI60" s="2"/>
      <c r="CKJ60" s="2"/>
      <c r="CKK60" s="2"/>
      <c r="CKL60" s="2"/>
      <c r="CKM60" s="2"/>
      <c r="CKN60" s="2"/>
      <c r="CKO60" s="2"/>
      <c r="CKP60" s="2"/>
      <c r="CKQ60" s="2"/>
      <c r="CKR60" s="2"/>
      <c r="CKS60" s="2"/>
      <c r="CKT60" s="2"/>
      <c r="CKU60" s="2"/>
      <c r="CKV60" s="2"/>
      <c r="CKW60" s="2"/>
      <c r="CKX60" s="2"/>
      <c r="CKY60" s="2"/>
      <c r="CKZ60" s="2"/>
      <c r="CLA60" s="2"/>
      <c r="CLB60" s="2"/>
      <c r="CLC60" s="2"/>
      <c r="CLD60" s="2"/>
      <c r="CLE60" s="2"/>
      <c r="CLF60" s="2"/>
      <c r="CLG60" s="2"/>
      <c r="CLH60" s="2"/>
      <c r="CLI60" s="2"/>
      <c r="CLJ60" s="2"/>
      <c r="CLK60" s="2"/>
      <c r="CLL60" s="2"/>
      <c r="CLM60" s="2"/>
      <c r="CLN60" s="2"/>
      <c r="CLO60" s="2"/>
      <c r="CLP60" s="2"/>
      <c r="CLQ60" s="2"/>
      <c r="CLR60" s="2"/>
      <c r="CLS60" s="2"/>
      <c r="CLT60" s="2"/>
      <c r="CLU60" s="2"/>
      <c r="CLV60" s="2"/>
      <c r="CLW60" s="2"/>
      <c r="CLX60" s="2"/>
      <c r="CLY60" s="2"/>
      <c r="CLZ60" s="2"/>
      <c r="CMA60" s="2"/>
      <c r="CMB60" s="2"/>
      <c r="CMC60" s="2"/>
      <c r="CMD60" s="2"/>
      <c r="CME60" s="2"/>
      <c r="CMF60" s="2"/>
      <c r="CMG60" s="2"/>
      <c r="CMH60" s="2"/>
      <c r="CMI60" s="2"/>
      <c r="CMJ60" s="2"/>
      <c r="CMK60" s="2"/>
      <c r="CML60" s="2"/>
      <c r="CMM60" s="2"/>
      <c r="CMN60" s="2"/>
      <c r="CMO60" s="2"/>
      <c r="CMP60" s="2"/>
      <c r="CMQ60" s="2"/>
      <c r="CMR60" s="2"/>
      <c r="CMS60" s="2"/>
      <c r="CMT60" s="2"/>
      <c r="CMU60" s="2"/>
      <c r="CMV60" s="2"/>
      <c r="CMW60" s="2"/>
      <c r="CMX60" s="2"/>
      <c r="CMY60" s="2"/>
      <c r="CMZ60" s="2"/>
      <c r="CNA60" s="2"/>
      <c r="CNB60" s="2"/>
      <c r="CNC60" s="2"/>
      <c r="CND60" s="2"/>
      <c r="CNE60" s="2"/>
      <c r="CNF60" s="2"/>
      <c r="CNG60" s="2"/>
      <c r="CNH60" s="2"/>
      <c r="CNI60" s="2"/>
      <c r="CNJ60" s="2"/>
      <c r="CNK60" s="2"/>
      <c r="CNL60" s="2"/>
      <c r="CNM60" s="2"/>
      <c r="CNN60" s="2"/>
      <c r="CNO60" s="2"/>
      <c r="CNP60" s="2"/>
      <c r="CNQ60" s="2"/>
      <c r="CNR60" s="2"/>
      <c r="CNS60" s="2"/>
      <c r="CNT60" s="2"/>
      <c r="CNU60" s="2"/>
      <c r="CNV60" s="2"/>
      <c r="CNW60" s="2"/>
      <c r="CNX60" s="2"/>
      <c r="CNY60" s="2"/>
      <c r="CNZ60" s="2"/>
      <c r="COA60" s="2"/>
      <c r="COB60" s="2"/>
      <c r="COC60" s="2"/>
      <c r="COD60" s="2"/>
      <c r="COE60" s="2"/>
      <c r="COF60" s="2"/>
      <c r="COG60" s="2"/>
      <c r="COH60" s="2"/>
      <c r="COI60" s="2"/>
      <c r="COJ60" s="2"/>
      <c r="COK60" s="2"/>
      <c r="COL60" s="2"/>
      <c r="COM60" s="2"/>
      <c r="CON60" s="2"/>
      <c r="COO60" s="2"/>
      <c r="COP60" s="2"/>
      <c r="COQ60" s="2"/>
      <c r="COR60" s="2"/>
      <c r="COS60" s="2"/>
      <c r="COT60" s="2"/>
      <c r="COU60" s="2"/>
      <c r="COV60" s="2"/>
      <c r="COW60" s="2"/>
      <c r="COX60" s="2"/>
      <c r="COY60" s="2"/>
      <c r="COZ60" s="2"/>
      <c r="CPA60" s="2"/>
      <c r="CPB60" s="2"/>
      <c r="CPC60" s="2"/>
      <c r="CPD60" s="2"/>
      <c r="CPE60" s="2"/>
      <c r="CPF60" s="2"/>
      <c r="CPG60" s="2"/>
      <c r="CPH60" s="2"/>
      <c r="CPI60" s="2"/>
      <c r="CPJ60" s="2"/>
      <c r="CPK60" s="2"/>
      <c r="CPL60" s="2"/>
      <c r="CPM60" s="2"/>
      <c r="CPN60" s="2"/>
      <c r="CPO60" s="2"/>
      <c r="CPP60" s="2"/>
      <c r="CPQ60" s="2"/>
      <c r="CPR60" s="2"/>
      <c r="CPS60" s="2"/>
      <c r="CPT60" s="2"/>
      <c r="CPU60" s="2"/>
      <c r="CPV60" s="2"/>
      <c r="CPW60" s="2"/>
      <c r="CPX60" s="2"/>
      <c r="CPY60" s="2"/>
      <c r="CPZ60" s="2"/>
      <c r="CQA60" s="2"/>
      <c r="CQB60" s="2"/>
      <c r="CQC60" s="2"/>
      <c r="CQD60" s="2"/>
      <c r="CQE60" s="2"/>
      <c r="CQF60" s="2"/>
      <c r="CQG60" s="2"/>
      <c r="CQH60" s="2"/>
      <c r="CQI60" s="2"/>
      <c r="CQJ60" s="2"/>
      <c r="CQK60" s="2"/>
      <c r="CQL60" s="2"/>
      <c r="CQM60" s="2"/>
      <c r="CQN60" s="2"/>
      <c r="CQO60" s="2"/>
      <c r="CQP60" s="2"/>
      <c r="CQQ60" s="2"/>
      <c r="CQR60" s="2"/>
      <c r="CQS60" s="2"/>
      <c r="CQT60" s="2"/>
      <c r="CQU60" s="2"/>
      <c r="CQV60" s="2"/>
      <c r="CQW60" s="2"/>
      <c r="CQX60" s="2"/>
      <c r="CQY60" s="2"/>
      <c r="CQZ60" s="2"/>
      <c r="CRA60" s="2"/>
      <c r="CRB60" s="2"/>
      <c r="CRC60" s="2"/>
      <c r="CRD60" s="2"/>
      <c r="CRE60" s="2"/>
      <c r="CRF60" s="2"/>
      <c r="CRG60" s="2"/>
      <c r="CRH60" s="2"/>
      <c r="CRI60" s="2"/>
      <c r="CRJ60" s="2"/>
      <c r="CRK60" s="2"/>
      <c r="CRL60" s="2"/>
      <c r="CRM60" s="2"/>
      <c r="CRN60" s="2"/>
      <c r="CRO60" s="2"/>
      <c r="CRP60" s="2"/>
      <c r="CRQ60" s="2"/>
      <c r="CRR60" s="2"/>
      <c r="CRS60" s="2"/>
      <c r="CRT60" s="2"/>
      <c r="CRU60" s="2"/>
      <c r="CRV60" s="2"/>
      <c r="CRW60" s="2"/>
      <c r="CRX60" s="2"/>
      <c r="CRY60" s="2"/>
      <c r="CRZ60" s="2"/>
      <c r="CSA60" s="2"/>
      <c r="CSB60" s="2"/>
      <c r="CSC60" s="2"/>
      <c r="CSD60" s="2"/>
      <c r="CSE60" s="2"/>
      <c r="CSF60" s="2"/>
      <c r="CSG60" s="2"/>
      <c r="CSH60" s="2"/>
      <c r="CSI60" s="2"/>
      <c r="CSJ60" s="2"/>
      <c r="CSK60" s="2"/>
      <c r="CSL60" s="2"/>
      <c r="CSM60" s="2"/>
      <c r="CSN60" s="2"/>
      <c r="CSO60" s="2"/>
      <c r="CSP60" s="2"/>
      <c r="CSQ60" s="2"/>
      <c r="CSR60" s="2"/>
      <c r="CSS60" s="2"/>
      <c r="CST60" s="2"/>
      <c r="CSU60" s="2"/>
      <c r="CSV60" s="2"/>
      <c r="CSW60" s="2"/>
      <c r="CSX60" s="2"/>
      <c r="CSY60" s="2"/>
      <c r="CSZ60" s="2"/>
      <c r="CTA60" s="2"/>
      <c r="CTB60" s="2"/>
      <c r="CTC60" s="2"/>
      <c r="CTD60" s="2"/>
      <c r="CTE60" s="2"/>
      <c r="CTF60" s="2"/>
      <c r="CTG60" s="2"/>
      <c r="CTH60" s="2"/>
      <c r="CTI60" s="2"/>
      <c r="CTJ60" s="2"/>
      <c r="CTK60" s="2"/>
      <c r="CTL60" s="2"/>
      <c r="CTM60" s="2"/>
      <c r="CTN60" s="2"/>
      <c r="CTO60" s="2"/>
      <c r="CTP60" s="2"/>
      <c r="CTQ60" s="2"/>
      <c r="CTR60" s="2"/>
      <c r="CTS60" s="2"/>
      <c r="CTT60" s="2"/>
      <c r="CTU60" s="2"/>
      <c r="CTV60" s="2"/>
      <c r="CTW60" s="2"/>
      <c r="CTX60" s="2"/>
      <c r="CTY60" s="2"/>
      <c r="CTZ60" s="2"/>
      <c r="CUA60" s="2"/>
      <c r="CUB60" s="2"/>
      <c r="CUC60" s="2"/>
      <c r="CUD60" s="2"/>
      <c r="CUE60" s="2"/>
      <c r="CUF60" s="2"/>
      <c r="CUG60" s="2"/>
      <c r="CUH60" s="2"/>
      <c r="CUI60" s="2"/>
      <c r="CUJ60" s="2"/>
      <c r="CUK60" s="2"/>
      <c r="CUL60" s="2"/>
      <c r="CUM60" s="2"/>
      <c r="CUN60" s="2"/>
      <c r="CUO60" s="2"/>
      <c r="CUP60" s="2"/>
      <c r="CUQ60" s="2"/>
      <c r="CUR60" s="2"/>
      <c r="CUS60" s="2"/>
      <c r="CUT60" s="2"/>
      <c r="CUU60" s="2"/>
      <c r="CUV60" s="2"/>
      <c r="CUW60" s="2"/>
      <c r="CUX60" s="2"/>
      <c r="CUY60" s="2"/>
      <c r="CUZ60" s="2"/>
      <c r="CVA60" s="2"/>
      <c r="CVB60" s="2"/>
      <c r="CVC60" s="2"/>
      <c r="CVD60" s="2"/>
      <c r="CVE60" s="2"/>
      <c r="CVF60" s="2"/>
      <c r="CVG60" s="2"/>
      <c r="CVH60" s="2"/>
      <c r="CVI60" s="2"/>
      <c r="CVJ60" s="2"/>
      <c r="CVK60" s="2"/>
      <c r="CVL60" s="2"/>
      <c r="CVM60" s="2"/>
      <c r="CVN60" s="2"/>
      <c r="CVO60" s="2"/>
      <c r="CVP60" s="2"/>
      <c r="CVQ60" s="2"/>
      <c r="CVR60" s="2"/>
      <c r="CVS60" s="2"/>
      <c r="CVT60" s="2"/>
      <c r="CVU60" s="2"/>
      <c r="CVV60" s="2"/>
      <c r="CVW60" s="2"/>
      <c r="CVX60" s="2"/>
      <c r="CVY60" s="2"/>
      <c r="CVZ60" s="2"/>
      <c r="CWA60" s="2"/>
      <c r="CWB60" s="2"/>
      <c r="CWC60" s="2"/>
      <c r="CWD60" s="2"/>
      <c r="CWE60" s="2"/>
      <c r="CWF60" s="2"/>
      <c r="CWG60" s="2"/>
      <c r="CWH60" s="2"/>
      <c r="CWI60" s="2"/>
      <c r="CWJ60" s="2"/>
      <c r="CWK60" s="2"/>
      <c r="CWL60" s="2"/>
      <c r="CWM60" s="2"/>
      <c r="CWN60" s="2"/>
      <c r="CWO60" s="2"/>
      <c r="CWP60" s="2"/>
      <c r="CWQ60" s="2"/>
      <c r="CWR60" s="2"/>
      <c r="CWS60" s="2"/>
      <c r="CWT60" s="2"/>
      <c r="CWU60" s="2"/>
      <c r="CWV60" s="2"/>
      <c r="CWW60" s="2"/>
      <c r="CWX60" s="2"/>
      <c r="CWY60" s="2"/>
      <c r="CWZ60" s="2"/>
      <c r="CXA60" s="2"/>
      <c r="CXB60" s="2"/>
      <c r="CXC60" s="2"/>
      <c r="CXD60" s="2"/>
      <c r="CXE60" s="2"/>
      <c r="CXF60" s="2"/>
      <c r="CXG60" s="2"/>
      <c r="CXH60" s="2"/>
      <c r="CXI60" s="2"/>
      <c r="CXJ60" s="2"/>
      <c r="CXK60" s="2"/>
      <c r="CXL60" s="2"/>
      <c r="CXM60" s="2"/>
      <c r="CXN60" s="2"/>
      <c r="CXO60" s="2"/>
      <c r="CXP60" s="2"/>
      <c r="CXQ60" s="2"/>
      <c r="CXR60" s="2"/>
      <c r="CXS60" s="2"/>
      <c r="CXT60" s="2"/>
      <c r="CXU60" s="2"/>
      <c r="CXV60" s="2"/>
      <c r="CXW60" s="2"/>
      <c r="CXX60" s="2"/>
      <c r="CXY60" s="2"/>
      <c r="CXZ60" s="2"/>
      <c r="CYA60" s="2"/>
      <c r="CYB60" s="2"/>
      <c r="CYC60" s="2"/>
      <c r="CYD60" s="2"/>
      <c r="CYE60" s="2"/>
      <c r="CYF60" s="2"/>
      <c r="CYG60" s="2"/>
      <c r="CYH60" s="2"/>
      <c r="CYI60" s="2"/>
      <c r="CYJ60" s="2"/>
      <c r="CYK60" s="2"/>
      <c r="CYL60" s="2"/>
      <c r="CYM60" s="2"/>
      <c r="CYN60" s="2"/>
      <c r="CYO60" s="2"/>
      <c r="CYP60" s="2"/>
      <c r="CYQ60" s="2"/>
      <c r="CYR60" s="2"/>
      <c r="CYS60" s="2"/>
      <c r="CYT60" s="2"/>
      <c r="CYU60" s="2"/>
      <c r="CYV60" s="2"/>
      <c r="CYW60" s="2"/>
      <c r="CYX60" s="2"/>
      <c r="CYY60" s="2"/>
      <c r="CYZ60" s="2"/>
      <c r="CZA60" s="2"/>
      <c r="CZB60" s="2"/>
      <c r="CZC60" s="2"/>
      <c r="CZD60" s="2"/>
      <c r="CZE60" s="2"/>
      <c r="CZF60" s="2"/>
      <c r="CZG60" s="2"/>
      <c r="CZH60" s="2"/>
      <c r="CZI60" s="2"/>
      <c r="CZJ60" s="2"/>
      <c r="CZK60" s="2"/>
      <c r="CZL60" s="2"/>
      <c r="CZM60" s="2"/>
      <c r="CZN60" s="2"/>
      <c r="CZO60" s="2"/>
      <c r="CZP60" s="2"/>
      <c r="CZQ60" s="2"/>
      <c r="CZR60" s="2"/>
      <c r="CZS60" s="2"/>
      <c r="CZT60" s="2"/>
      <c r="CZU60" s="2"/>
      <c r="CZV60" s="2"/>
      <c r="CZW60" s="2"/>
      <c r="CZX60" s="2"/>
      <c r="CZY60" s="2"/>
      <c r="CZZ60" s="2"/>
      <c r="DAA60" s="2"/>
      <c r="DAB60" s="2"/>
      <c r="DAC60" s="2"/>
      <c r="DAD60" s="2"/>
      <c r="DAE60" s="2"/>
      <c r="DAF60" s="2"/>
      <c r="DAG60" s="2"/>
      <c r="DAH60" s="2"/>
      <c r="DAI60" s="2"/>
      <c r="DAJ60" s="2"/>
      <c r="DAK60" s="2"/>
      <c r="DAL60" s="2"/>
      <c r="DAM60" s="2"/>
      <c r="DAN60" s="2"/>
      <c r="DAO60" s="2"/>
      <c r="DAP60" s="2"/>
      <c r="DAQ60" s="2"/>
      <c r="DAR60" s="2"/>
      <c r="DAS60" s="2"/>
      <c r="DAT60" s="2"/>
      <c r="DAU60" s="2"/>
      <c r="DAV60" s="2"/>
      <c r="DAW60" s="2"/>
      <c r="DAX60" s="2"/>
      <c r="DAY60" s="2"/>
      <c r="DAZ60" s="2"/>
      <c r="DBA60" s="2"/>
      <c r="DBB60" s="2"/>
      <c r="DBC60" s="2"/>
      <c r="DBD60" s="2"/>
      <c r="DBE60" s="2"/>
      <c r="DBF60" s="2"/>
      <c r="DBG60" s="2"/>
      <c r="DBH60" s="2"/>
      <c r="DBI60" s="2"/>
      <c r="DBJ60" s="2"/>
      <c r="DBK60" s="2"/>
      <c r="DBL60" s="2"/>
      <c r="DBM60" s="2"/>
      <c r="DBN60" s="2"/>
      <c r="DBO60" s="2"/>
      <c r="DBP60" s="2"/>
      <c r="DBQ60" s="2"/>
      <c r="DBR60" s="2"/>
      <c r="DBS60" s="2"/>
      <c r="DBT60" s="2"/>
      <c r="DBU60" s="2"/>
      <c r="DBV60" s="2"/>
      <c r="DBW60" s="2"/>
      <c r="DBX60" s="2"/>
      <c r="DBY60" s="2"/>
      <c r="DBZ60" s="2"/>
      <c r="DCA60" s="2"/>
      <c r="DCB60" s="2"/>
      <c r="DCC60" s="2"/>
      <c r="DCD60" s="2"/>
      <c r="DCE60" s="2"/>
      <c r="DCF60" s="2"/>
      <c r="DCG60" s="2"/>
      <c r="DCH60" s="2"/>
      <c r="DCI60" s="2"/>
      <c r="DCJ60" s="2"/>
      <c r="DCK60" s="2"/>
      <c r="DCL60" s="2"/>
      <c r="DCM60" s="2"/>
      <c r="DCN60" s="2"/>
      <c r="DCO60" s="2"/>
      <c r="DCP60" s="2"/>
      <c r="DCQ60" s="2"/>
      <c r="DCR60" s="2"/>
      <c r="DCS60" s="2"/>
      <c r="DCT60" s="2"/>
      <c r="DCU60" s="2"/>
      <c r="DCV60" s="2"/>
      <c r="DCW60" s="2"/>
      <c r="DCX60" s="2"/>
      <c r="DCY60" s="2"/>
      <c r="DCZ60" s="2"/>
      <c r="DDA60" s="2"/>
      <c r="DDB60" s="2"/>
      <c r="DDC60" s="2"/>
      <c r="DDD60" s="2"/>
      <c r="DDE60" s="2"/>
      <c r="DDF60" s="2"/>
      <c r="DDG60" s="2"/>
      <c r="DDH60" s="2"/>
      <c r="DDI60" s="2"/>
      <c r="DDJ60" s="2"/>
      <c r="DDK60" s="2"/>
      <c r="DDL60" s="2"/>
      <c r="DDM60" s="2"/>
      <c r="DDN60" s="2"/>
      <c r="DDO60" s="2"/>
      <c r="DDP60" s="2"/>
      <c r="DDQ60" s="2"/>
      <c r="DDR60" s="2"/>
      <c r="DDS60" s="2"/>
      <c r="DDT60" s="2"/>
      <c r="DDU60" s="2"/>
      <c r="DDV60" s="2"/>
      <c r="DDW60" s="2"/>
      <c r="DDX60" s="2"/>
      <c r="DDY60" s="2"/>
      <c r="DDZ60" s="2"/>
      <c r="DEA60" s="2"/>
      <c r="DEB60" s="2"/>
      <c r="DEC60" s="2"/>
      <c r="DED60" s="2"/>
      <c r="DEE60" s="2"/>
      <c r="DEF60" s="2"/>
      <c r="DEG60" s="2"/>
      <c r="DEH60" s="2"/>
      <c r="DEI60" s="2"/>
      <c r="DEJ60" s="2"/>
      <c r="DEK60" s="2"/>
      <c r="DEL60" s="2"/>
      <c r="DEM60" s="2"/>
      <c r="DEN60" s="2"/>
      <c r="DEO60" s="2"/>
      <c r="DEP60" s="2"/>
      <c r="DEQ60" s="2"/>
      <c r="DER60" s="2"/>
      <c r="DES60" s="2"/>
      <c r="DET60" s="2"/>
      <c r="DEU60" s="2"/>
      <c r="DEV60" s="2"/>
      <c r="DEW60" s="2"/>
      <c r="DEX60" s="2"/>
      <c r="DEY60" s="2"/>
      <c r="DEZ60" s="2"/>
      <c r="DFA60" s="2"/>
      <c r="DFB60" s="2"/>
      <c r="DFC60" s="2"/>
      <c r="DFD60" s="2"/>
      <c r="DFE60" s="2"/>
      <c r="DFF60" s="2"/>
      <c r="DFG60" s="2"/>
      <c r="DFH60" s="2"/>
      <c r="DFI60" s="2"/>
      <c r="DFJ60" s="2"/>
      <c r="DFK60" s="2"/>
      <c r="DFL60" s="2"/>
      <c r="DFM60" s="2"/>
      <c r="DFN60" s="2"/>
      <c r="DFO60" s="2"/>
      <c r="DFP60" s="2"/>
      <c r="DFQ60" s="2"/>
      <c r="DFR60" s="2"/>
      <c r="DFS60" s="2"/>
      <c r="DFT60" s="2"/>
      <c r="DFU60" s="2"/>
      <c r="DFV60" s="2"/>
      <c r="DFW60" s="2"/>
      <c r="DFX60" s="2"/>
      <c r="DFY60" s="2"/>
      <c r="DFZ60" s="2"/>
      <c r="DGA60" s="2"/>
      <c r="DGB60" s="2"/>
      <c r="DGC60" s="2"/>
      <c r="DGD60" s="2"/>
      <c r="DGE60" s="2"/>
      <c r="DGF60" s="2"/>
      <c r="DGG60" s="2"/>
      <c r="DGH60" s="2"/>
      <c r="DGI60" s="2"/>
      <c r="DGJ60" s="2"/>
      <c r="DGK60" s="2"/>
      <c r="DGL60" s="2"/>
      <c r="DGM60" s="2"/>
      <c r="DGN60" s="2"/>
      <c r="DGO60" s="2"/>
      <c r="DGP60" s="2"/>
      <c r="DGQ60" s="2"/>
      <c r="DGR60" s="2"/>
      <c r="DGS60" s="2"/>
      <c r="DGT60" s="2"/>
      <c r="DGU60" s="2"/>
      <c r="DGV60" s="2"/>
      <c r="DGW60" s="2"/>
      <c r="DGX60" s="2"/>
      <c r="DGY60" s="2"/>
      <c r="DGZ60" s="2"/>
      <c r="DHA60" s="2"/>
      <c r="DHB60" s="2"/>
      <c r="DHC60" s="2"/>
      <c r="DHD60" s="2"/>
      <c r="DHE60" s="2"/>
      <c r="DHF60" s="2"/>
      <c r="DHG60" s="2"/>
      <c r="DHH60" s="2"/>
      <c r="DHI60" s="2"/>
      <c r="DHJ60" s="2"/>
      <c r="DHK60" s="2"/>
      <c r="DHL60" s="2"/>
      <c r="DHM60" s="2"/>
      <c r="DHN60" s="2"/>
      <c r="DHO60" s="2"/>
      <c r="DHP60" s="2"/>
      <c r="DHQ60" s="2"/>
      <c r="DHR60" s="2"/>
      <c r="DHS60" s="2"/>
      <c r="DHT60" s="2"/>
      <c r="DHU60" s="2"/>
      <c r="DHV60" s="2"/>
      <c r="DHW60" s="2"/>
      <c r="DHX60" s="2"/>
      <c r="DHY60" s="2"/>
      <c r="DHZ60" s="2"/>
      <c r="DIA60" s="2"/>
      <c r="DIB60" s="2"/>
      <c r="DIC60" s="2"/>
      <c r="DID60" s="2"/>
      <c r="DIE60" s="2"/>
      <c r="DIF60" s="2"/>
      <c r="DIG60" s="2"/>
      <c r="DIH60" s="2"/>
      <c r="DII60" s="2"/>
      <c r="DIJ60" s="2"/>
      <c r="DIK60" s="2"/>
      <c r="DIL60" s="2"/>
      <c r="DIM60" s="2"/>
      <c r="DIN60" s="2"/>
      <c r="DIO60" s="2"/>
      <c r="DIP60" s="2"/>
      <c r="DIQ60" s="2"/>
      <c r="DIR60" s="2"/>
      <c r="DIS60" s="2"/>
      <c r="DIT60" s="2"/>
      <c r="DIU60" s="2"/>
      <c r="DIV60" s="2"/>
      <c r="DIW60" s="2"/>
      <c r="DIX60" s="2"/>
      <c r="DIY60" s="2"/>
      <c r="DIZ60" s="2"/>
      <c r="DJA60" s="2"/>
      <c r="DJB60" s="2"/>
      <c r="DJC60" s="2"/>
      <c r="DJD60" s="2"/>
      <c r="DJE60" s="2"/>
      <c r="DJF60" s="2"/>
      <c r="DJG60" s="2"/>
      <c r="DJH60" s="2"/>
      <c r="DJI60" s="2"/>
      <c r="DJJ60" s="2"/>
      <c r="DJK60" s="2"/>
      <c r="DJL60" s="2"/>
      <c r="DJM60" s="2"/>
      <c r="DJN60" s="2"/>
      <c r="DJO60" s="2"/>
      <c r="DJP60" s="2"/>
      <c r="DJQ60" s="2"/>
      <c r="DJR60" s="2"/>
      <c r="DJS60" s="2"/>
      <c r="DJT60" s="2"/>
      <c r="DJU60" s="2"/>
      <c r="DJV60" s="2"/>
      <c r="DJW60" s="2"/>
      <c r="DJX60" s="2"/>
      <c r="DJY60" s="2"/>
      <c r="DJZ60" s="2"/>
      <c r="DKA60" s="2"/>
      <c r="DKB60" s="2"/>
      <c r="DKC60" s="2"/>
      <c r="DKD60" s="2"/>
      <c r="DKE60" s="2"/>
      <c r="DKF60" s="2"/>
      <c r="DKG60" s="2"/>
      <c r="DKH60" s="2"/>
      <c r="DKI60" s="2"/>
      <c r="DKJ60" s="2"/>
      <c r="DKK60" s="2"/>
      <c r="DKL60" s="2"/>
      <c r="DKM60" s="2"/>
      <c r="DKN60" s="2"/>
      <c r="DKO60" s="2"/>
      <c r="DKP60" s="2"/>
      <c r="DKQ60" s="2"/>
      <c r="DKR60" s="2"/>
      <c r="DKS60" s="2"/>
      <c r="DKT60" s="2"/>
      <c r="DKU60" s="2"/>
      <c r="DKV60" s="2"/>
      <c r="DKW60" s="2"/>
      <c r="DKX60" s="2"/>
      <c r="DKY60" s="2"/>
      <c r="DKZ60" s="2"/>
      <c r="DLA60" s="2"/>
      <c r="DLB60" s="2"/>
      <c r="DLC60" s="2"/>
      <c r="DLD60" s="2"/>
      <c r="DLE60" s="2"/>
      <c r="DLF60" s="2"/>
      <c r="DLG60" s="2"/>
      <c r="DLH60" s="2"/>
      <c r="DLI60" s="2"/>
      <c r="DLJ60" s="2"/>
      <c r="DLK60" s="2"/>
      <c r="DLL60" s="2"/>
      <c r="DLM60" s="2"/>
      <c r="DLN60" s="2"/>
      <c r="DLO60" s="2"/>
      <c r="DLP60" s="2"/>
      <c r="DLQ60" s="2"/>
      <c r="DLR60" s="2"/>
      <c r="DLS60" s="2"/>
      <c r="DLT60" s="2"/>
      <c r="DLU60" s="2"/>
      <c r="DLV60" s="2"/>
      <c r="DLW60" s="2"/>
      <c r="DLX60" s="2"/>
      <c r="DLY60" s="2"/>
      <c r="DLZ60" s="2"/>
      <c r="DMA60" s="2"/>
      <c r="DMB60" s="2"/>
      <c r="DMC60" s="2"/>
      <c r="DMD60" s="2"/>
      <c r="DME60" s="2"/>
      <c r="DMF60" s="2"/>
      <c r="DMG60" s="2"/>
      <c r="DMH60" s="2"/>
      <c r="DMI60" s="2"/>
      <c r="DMJ60" s="2"/>
      <c r="DMK60" s="2"/>
      <c r="DML60" s="2"/>
      <c r="DMM60" s="2"/>
      <c r="DMN60" s="2"/>
      <c r="DMO60" s="2"/>
      <c r="DMP60" s="2"/>
      <c r="DMQ60" s="2"/>
      <c r="DMR60" s="2"/>
      <c r="DMS60" s="2"/>
      <c r="DMT60" s="2"/>
      <c r="DMU60" s="2"/>
      <c r="DMV60" s="2"/>
      <c r="DMW60" s="2"/>
      <c r="DMX60" s="2"/>
      <c r="DMY60" s="2"/>
      <c r="DMZ60" s="2"/>
      <c r="DNA60" s="2"/>
      <c r="DNB60" s="2"/>
      <c r="DNC60" s="2"/>
      <c r="DND60" s="2"/>
      <c r="DNE60" s="2"/>
      <c r="DNF60" s="2"/>
      <c r="DNG60" s="2"/>
      <c r="DNH60" s="2"/>
      <c r="DNI60" s="2"/>
      <c r="DNJ60" s="2"/>
      <c r="DNK60" s="2"/>
      <c r="DNL60" s="2"/>
      <c r="DNM60" s="2"/>
      <c r="DNN60" s="2"/>
      <c r="DNO60" s="2"/>
      <c r="DNP60" s="2"/>
      <c r="DNQ60" s="2"/>
      <c r="DNR60" s="2"/>
      <c r="DNS60" s="2"/>
      <c r="DNT60" s="2"/>
      <c r="DNU60" s="2"/>
      <c r="DNV60" s="2"/>
      <c r="DNW60" s="2"/>
      <c r="DNX60" s="2"/>
      <c r="DNY60" s="2"/>
      <c r="DNZ60" s="2"/>
      <c r="DOA60" s="2"/>
      <c r="DOB60" s="2"/>
      <c r="DOC60" s="2"/>
      <c r="DOD60" s="2"/>
      <c r="DOE60" s="2"/>
      <c r="DOF60" s="2"/>
      <c r="DOG60" s="2"/>
      <c r="DOH60" s="2"/>
      <c r="DOI60" s="2"/>
      <c r="DOJ60" s="2"/>
      <c r="DOK60" s="2"/>
      <c r="DOL60" s="2"/>
      <c r="DOM60" s="2"/>
      <c r="DON60" s="2"/>
      <c r="DOO60" s="2"/>
      <c r="DOP60" s="2"/>
      <c r="DOQ60" s="2"/>
      <c r="DOR60" s="2"/>
      <c r="DOS60" s="2"/>
      <c r="DOT60" s="2"/>
      <c r="DOU60" s="2"/>
      <c r="DOV60" s="2"/>
      <c r="DOW60" s="2"/>
      <c r="DOX60" s="2"/>
      <c r="DOY60" s="2"/>
      <c r="DOZ60" s="2"/>
      <c r="DPA60" s="2"/>
      <c r="DPB60" s="2"/>
      <c r="DPC60" s="2"/>
      <c r="DPD60" s="2"/>
      <c r="DPE60" s="2"/>
      <c r="DPF60" s="2"/>
      <c r="DPG60" s="2"/>
      <c r="DPH60" s="2"/>
      <c r="DPI60" s="2"/>
      <c r="DPJ60" s="2"/>
      <c r="DPK60" s="2"/>
      <c r="DPL60" s="2"/>
      <c r="DPM60" s="2"/>
      <c r="DPN60" s="2"/>
      <c r="DPO60" s="2"/>
      <c r="DPP60" s="2"/>
      <c r="DPQ60" s="2"/>
      <c r="DPR60" s="2"/>
      <c r="DPS60" s="2"/>
      <c r="DPT60" s="2"/>
      <c r="DPU60" s="2"/>
      <c r="DPV60" s="2"/>
      <c r="DPW60" s="2"/>
      <c r="DPX60" s="2"/>
      <c r="DPY60" s="2"/>
      <c r="DPZ60" s="2"/>
      <c r="DQA60" s="2"/>
      <c r="DQB60" s="2"/>
      <c r="DQC60" s="2"/>
      <c r="DQD60" s="2"/>
      <c r="DQE60" s="2"/>
      <c r="DQF60" s="2"/>
      <c r="DQG60" s="2"/>
      <c r="DQH60" s="2"/>
      <c r="DQI60" s="2"/>
      <c r="DQJ60" s="2"/>
      <c r="DQK60" s="2"/>
      <c r="DQL60" s="2"/>
      <c r="DQM60" s="2"/>
      <c r="DQN60" s="2"/>
      <c r="DQO60" s="2"/>
      <c r="DQP60" s="2"/>
      <c r="DQQ60" s="2"/>
      <c r="DQR60" s="2"/>
      <c r="DQS60" s="2"/>
      <c r="DQT60" s="2"/>
      <c r="DQU60" s="2"/>
      <c r="DQV60" s="2"/>
      <c r="DQW60" s="2"/>
      <c r="DQX60" s="2"/>
      <c r="DQY60" s="2"/>
      <c r="DQZ60" s="2"/>
      <c r="DRA60" s="2"/>
      <c r="DRB60" s="2"/>
      <c r="DRC60" s="2"/>
      <c r="DRD60" s="2"/>
      <c r="DRE60" s="2"/>
      <c r="DRF60" s="2"/>
      <c r="DRG60" s="2"/>
      <c r="DRH60" s="2"/>
      <c r="DRI60" s="2"/>
      <c r="DRJ60" s="2"/>
      <c r="DRK60" s="2"/>
      <c r="DRL60" s="2"/>
      <c r="DRM60" s="2"/>
      <c r="DRN60" s="2"/>
      <c r="DRO60" s="2"/>
      <c r="DRP60" s="2"/>
      <c r="DRQ60" s="2"/>
      <c r="DRR60" s="2"/>
      <c r="DRS60" s="2"/>
      <c r="DRT60" s="2"/>
      <c r="DRU60" s="2"/>
      <c r="DRV60" s="2"/>
      <c r="DRW60" s="2"/>
      <c r="DRX60" s="2"/>
      <c r="DRY60" s="2"/>
      <c r="DRZ60" s="2"/>
      <c r="DSA60" s="2"/>
      <c r="DSB60" s="2"/>
      <c r="DSC60" s="2"/>
      <c r="DSD60" s="2"/>
      <c r="DSE60" s="2"/>
      <c r="DSF60" s="2"/>
      <c r="DSG60" s="2"/>
      <c r="DSH60" s="2"/>
      <c r="DSI60" s="2"/>
      <c r="DSJ60" s="2"/>
      <c r="DSK60" s="2"/>
      <c r="DSL60" s="2"/>
      <c r="DSM60" s="2"/>
      <c r="DSN60" s="2"/>
      <c r="DSO60" s="2"/>
      <c r="DSP60" s="2"/>
      <c r="DSQ60" s="2"/>
      <c r="DSR60" s="2"/>
      <c r="DSS60" s="2"/>
      <c r="DST60" s="2"/>
      <c r="DSU60" s="2"/>
      <c r="DSV60" s="2"/>
      <c r="DSW60" s="2"/>
      <c r="DSX60" s="2"/>
      <c r="DSY60" s="2"/>
      <c r="DSZ60" s="2"/>
      <c r="DTA60" s="2"/>
      <c r="DTB60" s="2"/>
      <c r="DTC60" s="2"/>
      <c r="DTD60" s="2"/>
      <c r="DTE60" s="2"/>
      <c r="DTF60" s="2"/>
      <c r="DTG60" s="2"/>
      <c r="DTH60" s="2"/>
      <c r="DTI60" s="2"/>
      <c r="DTJ60" s="2"/>
      <c r="DTK60" s="2"/>
      <c r="DTL60" s="2"/>
      <c r="DTM60" s="2"/>
      <c r="DTN60" s="2"/>
      <c r="DTO60" s="2"/>
      <c r="DTP60" s="2"/>
      <c r="DTQ60" s="2"/>
      <c r="DTR60" s="2"/>
      <c r="DTS60" s="2"/>
      <c r="DTT60" s="2"/>
      <c r="DTU60" s="2"/>
      <c r="DTV60" s="2"/>
      <c r="DTW60" s="2"/>
      <c r="DTX60" s="2"/>
      <c r="DTY60" s="2"/>
      <c r="DTZ60" s="2"/>
      <c r="DUA60" s="2"/>
      <c r="DUB60" s="2"/>
      <c r="DUC60" s="2"/>
      <c r="DUD60" s="2"/>
      <c r="DUE60" s="2"/>
      <c r="DUF60" s="2"/>
      <c r="DUG60" s="2"/>
      <c r="DUH60" s="2"/>
      <c r="DUI60" s="2"/>
      <c r="DUJ60" s="2"/>
      <c r="DUK60" s="2"/>
      <c r="DUL60" s="2"/>
      <c r="DUM60" s="2"/>
      <c r="DUN60" s="2"/>
      <c r="DUO60" s="2"/>
      <c r="DUP60" s="2"/>
      <c r="DUQ60" s="2"/>
      <c r="DUR60" s="2"/>
      <c r="DUS60" s="2"/>
      <c r="DUT60" s="2"/>
      <c r="DUU60" s="2"/>
      <c r="DUV60" s="2"/>
      <c r="DUW60" s="2"/>
      <c r="DUX60" s="2"/>
      <c r="DUY60" s="2"/>
      <c r="DUZ60" s="2"/>
      <c r="DVA60" s="2"/>
      <c r="DVB60" s="2"/>
      <c r="DVC60" s="2"/>
      <c r="DVD60" s="2"/>
      <c r="DVE60" s="2"/>
      <c r="DVF60" s="2"/>
      <c r="DVG60" s="2"/>
      <c r="DVH60" s="2"/>
      <c r="DVI60" s="2"/>
      <c r="DVJ60" s="2"/>
      <c r="DVK60" s="2"/>
      <c r="DVL60" s="2"/>
      <c r="DVM60" s="2"/>
      <c r="DVN60" s="2"/>
      <c r="DVO60" s="2"/>
      <c r="DVP60" s="2"/>
      <c r="DVQ60" s="2"/>
      <c r="DVR60" s="2"/>
      <c r="DVS60" s="2"/>
      <c r="DVT60" s="2"/>
      <c r="DVU60" s="2"/>
      <c r="DVV60" s="2"/>
      <c r="DVW60" s="2"/>
      <c r="DVX60" s="2"/>
      <c r="DVY60" s="2"/>
      <c r="DVZ60" s="2"/>
      <c r="DWA60" s="2"/>
      <c r="DWB60" s="2"/>
      <c r="DWC60" s="2"/>
      <c r="DWD60" s="2"/>
      <c r="DWE60" s="2"/>
      <c r="DWF60" s="2"/>
      <c r="DWG60" s="2"/>
      <c r="DWH60" s="2"/>
      <c r="DWI60" s="2"/>
      <c r="DWJ60" s="2"/>
      <c r="DWK60" s="2"/>
      <c r="DWL60" s="2"/>
      <c r="DWM60" s="2"/>
      <c r="DWN60" s="2"/>
      <c r="DWO60" s="2"/>
      <c r="DWP60" s="2"/>
      <c r="DWQ60" s="2"/>
      <c r="DWR60" s="2"/>
      <c r="DWS60" s="2"/>
      <c r="DWT60" s="2"/>
      <c r="DWU60" s="2"/>
      <c r="DWV60" s="2"/>
      <c r="DWW60" s="2"/>
      <c r="DWX60" s="2"/>
      <c r="DWY60" s="2"/>
      <c r="DWZ60" s="2"/>
      <c r="DXA60" s="2"/>
      <c r="DXB60" s="2"/>
      <c r="DXC60" s="2"/>
      <c r="DXD60" s="2"/>
      <c r="DXE60" s="2"/>
      <c r="DXF60" s="2"/>
      <c r="DXG60" s="2"/>
      <c r="DXH60" s="2"/>
      <c r="DXI60" s="2"/>
      <c r="DXJ60" s="2"/>
      <c r="DXK60" s="2"/>
      <c r="DXL60" s="2"/>
      <c r="DXM60" s="2"/>
      <c r="DXN60" s="2"/>
      <c r="DXO60" s="2"/>
      <c r="DXP60" s="2"/>
      <c r="DXQ60" s="2"/>
      <c r="DXR60" s="2"/>
      <c r="DXS60" s="2"/>
      <c r="DXT60" s="2"/>
      <c r="DXU60" s="2"/>
      <c r="DXV60" s="2"/>
      <c r="DXW60" s="2"/>
      <c r="DXX60" s="2"/>
      <c r="DXY60" s="2"/>
      <c r="DXZ60" s="2"/>
      <c r="DYA60" s="2"/>
      <c r="DYB60" s="2"/>
      <c r="DYC60" s="2"/>
      <c r="DYD60" s="2"/>
      <c r="DYE60" s="2"/>
      <c r="DYF60" s="2"/>
      <c r="DYG60" s="2"/>
      <c r="DYH60" s="2"/>
      <c r="DYI60" s="2"/>
      <c r="DYJ60" s="2"/>
      <c r="DYK60" s="2"/>
      <c r="DYL60" s="2"/>
      <c r="DYM60" s="2"/>
      <c r="DYN60" s="2"/>
      <c r="DYO60" s="2"/>
      <c r="DYP60" s="2"/>
      <c r="DYQ60" s="2"/>
      <c r="DYR60" s="2"/>
      <c r="DYS60" s="2"/>
      <c r="DYT60" s="2"/>
      <c r="DYU60" s="2"/>
      <c r="DYV60" s="2"/>
      <c r="DYW60" s="2"/>
      <c r="DYX60" s="2"/>
      <c r="DYY60" s="2"/>
      <c r="DYZ60" s="2"/>
      <c r="DZA60" s="2"/>
      <c r="DZB60" s="2"/>
      <c r="DZC60" s="2"/>
      <c r="DZD60" s="2"/>
      <c r="DZE60" s="2"/>
      <c r="DZF60" s="2"/>
      <c r="DZG60" s="2"/>
      <c r="DZH60" s="2"/>
      <c r="DZI60" s="2"/>
      <c r="DZJ60" s="2"/>
      <c r="DZK60" s="2"/>
      <c r="DZL60" s="2"/>
      <c r="DZM60" s="2"/>
      <c r="DZN60" s="2"/>
      <c r="DZO60" s="2"/>
      <c r="DZP60" s="2"/>
      <c r="DZQ60" s="2"/>
      <c r="DZR60" s="2"/>
      <c r="DZS60" s="2"/>
      <c r="DZT60" s="2"/>
      <c r="DZU60" s="2"/>
      <c r="DZV60" s="2"/>
      <c r="DZW60" s="2"/>
      <c r="DZX60" s="2"/>
      <c r="DZY60" s="2"/>
      <c r="DZZ60" s="2"/>
      <c r="EAA60" s="2"/>
      <c r="EAB60" s="2"/>
      <c r="EAC60" s="2"/>
      <c r="EAD60" s="2"/>
      <c r="EAE60" s="2"/>
      <c r="EAF60" s="2"/>
      <c r="EAG60" s="2"/>
      <c r="EAH60" s="2"/>
      <c r="EAI60" s="2"/>
      <c r="EAJ60" s="2"/>
      <c r="EAK60" s="2"/>
      <c r="EAL60" s="2"/>
      <c r="EAM60" s="2"/>
      <c r="EAN60" s="2"/>
      <c r="EAO60" s="2"/>
      <c r="EAP60" s="2"/>
      <c r="EAQ60" s="2"/>
      <c r="EAR60" s="2"/>
      <c r="EAS60" s="2"/>
      <c r="EAT60" s="2"/>
      <c r="EAU60" s="2"/>
      <c r="EAV60" s="2"/>
      <c r="EAW60" s="2"/>
      <c r="EAX60" s="2"/>
      <c r="EAY60" s="2"/>
      <c r="EAZ60" s="2"/>
      <c r="EBA60" s="2"/>
      <c r="EBB60" s="2"/>
      <c r="EBC60" s="2"/>
      <c r="EBD60" s="2"/>
      <c r="EBE60" s="2"/>
      <c r="EBF60" s="2"/>
      <c r="EBG60" s="2"/>
      <c r="EBH60" s="2"/>
      <c r="EBI60" s="2"/>
      <c r="EBJ60" s="2"/>
      <c r="EBK60" s="2"/>
      <c r="EBL60" s="2"/>
      <c r="EBM60" s="2"/>
      <c r="EBN60" s="2"/>
      <c r="EBO60" s="2"/>
      <c r="EBP60" s="2"/>
      <c r="EBQ60" s="2"/>
      <c r="EBR60" s="2"/>
      <c r="EBS60" s="2"/>
      <c r="EBT60" s="2"/>
      <c r="EBU60" s="2"/>
      <c r="EBV60" s="2"/>
      <c r="EBW60" s="2"/>
      <c r="EBX60" s="2"/>
      <c r="EBY60" s="2"/>
      <c r="EBZ60" s="2"/>
      <c r="ECA60" s="2"/>
      <c r="ECB60" s="2"/>
      <c r="ECC60" s="2"/>
      <c r="ECD60" s="2"/>
      <c r="ECE60" s="2"/>
      <c r="ECF60" s="2"/>
      <c r="ECG60" s="2"/>
      <c r="ECH60" s="2"/>
      <c r="ECI60" s="2"/>
      <c r="ECJ60" s="2"/>
      <c r="ECK60" s="2"/>
      <c r="ECL60" s="2"/>
      <c r="ECM60" s="2"/>
      <c r="ECN60" s="2"/>
      <c r="ECO60" s="2"/>
      <c r="ECP60" s="2"/>
      <c r="ECQ60" s="2"/>
      <c r="ECR60" s="2"/>
      <c r="ECS60" s="2"/>
      <c r="ECT60" s="2"/>
      <c r="ECU60" s="2"/>
      <c r="ECV60" s="2"/>
      <c r="ECW60" s="2"/>
      <c r="ECX60" s="2"/>
      <c r="ECY60" s="2"/>
      <c r="ECZ60" s="2"/>
      <c r="EDA60" s="2"/>
      <c r="EDB60" s="2"/>
      <c r="EDC60" s="2"/>
      <c r="EDD60" s="2"/>
      <c r="EDE60" s="2"/>
      <c r="EDF60" s="2"/>
      <c r="EDG60" s="2"/>
      <c r="EDH60" s="2"/>
      <c r="EDI60" s="2"/>
      <c r="EDJ60" s="2"/>
      <c r="EDK60" s="2"/>
      <c r="EDL60" s="2"/>
      <c r="EDM60" s="2"/>
      <c r="EDN60" s="2"/>
      <c r="EDO60" s="2"/>
      <c r="EDP60" s="2"/>
      <c r="EDQ60" s="2"/>
      <c r="EDR60" s="2"/>
      <c r="EDS60" s="2"/>
      <c r="EDT60" s="2"/>
      <c r="EDU60" s="2"/>
      <c r="EDV60" s="2"/>
      <c r="EDW60" s="2"/>
      <c r="EDX60" s="2"/>
      <c r="EDY60" s="2"/>
      <c r="EDZ60" s="2"/>
      <c r="EEA60" s="2"/>
      <c r="EEB60" s="2"/>
      <c r="EEC60" s="2"/>
      <c r="EED60" s="2"/>
      <c r="EEE60" s="2"/>
      <c r="EEF60" s="2"/>
      <c r="EEG60" s="2"/>
      <c r="EEH60" s="2"/>
      <c r="EEI60" s="2"/>
      <c r="EEJ60" s="2"/>
      <c r="EEK60" s="2"/>
      <c r="EEL60" s="2"/>
      <c r="EEM60" s="2"/>
      <c r="EEN60" s="2"/>
      <c r="EEO60" s="2"/>
      <c r="EEP60" s="2"/>
      <c r="EEQ60" s="2"/>
      <c r="EER60" s="2"/>
      <c r="EES60" s="2"/>
      <c r="EET60" s="2"/>
      <c r="EEU60" s="2"/>
      <c r="EEV60" s="2"/>
      <c r="EEW60" s="2"/>
      <c r="EEX60" s="2"/>
      <c r="EEY60" s="2"/>
      <c r="EEZ60" s="2"/>
      <c r="EFA60" s="2"/>
      <c r="EFB60" s="2"/>
      <c r="EFC60" s="2"/>
      <c r="EFD60" s="2"/>
      <c r="EFE60" s="2"/>
      <c r="EFF60" s="2"/>
      <c r="EFG60" s="2"/>
      <c r="EFH60" s="2"/>
      <c r="EFI60" s="2"/>
      <c r="EFJ60" s="2"/>
      <c r="EFK60" s="2"/>
      <c r="EFL60" s="2"/>
      <c r="EFM60" s="2"/>
      <c r="EFN60" s="2"/>
      <c r="EFO60" s="2"/>
      <c r="EFP60" s="2"/>
      <c r="EFQ60" s="2"/>
      <c r="EFR60" s="2"/>
      <c r="EFS60" s="2"/>
      <c r="EFT60" s="2"/>
      <c r="EFU60" s="2"/>
      <c r="EFV60" s="2"/>
      <c r="EFW60" s="2"/>
      <c r="EFX60" s="2"/>
      <c r="EFY60" s="2"/>
      <c r="EFZ60" s="2"/>
      <c r="EGA60" s="2"/>
      <c r="EGB60" s="2"/>
      <c r="EGC60" s="2"/>
      <c r="EGD60" s="2"/>
      <c r="EGE60" s="2"/>
      <c r="EGF60" s="2"/>
      <c r="EGG60" s="2"/>
      <c r="EGH60" s="2"/>
      <c r="EGI60" s="2"/>
      <c r="EGJ60" s="2"/>
      <c r="EGK60" s="2"/>
      <c r="EGL60" s="2"/>
      <c r="EGM60" s="2"/>
      <c r="EGN60" s="2"/>
      <c r="EGO60" s="2"/>
      <c r="EGP60" s="2"/>
      <c r="EGQ60" s="2"/>
      <c r="EGR60" s="2"/>
      <c r="EGS60" s="2"/>
      <c r="EGT60" s="2"/>
      <c r="EGU60" s="2"/>
      <c r="EGV60" s="2"/>
      <c r="EGW60" s="2"/>
      <c r="EGX60" s="2"/>
      <c r="EGY60" s="2"/>
      <c r="EGZ60" s="2"/>
      <c r="EHA60" s="2"/>
      <c r="EHB60" s="2"/>
      <c r="EHC60" s="2"/>
      <c r="EHD60" s="2"/>
      <c r="EHE60" s="2"/>
      <c r="EHF60" s="2"/>
      <c r="EHG60" s="2"/>
      <c r="EHH60" s="2"/>
      <c r="EHI60" s="2"/>
      <c r="EHJ60" s="2"/>
      <c r="EHK60" s="2"/>
      <c r="EHL60" s="2"/>
      <c r="EHM60" s="2"/>
      <c r="EHN60" s="2"/>
      <c r="EHO60" s="2"/>
      <c r="EHP60" s="2"/>
      <c r="EHQ60" s="2"/>
      <c r="EHR60" s="2"/>
      <c r="EHS60" s="2"/>
      <c r="EHT60" s="2"/>
      <c r="EHU60" s="2"/>
      <c r="EHV60" s="2"/>
      <c r="EHW60" s="2"/>
      <c r="EHX60" s="2"/>
      <c r="EHY60" s="2"/>
      <c r="EHZ60" s="2"/>
      <c r="EIA60" s="2"/>
      <c r="EIB60" s="2"/>
      <c r="EIC60" s="2"/>
      <c r="EID60" s="2"/>
      <c r="EIE60" s="2"/>
      <c r="EIF60" s="2"/>
      <c r="EIG60" s="2"/>
      <c r="EIH60" s="2"/>
      <c r="EII60" s="2"/>
      <c r="EIJ60" s="2"/>
      <c r="EIK60" s="2"/>
      <c r="EIL60" s="2"/>
      <c r="EIM60" s="2"/>
      <c r="EIN60" s="2"/>
      <c r="EIO60" s="2"/>
      <c r="EIP60" s="2"/>
      <c r="EIQ60" s="2"/>
      <c r="EIR60" s="2"/>
      <c r="EIS60" s="2"/>
      <c r="EIT60" s="2"/>
      <c r="EIU60" s="2"/>
      <c r="EIV60" s="2"/>
      <c r="EIW60" s="2"/>
      <c r="EIX60" s="2"/>
      <c r="EIY60" s="2"/>
      <c r="EIZ60" s="2"/>
      <c r="EJA60" s="2"/>
      <c r="EJB60" s="2"/>
      <c r="EJC60" s="2"/>
      <c r="EJD60" s="2"/>
      <c r="EJE60" s="2"/>
      <c r="EJF60" s="2"/>
      <c r="EJG60" s="2"/>
      <c r="EJH60" s="2"/>
      <c r="EJI60" s="2"/>
      <c r="EJJ60" s="2"/>
      <c r="EJK60" s="2"/>
      <c r="EJL60" s="2"/>
      <c r="EJM60" s="2"/>
      <c r="EJN60" s="2"/>
      <c r="EJO60" s="2"/>
      <c r="EJP60" s="2"/>
      <c r="EJQ60" s="2"/>
      <c r="EJR60" s="2"/>
      <c r="EJS60" s="2"/>
      <c r="EJT60" s="2"/>
      <c r="EJU60" s="2"/>
      <c r="EJV60" s="2"/>
      <c r="EJW60" s="2"/>
      <c r="EJX60" s="2"/>
      <c r="EJY60" s="2"/>
      <c r="EJZ60" s="2"/>
      <c r="EKA60" s="2"/>
      <c r="EKB60" s="2"/>
      <c r="EKC60" s="2"/>
      <c r="EKD60" s="2"/>
      <c r="EKE60" s="2"/>
      <c r="EKF60" s="2"/>
      <c r="EKG60" s="2"/>
      <c r="EKH60" s="2"/>
      <c r="EKI60" s="2"/>
      <c r="EKJ60" s="2"/>
      <c r="EKK60" s="2"/>
      <c r="EKL60" s="2"/>
      <c r="EKM60" s="2"/>
      <c r="EKN60" s="2"/>
      <c r="EKO60" s="2"/>
      <c r="EKP60" s="2"/>
      <c r="EKQ60" s="2"/>
      <c r="EKR60" s="2"/>
      <c r="EKS60" s="2"/>
      <c r="EKT60" s="2"/>
      <c r="EKU60" s="2"/>
      <c r="EKV60" s="2"/>
      <c r="EKW60" s="2"/>
      <c r="EKX60" s="2"/>
      <c r="EKY60" s="2"/>
      <c r="EKZ60" s="2"/>
      <c r="ELA60" s="2"/>
      <c r="ELB60" s="2"/>
      <c r="ELC60" s="2"/>
      <c r="ELD60" s="2"/>
      <c r="ELE60" s="2"/>
      <c r="ELF60" s="2"/>
      <c r="ELG60" s="2"/>
      <c r="ELH60" s="2"/>
      <c r="ELI60" s="2"/>
      <c r="ELJ60" s="2"/>
      <c r="ELK60" s="2"/>
      <c r="ELL60" s="2"/>
      <c r="ELM60" s="2"/>
      <c r="ELN60" s="2"/>
      <c r="ELO60" s="2"/>
      <c r="ELP60" s="2"/>
      <c r="ELQ60" s="2"/>
      <c r="ELR60" s="2"/>
      <c r="ELS60" s="2"/>
      <c r="ELT60" s="2"/>
      <c r="ELU60" s="2"/>
      <c r="ELV60" s="2"/>
      <c r="ELW60" s="2"/>
      <c r="ELX60" s="2"/>
      <c r="ELY60" s="2"/>
      <c r="ELZ60" s="2"/>
      <c r="EMA60" s="2"/>
      <c r="EMB60" s="2"/>
      <c r="EMC60" s="2"/>
      <c r="EMD60" s="2"/>
      <c r="EME60" s="2"/>
      <c r="EMF60" s="2"/>
      <c r="EMG60" s="2"/>
      <c r="EMH60" s="2"/>
      <c r="EMI60" s="2"/>
      <c r="EMJ60" s="2"/>
      <c r="EMK60" s="2"/>
      <c r="EML60" s="2"/>
      <c r="EMM60" s="2"/>
      <c r="EMN60" s="2"/>
      <c r="EMO60" s="2"/>
      <c r="EMP60" s="2"/>
      <c r="EMQ60" s="2"/>
      <c r="EMR60" s="2"/>
      <c r="EMS60" s="2"/>
      <c r="EMT60" s="2"/>
      <c r="EMU60" s="2"/>
      <c r="EMV60" s="2"/>
      <c r="EMW60" s="2"/>
      <c r="EMX60" s="2"/>
      <c r="EMY60" s="2"/>
      <c r="EMZ60" s="2"/>
      <c r="ENA60" s="2"/>
      <c r="ENB60" s="2"/>
      <c r="ENC60" s="2"/>
      <c r="END60" s="2"/>
      <c r="ENE60" s="2"/>
      <c r="ENF60" s="2"/>
      <c r="ENG60" s="2"/>
      <c r="ENH60" s="2"/>
      <c r="ENI60" s="2"/>
      <c r="ENJ60" s="2"/>
      <c r="ENK60" s="2"/>
      <c r="ENL60" s="2"/>
      <c r="ENM60" s="2"/>
      <c r="ENN60" s="2"/>
      <c r="ENO60" s="2"/>
      <c r="ENP60" s="2"/>
      <c r="ENQ60" s="2"/>
      <c r="ENR60" s="2"/>
      <c r="ENS60" s="2"/>
      <c r="ENT60" s="2"/>
      <c r="ENU60" s="2"/>
      <c r="ENV60" s="2"/>
      <c r="ENW60" s="2"/>
      <c r="ENX60" s="2"/>
      <c r="ENY60" s="2"/>
      <c r="ENZ60" s="2"/>
      <c r="EOA60" s="2"/>
      <c r="EOB60" s="2"/>
      <c r="EOC60" s="2"/>
      <c r="EOD60" s="2"/>
      <c r="EOE60" s="2"/>
      <c r="EOF60" s="2"/>
      <c r="EOG60" s="2"/>
      <c r="EOH60" s="2"/>
      <c r="EOI60" s="2"/>
      <c r="EOJ60" s="2"/>
      <c r="EOK60" s="2"/>
      <c r="EOL60" s="2"/>
      <c r="EOM60" s="2"/>
      <c r="EON60" s="2"/>
      <c r="EOO60" s="2"/>
      <c r="EOP60" s="2"/>
      <c r="EOQ60" s="2"/>
      <c r="EOR60" s="2"/>
      <c r="EOS60" s="2"/>
      <c r="EOT60" s="2"/>
      <c r="EOU60" s="2"/>
      <c r="EOV60" s="2"/>
      <c r="EOW60" s="2"/>
      <c r="EOX60" s="2"/>
      <c r="EOY60" s="2"/>
      <c r="EOZ60" s="2"/>
      <c r="EPA60" s="2"/>
      <c r="EPB60" s="2"/>
      <c r="EPC60" s="2"/>
      <c r="EPD60" s="2"/>
      <c r="EPE60" s="2"/>
      <c r="EPF60" s="2"/>
      <c r="EPG60" s="2"/>
      <c r="EPH60" s="2"/>
      <c r="EPI60" s="2"/>
      <c r="EPJ60" s="2"/>
      <c r="EPK60" s="2"/>
      <c r="EPL60" s="2"/>
      <c r="EPM60" s="2"/>
      <c r="EPN60" s="2"/>
      <c r="EPO60" s="2"/>
      <c r="EPP60" s="2"/>
      <c r="EPQ60" s="2"/>
      <c r="EPR60" s="2"/>
      <c r="EPS60" s="2"/>
      <c r="EPT60" s="2"/>
      <c r="EPU60" s="2"/>
      <c r="EPV60" s="2"/>
      <c r="EPW60" s="2"/>
      <c r="EPX60" s="2"/>
      <c r="EPY60" s="2"/>
      <c r="EPZ60" s="2"/>
      <c r="EQA60" s="2"/>
      <c r="EQB60" s="2"/>
      <c r="EQC60" s="2"/>
      <c r="EQD60" s="2"/>
      <c r="EQE60" s="2"/>
      <c r="EQF60" s="2"/>
      <c r="EQG60" s="2"/>
      <c r="EQH60" s="2"/>
      <c r="EQI60" s="2"/>
      <c r="EQJ60" s="2"/>
      <c r="EQK60" s="2"/>
      <c r="EQL60" s="2"/>
      <c r="EQM60" s="2"/>
      <c r="EQN60" s="2"/>
      <c r="EQO60" s="2"/>
      <c r="EQP60" s="2"/>
      <c r="EQQ60" s="2"/>
      <c r="EQR60" s="2"/>
      <c r="EQS60" s="2"/>
      <c r="EQT60" s="2"/>
      <c r="EQU60" s="2"/>
      <c r="EQV60" s="2"/>
      <c r="EQW60" s="2"/>
      <c r="EQX60" s="2"/>
      <c r="EQY60" s="2"/>
      <c r="EQZ60" s="2"/>
      <c r="ERA60" s="2"/>
      <c r="ERB60" s="2"/>
      <c r="ERC60" s="2"/>
      <c r="ERD60" s="2"/>
      <c r="ERE60" s="2"/>
      <c r="ERF60" s="2"/>
      <c r="ERG60" s="2"/>
      <c r="ERH60" s="2"/>
      <c r="ERI60" s="2"/>
      <c r="ERJ60" s="2"/>
      <c r="ERK60" s="2"/>
      <c r="ERL60" s="2"/>
      <c r="ERM60" s="2"/>
      <c r="ERN60" s="2"/>
      <c r="ERO60" s="2"/>
      <c r="ERP60" s="2"/>
      <c r="ERQ60" s="2"/>
      <c r="ERR60" s="2"/>
      <c r="ERS60" s="2"/>
      <c r="ERT60" s="2"/>
      <c r="ERU60" s="2"/>
      <c r="ERV60" s="2"/>
      <c r="ERW60" s="2"/>
      <c r="ERX60" s="2"/>
      <c r="ERY60" s="2"/>
      <c r="ERZ60" s="2"/>
      <c r="ESA60" s="2"/>
      <c r="ESB60" s="2"/>
      <c r="ESC60" s="2"/>
      <c r="ESD60" s="2"/>
      <c r="ESE60" s="2"/>
      <c r="ESF60" s="2"/>
      <c r="ESG60" s="2"/>
      <c r="ESH60" s="2"/>
      <c r="ESI60" s="2"/>
      <c r="ESJ60" s="2"/>
      <c r="ESK60" s="2"/>
      <c r="ESL60" s="2"/>
      <c r="ESM60" s="2"/>
      <c r="ESN60" s="2"/>
      <c r="ESO60" s="2"/>
      <c r="ESP60" s="2"/>
      <c r="ESQ60" s="2"/>
      <c r="ESR60" s="2"/>
      <c r="ESS60" s="2"/>
      <c r="EST60" s="2"/>
      <c r="ESU60" s="2"/>
      <c r="ESV60" s="2"/>
      <c r="ESW60" s="2"/>
      <c r="ESX60" s="2"/>
      <c r="ESY60" s="2"/>
      <c r="ESZ60" s="2"/>
      <c r="ETA60" s="2"/>
      <c r="ETB60" s="2"/>
      <c r="ETC60" s="2"/>
      <c r="ETD60" s="2"/>
      <c r="ETE60" s="2"/>
      <c r="ETF60" s="2"/>
      <c r="ETG60" s="2"/>
      <c r="ETH60" s="2"/>
      <c r="ETI60" s="2"/>
      <c r="ETJ60" s="2"/>
      <c r="ETK60" s="2"/>
      <c r="ETL60" s="2"/>
      <c r="ETM60" s="2"/>
      <c r="ETN60" s="2"/>
      <c r="ETO60" s="2"/>
      <c r="ETP60" s="2"/>
      <c r="ETQ60" s="2"/>
      <c r="ETR60" s="2"/>
      <c r="ETS60" s="2"/>
      <c r="ETT60" s="2"/>
      <c r="ETU60" s="2"/>
      <c r="ETV60" s="2"/>
      <c r="ETW60" s="2"/>
      <c r="ETX60" s="2"/>
      <c r="ETY60" s="2"/>
      <c r="ETZ60" s="2"/>
      <c r="EUA60" s="2"/>
      <c r="EUB60" s="2"/>
      <c r="EUC60" s="2"/>
      <c r="EUD60" s="2"/>
      <c r="EUE60" s="2"/>
      <c r="EUF60" s="2"/>
      <c r="EUG60" s="2"/>
      <c r="EUH60" s="2"/>
      <c r="EUI60" s="2"/>
      <c r="EUJ60" s="2"/>
      <c r="EUK60" s="2"/>
      <c r="EUL60" s="2"/>
      <c r="EUM60" s="2"/>
      <c r="EUN60" s="2"/>
      <c r="EUO60" s="2"/>
      <c r="EUP60" s="2"/>
      <c r="EUQ60" s="2"/>
      <c r="EUR60" s="2"/>
      <c r="EUS60" s="2"/>
      <c r="EUT60" s="2"/>
      <c r="EUU60" s="2"/>
      <c r="EUV60" s="2"/>
      <c r="EUW60" s="2"/>
      <c r="EUX60" s="2"/>
      <c r="EUY60" s="2"/>
      <c r="EUZ60" s="2"/>
      <c r="EVA60" s="2"/>
      <c r="EVB60" s="2"/>
      <c r="EVC60" s="2"/>
      <c r="EVD60" s="2"/>
      <c r="EVE60" s="2"/>
      <c r="EVF60" s="2"/>
      <c r="EVG60" s="2"/>
      <c r="EVH60" s="2"/>
      <c r="EVI60" s="2"/>
      <c r="EVJ60" s="2"/>
      <c r="EVK60" s="2"/>
      <c r="EVL60" s="2"/>
      <c r="EVM60" s="2"/>
      <c r="EVN60" s="2"/>
      <c r="EVO60" s="2"/>
      <c r="EVP60" s="2"/>
      <c r="EVQ60" s="2"/>
      <c r="EVR60" s="2"/>
      <c r="EVS60" s="2"/>
      <c r="EVT60" s="2"/>
      <c r="EVU60" s="2"/>
      <c r="EVV60" s="2"/>
      <c r="EVW60" s="2"/>
      <c r="EVX60" s="2"/>
      <c r="EVY60" s="2"/>
      <c r="EVZ60" s="2"/>
      <c r="EWA60" s="2"/>
      <c r="EWB60" s="2"/>
      <c r="EWC60" s="2"/>
      <c r="EWD60" s="2"/>
      <c r="EWE60" s="2"/>
      <c r="EWF60" s="2"/>
      <c r="EWG60" s="2"/>
      <c r="EWH60" s="2"/>
      <c r="EWI60" s="2"/>
      <c r="EWJ60" s="2"/>
      <c r="EWK60" s="2"/>
      <c r="EWL60" s="2"/>
      <c r="EWM60" s="2"/>
      <c r="EWN60" s="2"/>
      <c r="EWO60" s="2"/>
      <c r="EWP60" s="2"/>
      <c r="EWQ60" s="2"/>
      <c r="EWR60" s="2"/>
      <c r="EWS60" s="2"/>
      <c r="EWT60" s="2"/>
      <c r="EWU60" s="2"/>
      <c r="EWV60" s="2"/>
      <c r="EWW60" s="2"/>
      <c r="EWX60" s="2"/>
      <c r="EWY60" s="2"/>
      <c r="EWZ60" s="2"/>
      <c r="EXA60" s="2"/>
      <c r="EXB60" s="2"/>
      <c r="EXC60" s="2"/>
      <c r="EXD60" s="2"/>
      <c r="EXE60" s="2"/>
      <c r="EXF60" s="2"/>
      <c r="EXG60" s="2"/>
      <c r="EXH60" s="2"/>
      <c r="EXI60" s="2"/>
      <c r="EXJ60" s="2"/>
      <c r="EXK60" s="2"/>
      <c r="EXL60" s="2"/>
      <c r="EXM60" s="2"/>
      <c r="EXN60" s="2"/>
      <c r="EXO60" s="2"/>
      <c r="EXP60" s="2"/>
      <c r="EXQ60" s="2"/>
      <c r="EXR60" s="2"/>
      <c r="EXS60" s="2"/>
      <c r="EXT60" s="2"/>
      <c r="EXU60" s="2"/>
      <c r="EXV60" s="2"/>
      <c r="EXW60" s="2"/>
      <c r="EXX60" s="2"/>
      <c r="EXY60" s="2"/>
      <c r="EXZ60" s="2"/>
      <c r="EYA60" s="2"/>
      <c r="EYB60" s="2"/>
      <c r="EYC60" s="2"/>
      <c r="EYD60" s="2"/>
      <c r="EYE60" s="2"/>
      <c r="EYF60" s="2"/>
      <c r="EYG60" s="2"/>
      <c r="EYH60" s="2"/>
      <c r="EYI60" s="2"/>
      <c r="EYJ60" s="2"/>
      <c r="EYK60" s="2"/>
      <c r="EYL60" s="2"/>
      <c r="EYM60" s="2"/>
      <c r="EYN60" s="2"/>
      <c r="EYO60" s="2"/>
      <c r="EYP60" s="2"/>
      <c r="EYQ60" s="2"/>
      <c r="EYR60" s="2"/>
      <c r="EYS60" s="2"/>
      <c r="EYT60" s="2"/>
      <c r="EYU60" s="2"/>
      <c r="EYV60" s="2"/>
      <c r="EYW60" s="2"/>
      <c r="EYX60" s="2"/>
      <c r="EYY60" s="2"/>
      <c r="EYZ60" s="2"/>
      <c r="EZA60" s="2"/>
      <c r="EZB60" s="2"/>
      <c r="EZC60" s="2"/>
      <c r="EZD60" s="2"/>
      <c r="EZE60" s="2"/>
      <c r="EZF60" s="2"/>
      <c r="EZG60" s="2"/>
      <c r="EZH60" s="2"/>
      <c r="EZI60" s="2"/>
      <c r="EZJ60" s="2"/>
      <c r="EZK60" s="2"/>
      <c r="EZL60" s="2"/>
      <c r="EZM60" s="2"/>
      <c r="EZN60" s="2"/>
      <c r="EZO60" s="2"/>
      <c r="EZP60" s="2"/>
      <c r="EZQ60" s="2"/>
      <c r="EZR60" s="2"/>
      <c r="EZS60" s="2"/>
      <c r="EZT60" s="2"/>
      <c r="EZU60" s="2"/>
      <c r="EZV60" s="2"/>
      <c r="EZW60" s="2"/>
      <c r="EZX60" s="2"/>
      <c r="EZY60" s="2"/>
      <c r="EZZ60" s="2"/>
      <c r="FAA60" s="2"/>
      <c r="FAB60" s="2"/>
      <c r="FAC60" s="2"/>
      <c r="FAD60" s="2"/>
      <c r="FAE60" s="2"/>
      <c r="FAF60" s="2"/>
      <c r="FAG60" s="2"/>
      <c r="FAH60" s="2"/>
      <c r="FAI60" s="2"/>
      <c r="FAJ60" s="2"/>
      <c r="FAK60" s="2"/>
      <c r="FAL60" s="2"/>
      <c r="FAM60" s="2"/>
      <c r="FAN60" s="2"/>
      <c r="FAO60" s="2"/>
      <c r="FAP60" s="2"/>
      <c r="FAQ60" s="2"/>
      <c r="FAR60" s="2"/>
      <c r="FAS60" s="2"/>
      <c r="FAT60" s="2"/>
      <c r="FAU60" s="2"/>
      <c r="FAV60" s="2"/>
      <c r="FAW60" s="2"/>
      <c r="FAX60" s="2"/>
      <c r="FAY60" s="2"/>
      <c r="FAZ60" s="2"/>
      <c r="FBA60" s="2"/>
      <c r="FBB60" s="2"/>
      <c r="FBC60" s="2"/>
      <c r="FBD60" s="2"/>
      <c r="FBE60" s="2"/>
      <c r="FBF60" s="2"/>
      <c r="FBG60" s="2"/>
      <c r="FBH60" s="2"/>
      <c r="FBI60" s="2"/>
      <c r="FBJ60" s="2"/>
      <c r="FBK60" s="2"/>
      <c r="FBL60" s="2"/>
      <c r="FBM60" s="2"/>
      <c r="FBN60" s="2"/>
      <c r="FBO60" s="2"/>
      <c r="FBP60" s="2"/>
      <c r="FBQ60" s="2"/>
      <c r="FBR60" s="2"/>
      <c r="FBS60" s="2"/>
      <c r="FBT60" s="2"/>
      <c r="FBU60" s="2"/>
      <c r="FBV60" s="2"/>
      <c r="FBW60" s="2"/>
      <c r="FBX60" s="2"/>
      <c r="FBY60" s="2"/>
      <c r="FBZ60" s="2"/>
      <c r="FCA60" s="2"/>
      <c r="FCB60" s="2"/>
      <c r="FCC60" s="2"/>
      <c r="FCD60" s="2"/>
      <c r="FCE60" s="2"/>
      <c r="FCF60" s="2"/>
      <c r="FCG60" s="2"/>
      <c r="FCH60" s="2"/>
      <c r="FCI60" s="2"/>
      <c r="FCJ60" s="2"/>
      <c r="FCK60" s="2"/>
      <c r="FCL60" s="2"/>
      <c r="FCM60" s="2"/>
      <c r="FCN60" s="2"/>
      <c r="FCO60" s="2"/>
      <c r="FCP60" s="2"/>
      <c r="FCQ60" s="2"/>
      <c r="FCR60" s="2"/>
      <c r="FCS60" s="2"/>
      <c r="FCT60" s="2"/>
      <c r="FCU60" s="2"/>
      <c r="FCV60" s="2"/>
      <c r="FCW60" s="2"/>
      <c r="FCX60" s="2"/>
      <c r="FCY60" s="2"/>
      <c r="FCZ60" s="2"/>
      <c r="FDA60" s="2"/>
      <c r="FDB60" s="2"/>
      <c r="FDC60" s="2"/>
      <c r="FDD60" s="2"/>
      <c r="FDE60" s="2"/>
      <c r="FDF60" s="2"/>
      <c r="FDG60" s="2"/>
      <c r="FDH60" s="2"/>
      <c r="FDI60" s="2"/>
      <c r="FDJ60" s="2"/>
      <c r="FDK60" s="2"/>
      <c r="FDL60" s="2"/>
      <c r="FDM60" s="2"/>
      <c r="FDN60" s="2"/>
      <c r="FDO60" s="2"/>
      <c r="FDP60" s="2"/>
      <c r="FDQ60" s="2"/>
      <c r="FDR60" s="2"/>
      <c r="FDS60" s="2"/>
      <c r="FDT60" s="2"/>
      <c r="FDU60" s="2"/>
      <c r="FDV60" s="2"/>
      <c r="FDW60" s="2"/>
      <c r="FDX60" s="2"/>
      <c r="FDY60" s="2"/>
      <c r="FDZ60" s="2"/>
      <c r="FEA60" s="2"/>
      <c r="FEB60" s="2"/>
      <c r="FEC60" s="2"/>
      <c r="FED60" s="2"/>
      <c r="FEE60" s="2"/>
      <c r="FEF60" s="2"/>
      <c r="FEG60" s="2"/>
      <c r="FEH60" s="2"/>
      <c r="FEI60" s="2"/>
      <c r="FEJ60" s="2"/>
      <c r="FEK60" s="2"/>
      <c r="FEL60" s="2"/>
      <c r="FEM60" s="2"/>
      <c r="FEN60" s="2"/>
      <c r="FEO60" s="2"/>
      <c r="FEP60" s="2"/>
      <c r="FEQ60" s="2"/>
      <c r="FER60" s="2"/>
      <c r="FES60" s="2"/>
      <c r="FET60" s="2"/>
      <c r="FEU60" s="2"/>
      <c r="FEV60" s="2"/>
      <c r="FEW60" s="2"/>
      <c r="FEX60" s="2"/>
      <c r="FEY60" s="2"/>
      <c r="FEZ60" s="2"/>
      <c r="FFA60" s="2"/>
      <c r="FFB60" s="2"/>
      <c r="FFC60" s="2"/>
      <c r="FFD60" s="2"/>
      <c r="FFE60" s="2"/>
      <c r="FFF60" s="2"/>
      <c r="FFG60" s="2"/>
      <c r="FFH60" s="2"/>
      <c r="FFI60" s="2"/>
      <c r="FFJ60" s="2"/>
      <c r="FFK60" s="2"/>
      <c r="FFL60" s="2"/>
      <c r="FFM60" s="2"/>
      <c r="FFN60" s="2"/>
      <c r="FFO60" s="2"/>
      <c r="FFP60" s="2"/>
      <c r="FFQ60" s="2"/>
      <c r="FFR60" s="2"/>
      <c r="FFS60" s="2"/>
      <c r="FFT60" s="2"/>
      <c r="FFU60" s="2"/>
      <c r="FFV60" s="2"/>
      <c r="FFW60" s="2"/>
      <c r="FFX60" s="2"/>
      <c r="FFY60" s="2"/>
      <c r="FFZ60" s="2"/>
      <c r="FGA60" s="2"/>
      <c r="FGB60" s="2"/>
      <c r="FGC60" s="2"/>
      <c r="FGD60" s="2"/>
      <c r="FGE60" s="2"/>
      <c r="FGF60" s="2"/>
      <c r="FGG60" s="2"/>
      <c r="FGH60" s="2"/>
      <c r="FGI60" s="2"/>
      <c r="FGJ60" s="2"/>
      <c r="FGK60" s="2"/>
      <c r="FGL60" s="2"/>
      <c r="FGM60" s="2"/>
      <c r="FGN60" s="2"/>
      <c r="FGO60" s="2"/>
      <c r="FGP60" s="2"/>
      <c r="FGQ60" s="2"/>
      <c r="FGR60" s="2"/>
      <c r="FGS60" s="2"/>
      <c r="FGT60" s="2"/>
      <c r="FGU60" s="2"/>
      <c r="FGV60" s="2"/>
      <c r="FGW60" s="2"/>
      <c r="FGX60" s="2"/>
      <c r="FGY60" s="2"/>
      <c r="FGZ60" s="2"/>
      <c r="FHA60" s="2"/>
      <c r="FHB60" s="2"/>
      <c r="FHC60" s="2"/>
      <c r="FHD60" s="2"/>
      <c r="FHE60" s="2"/>
      <c r="FHF60" s="2"/>
      <c r="FHG60" s="2"/>
      <c r="FHH60" s="2"/>
      <c r="FHI60" s="2"/>
      <c r="FHJ60" s="2"/>
      <c r="FHK60" s="2"/>
      <c r="FHL60" s="2"/>
      <c r="FHM60" s="2"/>
      <c r="FHN60" s="2"/>
      <c r="FHO60" s="2"/>
      <c r="FHP60" s="2"/>
      <c r="FHQ60" s="2"/>
      <c r="FHR60" s="2"/>
      <c r="FHS60" s="2"/>
      <c r="FHT60" s="2"/>
      <c r="FHU60" s="2"/>
      <c r="FHV60" s="2"/>
      <c r="FHW60" s="2"/>
      <c r="FHX60" s="2"/>
      <c r="FHY60" s="2"/>
      <c r="FHZ60" s="2"/>
      <c r="FIA60" s="2"/>
      <c r="FIB60" s="2"/>
      <c r="FIC60" s="2"/>
      <c r="FID60" s="2"/>
      <c r="FIE60" s="2"/>
      <c r="FIF60" s="2"/>
      <c r="FIG60" s="2"/>
      <c r="FIH60" s="2"/>
      <c r="FII60" s="2"/>
      <c r="FIJ60" s="2"/>
      <c r="FIK60" s="2"/>
      <c r="FIL60" s="2"/>
      <c r="FIM60" s="2"/>
      <c r="FIN60" s="2"/>
      <c r="FIO60" s="2"/>
      <c r="FIP60" s="2"/>
      <c r="FIQ60" s="2"/>
      <c r="FIR60" s="2"/>
      <c r="FIS60" s="2"/>
      <c r="FIT60" s="2"/>
      <c r="FIU60" s="2"/>
      <c r="FIV60" s="2"/>
      <c r="FIW60" s="2"/>
      <c r="FIX60" s="2"/>
      <c r="FIY60" s="2"/>
      <c r="FIZ60" s="2"/>
      <c r="FJA60" s="2"/>
      <c r="FJB60" s="2"/>
      <c r="FJC60" s="2"/>
      <c r="FJD60" s="2"/>
      <c r="FJE60" s="2"/>
      <c r="FJF60" s="2"/>
      <c r="FJG60" s="2"/>
      <c r="FJH60" s="2"/>
      <c r="FJI60" s="2"/>
      <c r="FJJ60" s="2"/>
      <c r="FJK60" s="2"/>
      <c r="FJL60" s="2"/>
      <c r="FJM60" s="2"/>
      <c r="FJN60" s="2"/>
      <c r="FJO60" s="2"/>
      <c r="FJP60" s="2"/>
      <c r="FJQ60" s="2"/>
      <c r="FJR60" s="2"/>
      <c r="FJS60" s="2"/>
      <c r="FJT60" s="2"/>
      <c r="FJU60" s="2"/>
      <c r="FJV60" s="2"/>
      <c r="FJW60" s="2"/>
      <c r="FJX60" s="2"/>
      <c r="FJY60" s="2"/>
      <c r="FJZ60" s="2"/>
      <c r="FKA60" s="2"/>
      <c r="FKB60" s="2"/>
      <c r="FKC60" s="2"/>
      <c r="FKD60" s="2"/>
      <c r="FKE60" s="2"/>
      <c r="FKF60" s="2"/>
      <c r="FKG60" s="2"/>
      <c r="FKH60" s="2"/>
      <c r="FKI60" s="2"/>
      <c r="FKJ60" s="2"/>
      <c r="FKK60" s="2"/>
      <c r="FKL60" s="2"/>
      <c r="FKM60" s="2"/>
      <c r="FKN60" s="2"/>
      <c r="FKO60" s="2"/>
      <c r="FKP60" s="2"/>
      <c r="FKQ60" s="2"/>
      <c r="FKR60" s="2"/>
      <c r="FKS60" s="2"/>
      <c r="FKT60" s="2"/>
      <c r="FKU60" s="2"/>
      <c r="FKV60" s="2"/>
      <c r="FKW60" s="2"/>
      <c r="FKX60" s="2"/>
      <c r="FKY60" s="2"/>
      <c r="FKZ60" s="2"/>
      <c r="FLA60" s="2"/>
      <c r="FLB60" s="2"/>
      <c r="FLC60" s="2"/>
      <c r="FLD60" s="2"/>
      <c r="FLE60" s="2"/>
      <c r="FLF60" s="2"/>
      <c r="FLG60" s="2"/>
      <c r="FLH60" s="2"/>
      <c r="FLI60" s="2"/>
      <c r="FLJ60" s="2"/>
      <c r="FLK60" s="2"/>
      <c r="FLL60" s="2"/>
      <c r="FLM60" s="2"/>
      <c r="FLN60" s="2"/>
      <c r="FLO60" s="2"/>
      <c r="FLP60" s="2"/>
      <c r="FLQ60" s="2"/>
      <c r="FLR60" s="2"/>
      <c r="FLS60" s="2"/>
      <c r="FLT60" s="2"/>
      <c r="FLU60" s="2"/>
      <c r="FLV60" s="2"/>
      <c r="FLW60" s="2"/>
      <c r="FLX60" s="2"/>
      <c r="FLY60" s="2"/>
      <c r="FLZ60" s="2"/>
      <c r="FMA60" s="2"/>
      <c r="FMB60" s="2"/>
      <c r="FMC60" s="2"/>
      <c r="FMD60" s="2"/>
      <c r="FME60" s="2"/>
      <c r="FMF60" s="2"/>
      <c r="FMG60" s="2"/>
      <c r="FMH60" s="2"/>
      <c r="FMI60" s="2"/>
      <c r="FMJ60" s="2"/>
      <c r="FMK60" s="2"/>
      <c r="FML60" s="2"/>
      <c r="FMM60" s="2"/>
      <c r="FMN60" s="2"/>
      <c r="FMO60" s="2"/>
      <c r="FMP60" s="2"/>
      <c r="FMQ60" s="2"/>
      <c r="FMR60" s="2"/>
      <c r="FMS60" s="2"/>
      <c r="FMT60" s="2"/>
      <c r="FMU60" s="2"/>
      <c r="FMV60" s="2"/>
      <c r="FMW60" s="2"/>
      <c r="FMX60" s="2"/>
      <c r="FMY60" s="2"/>
      <c r="FMZ60" s="2"/>
      <c r="FNA60" s="2"/>
      <c r="FNB60" s="2"/>
      <c r="FNC60" s="2"/>
      <c r="FND60" s="2"/>
      <c r="FNE60" s="2"/>
      <c r="FNF60" s="2"/>
      <c r="FNG60" s="2"/>
      <c r="FNH60" s="2"/>
      <c r="FNI60" s="2"/>
      <c r="FNJ60" s="2"/>
      <c r="FNK60" s="2"/>
      <c r="FNL60" s="2"/>
      <c r="FNM60" s="2"/>
      <c r="FNN60" s="2"/>
      <c r="FNO60" s="2"/>
      <c r="FNP60" s="2"/>
      <c r="FNQ60" s="2"/>
      <c r="FNR60" s="2"/>
      <c r="FNS60" s="2"/>
      <c r="FNT60" s="2"/>
      <c r="FNU60" s="2"/>
      <c r="FNV60" s="2"/>
      <c r="FNW60" s="2"/>
      <c r="FNX60" s="2"/>
      <c r="FNY60" s="2"/>
      <c r="FNZ60" s="2"/>
      <c r="FOA60" s="2"/>
      <c r="FOB60" s="2"/>
      <c r="FOC60" s="2"/>
      <c r="FOD60" s="2"/>
      <c r="FOE60" s="2"/>
      <c r="FOF60" s="2"/>
      <c r="FOG60" s="2"/>
      <c r="FOH60" s="2"/>
      <c r="FOI60" s="2"/>
      <c r="FOJ60" s="2"/>
      <c r="FOK60" s="2"/>
      <c r="FOL60" s="2"/>
      <c r="FOM60" s="2"/>
      <c r="FON60" s="2"/>
      <c r="FOO60" s="2"/>
      <c r="FOP60" s="2"/>
      <c r="FOQ60" s="2"/>
      <c r="FOR60" s="2"/>
      <c r="FOS60" s="2"/>
      <c r="FOT60" s="2"/>
      <c r="FOU60" s="2"/>
      <c r="FOV60" s="2"/>
      <c r="FOW60" s="2"/>
      <c r="FOX60" s="2"/>
      <c r="FOY60" s="2"/>
      <c r="FOZ60" s="2"/>
      <c r="FPA60" s="2"/>
      <c r="FPB60" s="2"/>
      <c r="FPC60" s="2"/>
      <c r="FPD60" s="2"/>
      <c r="FPE60" s="2"/>
      <c r="FPF60" s="2"/>
      <c r="FPG60" s="2"/>
      <c r="FPH60" s="2"/>
      <c r="FPI60" s="2"/>
      <c r="FPJ60" s="2"/>
      <c r="FPK60" s="2"/>
      <c r="FPL60" s="2"/>
      <c r="FPM60" s="2"/>
      <c r="FPN60" s="2"/>
      <c r="FPO60" s="2"/>
      <c r="FPP60" s="2"/>
      <c r="FPQ60" s="2"/>
      <c r="FPR60" s="2"/>
      <c r="FPS60" s="2"/>
      <c r="FPT60" s="2"/>
      <c r="FPU60" s="2"/>
      <c r="FPV60" s="2"/>
      <c r="FPW60" s="2"/>
      <c r="FPX60" s="2"/>
      <c r="FPY60" s="2"/>
      <c r="FPZ60" s="2"/>
      <c r="FQA60" s="2"/>
      <c r="FQB60" s="2"/>
      <c r="FQC60" s="2"/>
      <c r="FQD60" s="2"/>
      <c r="FQE60" s="2"/>
      <c r="FQF60" s="2"/>
      <c r="FQG60" s="2"/>
      <c r="FQH60" s="2"/>
      <c r="FQI60" s="2"/>
      <c r="FQJ60" s="2"/>
      <c r="FQK60" s="2"/>
      <c r="FQL60" s="2"/>
      <c r="FQM60" s="2"/>
      <c r="FQN60" s="2"/>
      <c r="FQO60" s="2"/>
      <c r="FQP60" s="2"/>
      <c r="FQQ60" s="2"/>
      <c r="FQR60" s="2"/>
      <c r="FQS60" s="2"/>
      <c r="FQT60" s="2"/>
      <c r="FQU60" s="2"/>
      <c r="FQV60" s="2"/>
      <c r="FQW60" s="2"/>
      <c r="FQX60" s="2"/>
      <c r="FQY60" s="2"/>
      <c r="FQZ60" s="2"/>
      <c r="FRA60" s="2"/>
      <c r="FRB60" s="2"/>
      <c r="FRC60" s="2"/>
      <c r="FRD60" s="2"/>
      <c r="FRE60" s="2"/>
      <c r="FRF60" s="2"/>
      <c r="FRG60" s="2"/>
      <c r="FRH60" s="2"/>
      <c r="FRI60" s="2"/>
      <c r="FRJ60" s="2"/>
      <c r="FRK60" s="2"/>
      <c r="FRL60" s="2"/>
      <c r="FRM60" s="2"/>
      <c r="FRN60" s="2"/>
      <c r="FRO60" s="2"/>
      <c r="FRP60" s="2"/>
      <c r="FRQ60" s="2"/>
      <c r="FRR60" s="2"/>
      <c r="FRS60" s="2"/>
      <c r="FRT60" s="2"/>
      <c r="FRU60" s="2"/>
      <c r="FRV60" s="2"/>
      <c r="FRW60" s="2"/>
      <c r="FRX60" s="2"/>
      <c r="FRY60" s="2"/>
      <c r="FRZ60" s="2"/>
      <c r="FSA60" s="2"/>
      <c r="FSB60" s="2"/>
      <c r="FSC60" s="2"/>
      <c r="FSD60" s="2"/>
      <c r="FSE60" s="2"/>
      <c r="FSF60" s="2"/>
      <c r="FSG60" s="2"/>
      <c r="FSH60" s="2"/>
      <c r="FSI60" s="2"/>
      <c r="FSJ60" s="2"/>
      <c r="FSK60" s="2"/>
      <c r="FSL60" s="2"/>
      <c r="FSM60" s="2"/>
      <c r="FSN60" s="2"/>
      <c r="FSO60" s="2"/>
      <c r="FSP60" s="2"/>
      <c r="FSQ60" s="2"/>
      <c r="FSR60" s="2"/>
      <c r="FSS60" s="2"/>
      <c r="FST60" s="2"/>
      <c r="FSU60" s="2"/>
      <c r="FSV60" s="2"/>
      <c r="FSW60" s="2"/>
      <c r="FSX60" s="2"/>
      <c r="FSY60" s="2"/>
      <c r="FSZ60" s="2"/>
      <c r="FTA60" s="2"/>
      <c r="FTB60" s="2"/>
      <c r="FTC60" s="2"/>
      <c r="FTD60" s="2"/>
      <c r="FTE60" s="2"/>
      <c r="FTF60" s="2"/>
      <c r="FTG60" s="2"/>
      <c r="FTH60" s="2"/>
      <c r="FTI60" s="2"/>
      <c r="FTJ60" s="2"/>
      <c r="FTK60" s="2"/>
      <c r="FTL60" s="2"/>
      <c r="FTM60" s="2"/>
      <c r="FTN60" s="2"/>
      <c r="FTO60" s="2"/>
      <c r="FTP60" s="2"/>
      <c r="FTQ60" s="2"/>
      <c r="FTR60" s="2"/>
      <c r="FTS60" s="2"/>
      <c r="FTT60" s="2"/>
      <c r="FTU60" s="2"/>
      <c r="FTV60" s="2"/>
      <c r="FTW60" s="2"/>
      <c r="FTX60" s="2"/>
      <c r="FTY60" s="2"/>
      <c r="FTZ60" s="2"/>
      <c r="FUA60" s="2"/>
      <c r="FUB60" s="2"/>
      <c r="FUC60" s="2"/>
      <c r="FUD60" s="2"/>
      <c r="FUE60" s="2"/>
      <c r="FUF60" s="2"/>
      <c r="FUG60" s="2"/>
      <c r="FUH60" s="2"/>
      <c r="FUI60" s="2"/>
      <c r="FUJ60" s="2"/>
      <c r="FUK60" s="2"/>
      <c r="FUL60" s="2"/>
      <c r="FUM60" s="2"/>
      <c r="FUN60" s="2"/>
      <c r="FUO60" s="2"/>
      <c r="FUP60" s="2"/>
      <c r="FUQ60" s="2"/>
      <c r="FUR60" s="2"/>
      <c r="FUS60" s="2"/>
      <c r="FUT60" s="2"/>
      <c r="FUU60" s="2"/>
      <c r="FUV60" s="2"/>
      <c r="FUW60" s="2"/>
      <c r="FUX60" s="2"/>
      <c r="FUY60" s="2"/>
      <c r="FUZ60" s="2"/>
      <c r="FVA60" s="2"/>
      <c r="FVB60" s="2"/>
      <c r="FVC60" s="2"/>
      <c r="FVD60" s="2"/>
      <c r="FVE60" s="2"/>
      <c r="FVF60" s="2"/>
      <c r="FVG60" s="2"/>
      <c r="FVH60" s="2"/>
      <c r="FVI60" s="2"/>
      <c r="FVJ60" s="2"/>
      <c r="FVK60" s="2"/>
      <c r="FVL60" s="2"/>
      <c r="FVM60" s="2"/>
      <c r="FVN60" s="2"/>
      <c r="FVO60" s="2"/>
      <c r="FVP60" s="2"/>
      <c r="FVQ60" s="2"/>
      <c r="FVR60" s="2"/>
      <c r="FVS60" s="2"/>
      <c r="FVT60" s="2"/>
      <c r="FVU60" s="2"/>
      <c r="FVV60" s="2"/>
      <c r="FVW60" s="2"/>
      <c r="FVX60" s="2"/>
      <c r="FVY60" s="2"/>
      <c r="FVZ60" s="2"/>
      <c r="FWA60" s="2"/>
      <c r="FWB60" s="2"/>
      <c r="FWC60" s="2"/>
      <c r="FWD60" s="2"/>
      <c r="FWE60" s="2"/>
      <c r="FWF60" s="2"/>
      <c r="FWG60" s="2"/>
      <c r="FWH60" s="2"/>
      <c r="FWI60" s="2"/>
      <c r="FWJ60" s="2"/>
      <c r="FWK60" s="2"/>
      <c r="FWL60" s="2"/>
      <c r="FWM60" s="2"/>
      <c r="FWN60" s="2"/>
      <c r="FWO60" s="2"/>
      <c r="FWP60" s="2"/>
      <c r="FWQ60" s="2"/>
      <c r="FWR60" s="2"/>
      <c r="FWS60" s="2"/>
      <c r="FWT60" s="2"/>
      <c r="FWU60" s="2"/>
      <c r="FWV60" s="2"/>
      <c r="FWW60" s="2"/>
      <c r="FWX60" s="2"/>
      <c r="FWY60" s="2"/>
      <c r="FWZ60" s="2"/>
      <c r="FXA60" s="2"/>
      <c r="FXB60" s="2"/>
      <c r="FXC60" s="2"/>
      <c r="FXD60" s="2"/>
      <c r="FXE60" s="2"/>
      <c r="FXF60" s="2"/>
      <c r="FXG60" s="2"/>
      <c r="FXH60" s="2"/>
      <c r="FXI60" s="2"/>
      <c r="FXJ60" s="2"/>
      <c r="FXK60" s="2"/>
      <c r="FXL60" s="2"/>
      <c r="FXM60" s="2"/>
      <c r="FXN60" s="2"/>
      <c r="FXO60" s="2"/>
      <c r="FXP60" s="2"/>
      <c r="FXQ60" s="2"/>
      <c r="FXR60" s="2"/>
      <c r="FXS60" s="2"/>
      <c r="FXT60" s="2"/>
      <c r="FXU60" s="2"/>
      <c r="FXV60" s="2"/>
      <c r="FXW60" s="2"/>
      <c r="FXX60" s="2"/>
      <c r="FXY60" s="2"/>
      <c r="FXZ60" s="2"/>
      <c r="FYA60" s="2"/>
      <c r="FYB60" s="2"/>
      <c r="FYC60" s="2"/>
      <c r="FYD60" s="2"/>
      <c r="FYE60" s="2"/>
      <c r="FYF60" s="2"/>
      <c r="FYG60" s="2"/>
      <c r="FYH60" s="2"/>
      <c r="FYI60" s="2"/>
      <c r="FYJ60" s="2"/>
      <c r="FYK60" s="2"/>
      <c r="FYL60" s="2"/>
      <c r="FYM60" s="2"/>
      <c r="FYN60" s="2"/>
      <c r="FYO60" s="2"/>
      <c r="FYP60" s="2"/>
      <c r="FYQ60" s="2"/>
      <c r="FYR60" s="2"/>
      <c r="FYS60" s="2"/>
      <c r="FYT60" s="2"/>
      <c r="FYU60" s="2"/>
      <c r="FYV60" s="2"/>
      <c r="FYW60" s="2"/>
      <c r="FYX60" s="2"/>
      <c r="FYY60" s="2"/>
      <c r="FYZ60" s="2"/>
      <c r="FZA60" s="2"/>
      <c r="FZB60" s="2"/>
      <c r="FZC60" s="2"/>
      <c r="FZD60" s="2"/>
      <c r="FZE60" s="2"/>
      <c r="FZF60" s="2"/>
      <c r="FZG60" s="2"/>
      <c r="FZH60" s="2"/>
      <c r="FZI60" s="2"/>
      <c r="FZJ60" s="2"/>
      <c r="FZK60" s="2"/>
      <c r="FZL60" s="2"/>
      <c r="FZM60" s="2"/>
      <c r="FZN60" s="2"/>
      <c r="FZO60" s="2"/>
      <c r="FZP60" s="2"/>
      <c r="FZQ60" s="2"/>
      <c r="FZR60" s="2"/>
      <c r="FZS60" s="2"/>
      <c r="FZT60" s="2"/>
      <c r="FZU60" s="2"/>
      <c r="FZV60" s="2"/>
      <c r="FZW60" s="2"/>
      <c r="FZX60" s="2"/>
      <c r="FZY60" s="2"/>
      <c r="FZZ60" s="2"/>
      <c r="GAA60" s="2"/>
      <c r="GAB60" s="2"/>
      <c r="GAC60" s="2"/>
      <c r="GAD60" s="2"/>
      <c r="GAE60" s="2"/>
      <c r="GAF60" s="2"/>
      <c r="GAG60" s="2"/>
      <c r="GAH60" s="2"/>
      <c r="GAI60" s="2"/>
      <c r="GAJ60" s="2"/>
      <c r="GAK60" s="2"/>
      <c r="GAL60" s="2"/>
      <c r="GAM60" s="2"/>
      <c r="GAN60" s="2"/>
      <c r="GAO60" s="2"/>
      <c r="GAP60" s="2"/>
      <c r="GAQ60" s="2"/>
      <c r="GAR60" s="2"/>
      <c r="GAS60" s="2"/>
      <c r="GAT60" s="2"/>
      <c r="GAU60" s="2"/>
      <c r="GAV60" s="2"/>
      <c r="GAW60" s="2"/>
      <c r="GAX60" s="2"/>
      <c r="GAY60" s="2"/>
      <c r="GAZ60" s="2"/>
      <c r="GBA60" s="2"/>
      <c r="GBB60" s="2"/>
      <c r="GBC60" s="2"/>
      <c r="GBD60" s="2"/>
      <c r="GBE60" s="2"/>
      <c r="GBF60" s="2"/>
      <c r="GBG60" s="2"/>
      <c r="GBH60" s="2"/>
      <c r="GBI60" s="2"/>
      <c r="GBJ60" s="2"/>
      <c r="GBK60" s="2"/>
      <c r="GBL60" s="2"/>
      <c r="GBM60" s="2"/>
      <c r="GBN60" s="2"/>
      <c r="GBO60" s="2"/>
      <c r="GBP60" s="2"/>
      <c r="GBQ60" s="2"/>
      <c r="GBR60" s="2"/>
      <c r="GBS60" s="2"/>
      <c r="GBT60" s="2"/>
      <c r="GBU60" s="2"/>
      <c r="GBV60" s="2"/>
      <c r="GBW60" s="2"/>
      <c r="GBX60" s="2"/>
      <c r="GBY60" s="2"/>
      <c r="GBZ60" s="2"/>
      <c r="GCA60" s="2"/>
      <c r="GCB60" s="2"/>
      <c r="GCC60" s="2"/>
      <c r="GCD60" s="2"/>
      <c r="GCE60" s="2"/>
      <c r="GCF60" s="2"/>
      <c r="GCG60" s="2"/>
      <c r="GCH60" s="2"/>
      <c r="GCI60" s="2"/>
      <c r="GCJ60" s="2"/>
      <c r="GCK60" s="2"/>
      <c r="GCL60" s="2"/>
      <c r="GCM60" s="2"/>
      <c r="GCN60" s="2"/>
      <c r="GCO60" s="2"/>
      <c r="GCP60" s="2"/>
      <c r="GCQ60" s="2"/>
      <c r="GCR60" s="2"/>
      <c r="GCS60" s="2"/>
      <c r="GCT60" s="2"/>
      <c r="GCU60" s="2"/>
      <c r="GCV60" s="2"/>
      <c r="GCW60" s="2"/>
      <c r="GCX60" s="2"/>
      <c r="GCY60" s="2"/>
      <c r="GCZ60" s="2"/>
      <c r="GDA60" s="2"/>
      <c r="GDB60" s="2"/>
      <c r="GDC60" s="2"/>
      <c r="GDD60" s="2"/>
      <c r="GDE60" s="2"/>
      <c r="GDF60" s="2"/>
      <c r="GDG60" s="2"/>
      <c r="GDH60" s="2"/>
      <c r="GDI60" s="2"/>
      <c r="GDJ60" s="2"/>
      <c r="GDK60" s="2"/>
      <c r="GDL60" s="2"/>
      <c r="GDM60" s="2"/>
      <c r="GDN60" s="2"/>
      <c r="GDO60" s="2"/>
      <c r="GDP60" s="2"/>
      <c r="GDQ60" s="2"/>
      <c r="GDR60" s="2"/>
      <c r="GDS60" s="2"/>
      <c r="GDT60" s="2"/>
      <c r="GDU60" s="2"/>
      <c r="GDV60" s="2"/>
      <c r="GDW60" s="2"/>
      <c r="GDX60" s="2"/>
      <c r="GDY60" s="2"/>
      <c r="GDZ60" s="2"/>
      <c r="GEA60" s="2"/>
      <c r="GEB60" s="2"/>
      <c r="GEC60" s="2"/>
      <c r="GED60" s="2"/>
      <c r="GEE60" s="2"/>
      <c r="GEF60" s="2"/>
      <c r="GEG60" s="2"/>
      <c r="GEH60" s="2"/>
      <c r="GEI60" s="2"/>
      <c r="GEJ60" s="2"/>
      <c r="GEK60" s="2"/>
      <c r="GEL60" s="2"/>
      <c r="GEM60" s="2"/>
      <c r="GEN60" s="2"/>
      <c r="GEO60" s="2"/>
      <c r="GEP60" s="2"/>
      <c r="GEQ60" s="2"/>
      <c r="GER60" s="2"/>
      <c r="GES60" s="2"/>
      <c r="GET60" s="2"/>
      <c r="GEU60" s="2"/>
      <c r="GEV60" s="2"/>
      <c r="GEW60" s="2"/>
      <c r="GEX60" s="2"/>
      <c r="GEY60" s="2"/>
      <c r="GEZ60" s="2"/>
      <c r="GFA60" s="2"/>
      <c r="GFB60" s="2"/>
      <c r="GFC60" s="2"/>
      <c r="GFD60" s="2"/>
      <c r="GFE60" s="2"/>
      <c r="GFF60" s="2"/>
      <c r="GFG60" s="2"/>
      <c r="GFH60" s="2"/>
      <c r="GFI60" s="2"/>
      <c r="GFJ60" s="2"/>
      <c r="GFK60" s="2"/>
      <c r="GFL60" s="2"/>
      <c r="GFM60" s="2"/>
      <c r="GFN60" s="2"/>
      <c r="GFO60" s="2"/>
      <c r="GFP60" s="2"/>
      <c r="GFQ60" s="2"/>
      <c r="GFR60" s="2"/>
      <c r="GFS60" s="2"/>
      <c r="GFT60" s="2"/>
      <c r="GFU60" s="2"/>
      <c r="GFV60" s="2"/>
      <c r="GFW60" s="2"/>
      <c r="GFX60" s="2"/>
      <c r="GFY60" s="2"/>
      <c r="GFZ60" s="2"/>
      <c r="GGA60" s="2"/>
      <c r="GGB60" s="2"/>
      <c r="GGC60" s="2"/>
      <c r="GGD60" s="2"/>
      <c r="GGE60" s="2"/>
      <c r="GGF60" s="2"/>
      <c r="GGG60" s="2"/>
      <c r="GGH60" s="2"/>
      <c r="GGI60" s="2"/>
      <c r="GGJ60" s="2"/>
      <c r="GGK60" s="2"/>
      <c r="GGL60" s="2"/>
      <c r="GGM60" s="2"/>
      <c r="GGN60" s="2"/>
      <c r="GGO60" s="2"/>
      <c r="GGP60" s="2"/>
      <c r="GGQ60" s="2"/>
      <c r="GGR60" s="2"/>
      <c r="GGS60" s="2"/>
      <c r="GGT60" s="2"/>
      <c r="GGU60" s="2"/>
      <c r="GGV60" s="2"/>
      <c r="GGW60" s="2"/>
      <c r="GGX60" s="2"/>
      <c r="GGY60" s="2"/>
      <c r="GGZ60" s="2"/>
      <c r="GHA60" s="2"/>
      <c r="GHB60" s="2"/>
      <c r="GHC60" s="2"/>
      <c r="GHD60" s="2"/>
      <c r="GHE60" s="2"/>
      <c r="GHF60" s="2"/>
      <c r="GHG60" s="2"/>
      <c r="GHH60" s="2"/>
      <c r="GHI60" s="2"/>
      <c r="GHJ60" s="2"/>
      <c r="GHK60" s="2"/>
      <c r="GHL60" s="2"/>
      <c r="GHM60" s="2"/>
      <c r="GHN60" s="2"/>
      <c r="GHO60" s="2"/>
      <c r="GHP60" s="2"/>
      <c r="GHQ60" s="2"/>
      <c r="GHR60" s="2"/>
      <c r="GHS60" s="2"/>
      <c r="GHT60" s="2"/>
      <c r="GHU60" s="2"/>
      <c r="GHV60" s="2"/>
      <c r="GHW60" s="2"/>
      <c r="GHX60" s="2"/>
      <c r="GHY60" s="2"/>
      <c r="GHZ60" s="2"/>
      <c r="GIA60" s="2"/>
      <c r="GIB60" s="2"/>
      <c r="GIC60" s="2"/>
      <c r="GID60" s="2"/>
      <c r="GIE60" s="2"/>
      <c r="GIF60" s="2"/>
      <c r="GIG60" s="2"/>
      <c r="GIH60" s="2"/>
      <c r="GII60" s="2"/>
      <c r="GIJ60" s="2"/>
      <c r="GIK60" s="2"/>
      <c r="GIL60" s="2"/>
      <c r="GIM60" s="2"/>
      <c r="GIN60" s="2"/>
      <c r="GIO60" s="2"/>
      <c r="GIP60" s="2"/>
      <c r="GIQ60" s="2"/>
      <c r="GIR60" s="2"/>
      <c r="GIS60" s="2"/>
      <c r="GIT60" s="2"/>
      <c r="GIU60" s="2"/>
      <c r="GIV60" s="2"/>
      <c r="GIW60" s="2"/>
      <c r="GIX60" s="2"/>
      <c r="GIY60" s="2"/>
      <c r="GIZ60" s="2"/>
      <c r="GJA60" s="2"/>
      <c r="GJB60" s="2"/>
      <c r="GJC60" s="2"/>
      <c r="GJD60" s="2"/>
      <c r="GJE60" s="2"/>
      <c r="GJF60" s="2"/>
      <c r="GJG60" s="2"/>
      <c r="GJH60" s="2"/>
      <c r="GJI60" s="2"/>
      <c r="GJJ60" s="2"/>
      <c r="GJK60" s="2"/>
      <c r="GJL60" s="2"/>
      <c r="GJM60" s="2"/>
      <c r="GJN60" s="2"/>
      <c r="GJO60" s="2"/>
      <c r="GJP60" s="2"/>
      <c r="GJQ60" s="2"/>
      <c r="GJR60" s="2"/>
      <c r="GJS60" s="2"/>
      <c r="GJT60" s="2"/>
      <c r="GJU60" s="2"/>
      <c r="GJV60" s="2"/>
      <c r="GJW60" s="2"/>
      <c r="GJX60" s="2"/>
      <c r="GJY60" s="2"/>
      <c r="GJZ60" s="2"/>
      <c r="GKA60" s="2"/>
      <c r="GKB60" s="2"/>
      <c r="GKC60" s="2"/>
      <c r="GKD60" s="2"/>
      <c r="GKE60" s="2"/>
      <c r="GKF60" s="2"/>
      <c r="GKG60" s="2"/>
      <c r="GKH60" s="2"/>
      <c r="GKI60" s="2"/>
      <c r="GKJ60" s="2"/>
      <c r="GKK60" s="2"/>
      <c r="GKL60" s="2"/>
      <c r="GKM60" s="2"/>
      <c r="GKN60" s="2"/>
      <c r="GKO60" s="2"/>
      <c r="GKP60" s="2"/>
      <c r="GKQ60" s="2"/>
      <c r="GKR60" s="2"/>
      <c r="GKS60" s="2"/>
      <c r="GKT60" s="2"/>
      <c r="GKU60" s="2"/>
      <c r="GKV60" s="2"/>
      <c r="GKW60" s="2"/>
      <c r="GKX60" s="2"/>
      <c r="GKY60" s="2"/>
      <c r="GKZ60" s="2"/>
      <c r="GLA60" s="2"/>
      <c r="GLB60" s="2"/>
      <c r="GLC60" s="2"/>
      <c r="GLD60" s="2"/>
      <c r="GLE60" s="2"/>
      <c r="GLF60" s="2"/>
      <c r="GLG60" s="2"/>
      <c r="GLH60" s="2"/>
      <c r="GLI60" s="2"/>
      <c r="GLJ60" s="2"/>
      <c r="GLK60" s="2"/>
      <c r="GLL60" s="2"/>
      <c r="GLM60" s="2"/>
      <c r="GLN60" s="2"/>
      <c r="GLO60" s="2"/>
      <c r="GLP60" s="2"/>
      <c r="GLQ60" s="2"/>
      <c r="GLR60" s="2"/>
      <c r="GLS60" s="2"/>
      <c r="GLT60" s="2"/>
      <c r="GLU60" s="2"/>
      <c r="GLV60" s="2"/>
      <c r="GLW60" s="2"/>
      <c r="GLX60" s="2"/>
      <c r="GLY60" s="2"/>
      <c r="GLZ60" s="2"/>
      <c r="GMA60" s="2"/>
      <c r="GMB60" s="2"/>
      <c r="GMC60" s="2"/>
      <c r="GMD60" s="2"/>
      <c r="GME60" s="2"/>
      <c r="GMF60" s="2"/>
      <c r="GMG60" s="2"/>
      <c r="GMH60" s="2"/>
      <c r="GMI60" s="2"/>
      <c r="GMJ60" s="2"/>
      <c r="GMK60" s="2"/>
      <c r="GML60" s="2"/>
      <c r="GMM60" s="2"/>
      <c r="GMN60" s="2"/>
      <c r="GMO60" s="2"/>
      <c r="GMP60" s="2"/>
      <c r="GMQ60" s="2"/>
      <c r="GMR60" s="2"/>
      <c r="GMS60" s="2"/>
      <c r="GMT60" s="2"/>
      <c r="GMU60" s="2"/>
      <c r="GMV60" s="2"/>
      <c r="GMW60" s="2"/>
      <c r="GMX60" s="2"/>
      <c r="GMY60" s="2"/>
      <c r="GMZ60" s="2"/>
      <c r="GNA60" s="2"/>
      <c r="GNB60" s="2"/>
      <c r="GNC60" s="2"/>
      <c r="GND60" s="2"/>
      <c r="GNE60" s="2"/>
      <c r="GNF60" s="2"/>
      <c r="GNG60" s="2"/>
      <c r="GNH60" s="2"/>
      <c r="GNI60" s="2"/>
      <c r="GNJ60" s="2"/>
      <c r="GNK60" s="2"/>
      <c r="GNL60" s="2"/>
      <c r="GNM60" s="2"/>
      <c r="GNN60" s="2"/>
      <c r="GNO60" s="2"/>
      <c r="GNP60" s="2"/>
      <c r="GNQ60" s="2"/>
      <c r="GNR60" s="2"/>
      <c r="GNS60" s="2"/>
      <c r="GNT60" s="2"/>
      <c r="GNU60" s="2"/>
      <c r="GNV60" s="2"/>
      <c r="GNW60" s="2"/>
      <c r="GNX60" s="2"/>
      <c r="GNY60" s="2"/>
      <c r="GNZ60" s="2"/>
      <c r="GOA60" s="2"/>
      <c r="GOB60" s="2"/>
      <c r="GOC60" s="2"/>
      <c r="GOD60" s="2"/>
      <c r="GOE60" s="2"/>
      <c r="GOF60" s="2"/>
      <c r="GOG60" s="2"/>
      <c r="GOH60" s="2"/>
      <c r="GOI60" s="2"/>
      <c r="GOJ60" s="2"/>
      <c r="GOK60" s="2"/>
      <c r="GOL60" s="2"/>
      <c r="GOM60" s="2"/>
      <c r="GON60" s="2"/>
      <c r="GOO60" s="2"/>
      <c r="GOP60" s="2"/>
      <c r="GOQ60" s="2"/>
      <c r="GOR60" s="2"/>
      <c r="GOS60" s="2"/>
      <c r="GOT60" s="2"/>
      <c r="GOU60" s="2"/>
      <c r="GOV60" s="2"/>
      <c r="GOW60" s="2"/>
      <c r="GOX60" s="2"/>
      <c r="GOY60" s="2"/>
      <c r="GOZ60" s="2"/>
      <c r="GPA60" s="2"/>
      <c r="GPB60" s="2"/>
      <c r="GPC60" s="2"/>
      <c r="GPD60" s="2"/>
      <c r="GPE60" s="2"/>
      <c r="GPF60" s="2"/>
      <c r="GPG60" s="2"/>
      <c r="GPH60" s="2"/>
      <c r="GPI60" s="2"/>
      <c r="GPJ60" s="2"/>
      <c r="GPK60" s="2"/>
      <c r="GPL60" s="2"/>
      <c r="GPM60" s="2"/>
      <c r="GPN60" s="2"/>
      <c r="GPO60" s="2"/>
      <c r="GPP60" s="2"/>
      <c r="GPQ60" s="2"/>
      <c r="GPR60" s="2"/>
      <c r="GPS60" s="2"/>
      <c r="GPT60" s="2"/>
      <c r="GPU60" s="2"/>
      <c r="GPV60" s="2"/>
      <c r="GPW60" s="2"/>
      <c r="GPX60" s="2"/>
      <c r="GPY60" s="2"/>
      <c r="GPZ60" s="2"/>
      <c r="GQA60" s="2"/>
      <c r="GQB60" s="2"/>
      <c r="GQC60" s="2"/>
      <c r="GQD60" s="2"/>
      <c r="GQE60" s="2"/>
      <c r="GQF60" s="2"/>
      <c r="GQG60" s="2"/>
      <c r="GQH60" s="2"/>
      <c r="GQI60" s="2"/>
      <c r="GQJ60" s="2"/>
      <c r="GQK60" s="2"/>
      <c r="GQL60" s="2"/>
      <c r="GQM60" s="2"/>
      <c r="GQN60" s="2"/>
      <c r="GQO60" s="2"/>
      <c r="GQP60" s="2"/>
      <c r="GQQ60" s="2"/>
      <c r="GQR60" s="2"/>
      <c r="GQS60" s="2"/>
      <c r="GQT60" s="2"/>
      <c r="GQU60" s="2"/>
      <c r="GQV60" s="2"/>
      <c r="GQW60" s="2"/>
      <c r="GQX60" s="2"/>
      <c r="GQY60" s="2"/>
      <c r="GQZ60" s="2"/>
      <c r="GRA60" s="2"/>
      <c r="GRB60" s="2"/>
      <c r="GRC60" s="2"/>
      <c r="GRD60" s="2"/>
      <c r="GRE60" s="2"/>
      <c r="GRF60" s="2"/>
      <c r="GRG60" s="2"/>
      <c r="GRH60" s="2"/>
      <c r="GRI60" s="2"/>
      <c r="GRJ60" s="2"/>
      <c r="GRK60" s="2"/>
      <c r="GRL60" s="2"/>
      <c r="GRM60" s="2"/>
      <c r="GRN60" s="2"/>
      <c r="GRO60" s="2"/>
      <c r="GRP60" s="2"/>
      <c r="GRQ60" s="2"/>
      <c r="GRR60" s="2"/>
      <c r="GRS60" s="2"/>
      <c r="GRT60" s="2"/>
      <c r="GRU60" s="2"/>
      <c r="GRV60" s="2"/>
      <c r="GRW60" s="2"/>
      <c r="GRX60" s="2"/>
      <c r="GRY60" s="2"/>
      <c r="GRZ60" s="2"/>
      <c r="GSA60" s="2"/>
      <c r="GSB60" s="2"/>
      <c r="GSC60" s="2"/>
      <c r="GSD60" s="2"/>
      <c r="GSE60" s="2"/>
      <c r="GSF60" s="2"/>
      <c r="GSG60" s="2"/>
      <c r="GSH60" s="2"/>
      <c r="GSI60" s="2"/>
      <c r="GSJ60" s="2"/>
      <c r="GSK60" s="2"/>
      <c r="GSL60" s="2"/>
      <c r="GSM60" s="2"/>
      <c r="GSN60" s="2"/>
      <c r="GSO60" s="2"/>
      <c r="GSP60" s="2"/>
      <c r="GSQ60" s="2"/>
      <c r="GSR60" s="2"/>
      <c r="GSS60" s="2"/>
      <c r="GST60" s="2"/>
      <c r="GSU60" s="2"/>
      <c r="GSV60" s="2"/>
      <c r="GSW60" s="2"/>
      <c r="GSX60" s="2"/>
      <c r="GSY60" s="2"/>
      <c r="GSZ60" s="2"/>
      <c r="GTA60" s="2"/>
      <c r="GTB60" s="2"/>
      <c r="GTC60" s="2"/>
      <c r="GTD60" s="2"/>
      <c r="GTE60" s="2"/>
      <c r="GTF60" s="2"/>
      <c r="GTG60" s="2"/>
      <c r="GTH60" s="2"/>
      <c r="GTI60" s="2"/>
      <c r="GTJ60" s="2"/>
      <c r="GTK60" s="2"/>
      <c r="GTL60" s="2"/>
      <c r="GTM60" s="2"/>
      <c r="GTN60" s="2"/>
      <c r="GTO60" s="2"/>
      <c r="GTP60" s="2"/>
      <c r="GTQ60" s="2"/>
      <c r="GTR60" s="2"/>
      <c r="GTS60" s="2"/>
      <c r="GTT60" s="2"/>
      <c r="GTU60" s="2"/>
      <c r="GTV60" s="2"/>
      <c r="GTW60" s="2"/>
      <c r="GTX60" s="2"/>
      <c r="GTY60" s="2"/>
      <c r="GTZ60" s="2"/>
      <c r="GUA60" s="2"/>
      <c r="GUB60" s="2"/>
      <c r="GUC60" s="2"/>
      <c r="GUD60" s="2"/>
      <c r="GUE60" s="2"/>
      <c r="GUF60" s="2"/>
      <c r="GUG60" s="2"/>
      <c r="GUH60" s="2"/>
      <c r="GUI60" s="2"/>
      <c r="GUJ60" s="2"/>
      <c r="GUK60" s="2"/>
      <c r="GUL60" s="2"/>
      <c r="GUM60" s="2"/>
      <c r="GUN60" s="2"/>
      <c r="GUO60" s="2"/>
      <c r="GUP60" s="2"/>
      <c r="GUQ60" s="2"/>
      <c r="GUR60" s="2"/>
      <c r="GUS60" s="2"/>
      <c r="GUT60" s="2"/>
      <c r="GUU60" s="2"/>
      <c r="GUV60" s="2"/>
      <c r="GUW60" s="2"/>
      <c r="GUX60" s="2"/>
      <c r="GUY60" s="2"/>
      <c r="GUZ60" s="2"/>
      <c r="GVA60" s="2"/>
      <c r="GVB60" s="2"/>
      <c r="GVC60" s="2"/>
      <c r="GVD60" s="2"/>
      <c r="GVE60" s="2"/>
      <c r="GVF60" s="2"/>
      <c r="GVG60" s="2"/>
      <c r="GVH60" s="2"/>
      <c r="GVI60" s="2"/>
      <c r="GVJ60" s="2"/>
      <c r="GVK60" s="2"/>
      <c r="GVL60" s="2"/>
      <c r="GVM60" s="2"/>
      <c r="GVN60" s="2"/>
      <c r="GVO60" s="2"/>
      <c r="GVP60" s="2"/>
      <c r="GVQ60" s="2"/>
      <c r="GVR60" s="2"/>
      <c r="GVS60" s="2"/>
      <c r="GVT60" s="2"/>
      <c r="GVU60" s="2"/>
      <c r="GVV60" s="2"/>
      <c r="GVW60" s="2"/>
      <c r="GVX60" s="2"/>
      <c r="GVY60" s="2"/>
      <c r="GVZ60" s="2"/>
      <c r="GWA60" s="2"/>
      <c r="GWB60" s="2"/>
      <c r="GWC60" s="2"/>
      <c r="GWD60" s="2"/>
      <c r="GWE60" s="2"/>
      <c r="GWF60" s="2"/>
      <c r="GWG60" s="2"/>
      <c r="GWH60" s="2"/>
      <c r="GWI60" s="2"/>
      <c r="GWJ60" s="2"/>
      <c r="GWK60" s="2"/>
      <c r="GWL60" s="2"/>
      <c r="GWM60" s="2"/>
      <c r="GWN60" s="2"/>
      <c r="GWO60" s="2"/>
      <c r="GWP60" s="2"/>
      <c r="GWQ60" s="2"/>
      <c r="GWR60" s="2"/>
      <c r="GWS60" s="2"/>
      <c r="GWT60" s="2"/>
      <c r="GWU60" s="2"/>
      <c r="GWV60" s="2"/>
      <c r="GWW60" s="2"/>
      <c r="GWX60" s="2"/>
      <c r="GWY60" s="2"/>
      <c r="GWZ60" s="2"/>
      <c r="GXA60" s="2"/>
      <c r="GXB60" s="2"/>
      <c r="GXC60" s="2"/>
      <c r="GXD60" s="2"/>
      <c r="GXE60" s="2"/>
      <c r="GXF60" s="2"/>
      <c r="GXG60" s="2"/>
      <c r="GXH60" s="2"/>
      <c r="GXI60" s="2"/>
      <c r="GXJ60" s="2"/>
      <c r="GXK60" s="2"/>
      <c r="GXL60" s="2"/>
      <c r="GXM60" s="2"/>
      <c r="GXN60" s="2"/>
      <c r="GXO60" s="2"/>
      <c r="GXP60" s="2"/>
      <c r="GXQ60" s="2"/>
      <c r="GXR60" s="2"/>
      <c r="GXS60" s="2"/>
      <c r="GXT60" s="2"/>
      <c r="GXU60" s="2"/>
      <c r="GXV60" s="2"/>
      <c r="GXW60" s="2"/>
      <c r="GXX60" s="2"/>
      <c r="GXY60" s="2"/>
      <c r="GXZ60" s="2"/>
      <c r="GYA60" s="2"/>
      <c r="GYB60" s="2"/>
      <c r="GYC60" s="2"/>
      <c r="GYD60" s="2"/>
      <c r="GYE60" s="2"/>
      <c r="GYF60" s="2"/>
      <c r="GYG60" s="2"/>
      <c r="GYH60" s="2"/>
      <c r="GYI60" s="2"/>
      <c r="GYJ60" s="2"/>
      <c r="GYK60" s="2"/>
      <c r="GYL60" s="2"/>
      <c r="GYM60" s="2"/>
      <c r="GYN60" s="2"/>
      <c r="GYO60" s="2"/>
      <c r="GYP60" s="2"/>
      <c r="GYQ60" s="2"/>
      <c r="GYR60" s="2"/>
      <c r="GYS60" s="2"/>
      <c r="GYT60" s="2"/>
      <c r="GYU60" s="2"/>
      <c r="GYV60" s="2"/>
      <c r="GYW60" s="2"/>
      <c r="GYX60" s="2"/>
      <c r="GYY60" s="2"/>
      <c r="GYZ60" s="2"/>
      <c r="GZA60" s="2"/>
      <c r="GZB60" s="2"/>
      <c r="GZC60" s="2"/>
      <c r="GZD60" s="2"/>
      <c r="GZE60" s="2"/>
      <c r="GZF60" s="2"/>
      <c r="GZG60" s="2"/>
      <c r="GZH60" s="2"/>
      <c r="GZI60" s="2"/>
      <c r="GZJ60" s="2"/>
      <c r="GZK60" s="2"/>
      <c r="GZL60" s="2"/>
      <c r="GZM60" s="2"/>
      <c r="GZN60" s="2"/>
      <c r="GZO60" s="2"/>
      <c r="GZP60" s="2"/>
      <c r="GZQ60" s="2"/>
      <c r="GZR60" s="2"/>
      <c r="GZS60" s="2"/>
      <c r="GZT60" s="2"/>
      <c r="GZU60" s="2"/>
      <c r="GZV60" s="2"/>
      <c r="GZW60" s="2"/>
      <c r="GZX60" s="2"/>
      <c r="GZY60" s="2"/>
      <c r="GZZ60" s="2"/>
      <c r="HAA60" s="2"/>
      <c r="HAB60" s="2"/>
      <c r="HAC60" s="2"/>
      <c r="HAD60" s="2"/>
      <c r="HAE60" s="2"/>
      <c r="HAF60" s="2"/>
      <c r="HAG60" s="2"/>
      <c r="HAH60" s="2"/>
      <c r="HAI60" s="2"/>
      <c r="HAJ60" s="2"/>
      <c r="HAK60" s="2"/>
      <c r="HAL60" s="2"/>
      <c r="HAM60" s="2"/>
      <c r="HAN60" s="2"/>
      <c r="HAO60" s="2"/>
      <c r="HAP60" s="2"/>
      <c r="HAQ60" s="2"/>
      <c r="HAR60" s="2"/>
      <c r="HAS60" s="2"/>
      <c r="HAT60" s="2"/>
      <c r="HAU60" s="2"/>
      <c r="HAV60" s="2"/>
      <c r="HAW60" s="2"/>
      <c r="HAX60" s="2"/>
      <c r="HAY60" s="2"/>
      <c r="HAZ60" s="2"/>
      <c r="HBA60" s="2"/>
      <c r="HBB60" s="2"/>
      <c r="HBC60" s="2"/>
      <c r="HBD60" s="2"/>
      <c r="HBE60" s="2"/>
      <c r="HBF60" s="2"/>
      <c r="HBG60" s="2"/>
      <c r="HBH60" s="2"/>
      <c r="HBI60" s="2"/>
      <c r="HBJ60" s="2"/>
      <c r="HBK60" s="2"/>
      <c r="HBL60" s="2"/>
      <c r="HBM60" s="2"/>
      <c r="HBN60" s="2"/>
      <c r="HBO60" s="2"/>
      <c r="HBP60" s="2"/>
      <c r="HBQ60" s="2"/>
      <c r="HBR60" s="2"/>
      <c r="HBS60" s="2"/>
      <c r="HBT60" s="2"/>
      <c r="HBU60" s="2"/>
      <c r="HBV60" s="2"/>
      <c r="HBW60" s="2"/>
      <c r="HBX60" s="2"/>
      <c r="HBY60" s="2"/>
      <c r="HBZ60" s="2"/>
      <c r="HCA60" s="2"/>
      <c r="HCB60" s="2"/>
      <c r="HCC60" s="2"/>
      <c r="HCD60" s="2"/>
      <c r="HCE60" s="2"/>
      <c r="HCF60" s="2"/>
      <c r="HCG60" s="2"/>
      <c r="HCH60" s="2"/>
      <c r="HCI60" s="2"/>
      <c r="HCJ60" s="2"/>
      <c r="HCK60" s="2"/>
      <c r="HCL60" s="2"/>
      <c r="HCM60" s="2"/>
      <c r="HCN60" s="2"/>
      <c r="HCO60" s="2"/>
      <c r="HCP60" s="2"/>
      <c r="HCQ60" s="2"/>
      <c r="HCR60" s="2"/>
      <c r="HCS60" s="2"/>
      <c r="HCT60" s="2"/>
      <c r="HCU60" s="2"/>
      <c r="HCV60" s="2"/>
      <c r="HCW60" s="2"/>
      <c r="HCX60" s="2"/>
      <c r="HCY60" s="2"/>
      <c r="HCZ60" s="2"/>
      <c r="HDA60" s="2"/>
      <c r="HDB60" s="2"/>
      <c r="HDC60" s="2"/>
      <c r="HDD60" s="2"/>
      <c r="HDE60" s="2"/>
      <c r="HDF60" s="2"/>
      <c r="HDG60" s="2"/>
      <c r="HDH60" s="2"/>
      <c r="HDI60" s="2"/>
      <c r="HDJ60" s="2"/>
      <c r="HDK60" s="2"/>
      <c r="HDL60" s="2"/>
      <c r="HDM60" s="2"/>
      <c r="HDN60" s="2"/>
      <c r="HDO60" s="2"/>
      <c r="HDP60" s="2"/>
      <c r="HDQ60" s="2"/>
      <c r="HDR60" s="2"/>
      <c r="HDS60" s="2"/>
      <c r="HDT60" s="2"/>
      <c r="HDU60" s="2"/>
      <c r="HDV60" s="2"/>
      <c r="HDW60" s="2"/>
      <c r="HDX60" s="2"/>
      <c r="HDY60" s="2"/>
      <c r="HDZ60" s="2"/>
      <c r="HEA60" s="2"/>
      <c r="HEB60" s="2"/>
      <c r="HEC60" s="2"/>
      <c r="HED60" s="2"/>
      <c r="HEE60" s="2"/>
      <c r="HEF60" s="2"/>
      <c r="HEG60" s="2"/>
      <c r="HEH60" s="2"/>
      <c r="HEI60" s="2"/>
      <c r="HEJ60" s="2"/>
      <c r="HEK60" s="2"/>
      <c r="HEL60" s="2"/>
      <c r="HEM60" s="2"/>
      <c r="HEN60" s="2"/>
      <c r="HEO60" s="2"/>
      <c r="HEP60" s="2"/>
      <c r="HEQ60" s="2"/>
      <c r="HER60" s="2"/>
      <c r="HES60" s="2"/>
      <c r="HET60" s="2"/>
      <c r="HEU60" s="2"/>
      <c r="HEV60" s="2"/>
      <c r="HEW60" s="2"/>
      <c r="HEX60" s="2"/>
      <c r="HEY60" s="2"/>
      <c r="HEZ60" s="2"/>
      <c r="HFA60" s="2"/>
      <c r="HFB60" s="2"/>
      <c r="HFC60" s="2"/>
      <c r="HFD60" s="2"/>
      <c r="HFE60" s="2"/>
      <c r="HFF60" s="2"/>
      <c r="HFG60" s="2"/>
      <c r="HFH60" s="2"/>
      <c r="HFI60" s="2"/>
      <c r="HFJ60" s="2"/>
      <c r="HFK60" s="2"/>
      <c r="HFL60" s="2"/>
      <c r="HFM60" s="2"/>
      <c r="HFN60" s="2"/>
      <c r="HFO60" s="2"/>
      <c r="HFP60" s="2"/>
      <c r="HFQ60" s="2"/>
      <c r="HFR60" s="2"/>
      <c r="HFS60" s="2"/>
      <c r="HFT60" s="2"/>
      <c r="HFU60" s="2"/>
      <c r="HFV60" s="2"/>
      <c r="HFW60" s="2"/>
      <c r="HFX60" s="2"/>
      <c r="HFY60" s="2"/>
      <c r="HFZ60" s="2"/>
      <c r="HGA60" s="2"/>
      <c r="HGB60" s="2"/>
      <c r="HGC60" s="2"/>
      <c r="HGD60" s="2"/>
      <c r="HGE60" s="2"/>
      <c r="HGF60" s="2"/>
      <c r="HGG60" s="2"/>
      <c r="HGH60" s="2"/>
      <c r="HGI60" s="2"/>
      <c r="HGJ60" s="2"/>
      <c r="HGK60" s="2"/>
      <c r="HGL60" s="2"/>
      <c r="HGM60" s="2"/>
      <c r="HGN60" s="2"/>
      <c r="HGO60" s="2"/>
      <c r="HGP60" s="2"/>
      <c r="HGQ60" s="2"/>
      <c r="HGR60" s="2"/>
      <c r="HGS60" s="2"/>
      <c r="HGT60" s="2"/>
      <c r="HGU60" s="2"/>
      <c r="HGV60" s="2"/>
      <c r="HGW60" s="2"/>
      <c r="HGX60" s="2"/>
      <c r="HGY60" s="2"/>
      <c r="HGZ60" s="2"/>
      <c r="HHA60" s="2"/>
      <c r="HHB60" s="2"/>
      <c r="HHC60" s="2"/>
      <c r="HHD60" s="2"/>
      <c r="HHE60" s="2"/>
      <c r="HHF60" s="2"/>
      <c r="HHG60" s="2"/>
      <c r="HHH60" s="2"/>
      <c r="HHI60" s="2"/>
      <c r="HHJ60" s="2"/>
      <c r="HHK60" s="2"/>
      <c r="HHL60" s="2"/>
      <c r="HHM60" s="2"/>
      <c r="HHN60" s="2"/>
      <c r="HHO60" s="2"/>
      <c r="HHP60" s="2"/>
      <c r="HHQ60" s="2"/>
      <c r="HHR60" s="2"/>
      <c r="HHS60" s="2"/>
      <c r="HHT60" s="2"/>
      <c r="HHU60" s="2"/>
      <c r="HHV60" s="2"/>
      <c r="HHW60" s="2"/>
      <c r="HHX60" s="2"/>
      <c r="HHY60" s="2"/>
      <c r="HHZ60" s="2"/>
      <c r="HIA60" s="2"/>
      <c r="HIB60" s="2"/>
      <c r="HIC60" s="2"/>
      <c r="HID60" s="2"/>
      <c r="HIE60" s="2"/>
      <c r="HIF60" s="2"/>
      <c r="HIG60" s="2"/>
      <c r="HIH60" s="2"/>
      <c r="HII60" s="2"/>
      <c r="HIJ60" s="2"/>
      <c r="HIK60" s="2"/>
      <c r="HIL60" s="2"/>
      <c r="HIM60" s="2"/>
      <c r="HIN60" s="2"/>
      <c r="HIO60" s="2"/>
      <c r="HIP60" s="2"/>
      <c r="HIQ60" s="2"/>
      <c r="HIR60" s="2"/>
      <c r="HIS60" s="2"/>
      <c r="HIT60" s="2"/>
      <c r="HIU60" s="2"/>
      <c r="HIV60" s="2"/>
      <c r="HIW60" s="2"/>
      <c r="HIX60" s="2"/>
      <c r="HIY60" s="2"/>
      <c r="HIZ60" s="2"/>
      <c r="HJA60" s="2"/>
      <c r="HJB60" s="2"/>
      <c r="HJC60" s="2"/>
      <c r="HJD60" s="2"/>
      <c r="HJE60" s="2"/>
      <c r="HJF60" s="2"/>
      <c r="HJG60" s="2"/>
      <c r="HJH60" s="2"/>
      <c r="HJI60" s="2"/>
      <c r="HJJ60" s="2"/>
      <c r="HJK60" s="2"/>
      <c r="HJL60" s="2"/>
      <c r="HJM60" s="2"/>
      <c r="HJN60" s="2"/>
      <c r="HJO60" s="2"/>
      <c r="HJP60" s="2"/>
      <c r="HJQ60" s="2"/>
      <c r="HJR60" s="2"/>
      <c r="HJS60" s="2"/>
      <c r="HJT60" s="2"/>
      <c r="HJU60" s="2"/>
      <c r="HJV60" s="2"/>
      <c r="HJW60" s="2"/>
      <c r="HJX60" s="2"/>
      <c r="HJY60" s="2"/>
      <c r="HJZ60" s="2"/>
      <c r="HKA60" s="2"/>
      <c r="HKB60" s="2"/>
      <c r="HKC60" s="2"/>
      <c r="HKD60" s="2"/>
      <c r="HKE60" s="2"/>
      <c r="HKF60" s="2"/>
      <c r="HKG60" s="2"/>
      <c r="HKH60" s="2"/>
      <c r="HKI60" s="2"/>
      <c r="HKJ60" s="2"/>
      <c r="HKK60" s="2"/>
      <c r="HKL60" s="2"/>
      <c r="HKM60" s="2"/>
      <c r="HKN60" s="2"/>
      <c r="HKO60" s="2"/>
      <c r="HKP60" s="2"/>
      <c r="HKQ60" s="2"/>
      <c r="HKR60" s="2"/>
      <c r="HKS60" s="2"/>
      <c r="HKT60" s="2"/>
      <c r="HKU60" s="2"/>
      <c r="HKV60" s="2"/>
      <c r="HKW60" s="2"/>
      <c r="HKX60" s="2"/>
      <c r="HKY60" s="2"/>
      <c r="HKZ60" s="2"/>
      <c r="HLA60" s="2"/>
      <c r="HLB60" s="2"/>
      <c r="HLC60" s="2"/>
      <c r="HLD60" s="2"/>
      <c r="HLE60" s="2"/>
      <c r="HLF60" s="2"/>
      <c r="HLG60" s="2"/>
      <c r="HLH60" s="2"/>
      <c r="HLI60" s="2"/>
      <c r="HLJ60" s="2"/>
      <c r="HLK60" s="2"/>
      <c r="HLL60" s="2"/>
      <c r="HLM60" s="2"/>
      <c r="HLN60" s="2"/>
      <c r="HLO60" s="2"/>
      <c r="HLP60" s="2"/>
      <c r="HLQ60" s="2"/>
      <c r="HLR60" s="2"/>
      <c r="HLS60" s="2"/>
      <c r="HLT60" s="2"/>
      <c r="HLU60" s="2"/>
      <c r="HLV60" s="2"/>
      <c r="HLW60" s="2"/>
      <c r="HLX60" s="2"/>
      <c r="HLY60" s="2"/>
      <c r="HLZ60" s="2"/>
      <c r="HMA60" s="2"/>
      <c r="HMB60" s="2"/>
      <c r="HMC60" s="2"/>
      <c r="HMD60" s="2"/>
      <c r="HME60" s="2"/>
      <c r="HMF60" s="2"/>
      <c r="HMG60" s="2"/>
      <c r="HMH60" s="2"/>
      <c r="HMI60" s="2"/>
      <c r="HMJ60" s="2"/>
      <c r="HMK60" s="2"/>
      <c r="HML60" s="2"/>
      <c r="HMM60" s="2"/>
      <c r="HMN60" s="2"/>
      <c r="HMO60" s="2"/>
      <c r="HMP60" s="2"/>
      <c r="HMQ60" s="2"/>
      <c r="HMR60" s="2"/>
      <c r="HMS60" s="2"/>
      <c r="HMT60" s="2"/>
      <c r="HMU60" s="2"/>
      <c r="HMV60" s="2"/>
      <c r="HMW60" s="2"/>
      <c r="HMX60" s="2"/>
      <c r="HMY60" s="2"/>
      <c r="HMZ60" s="2"/>
      <c r="HNA60" s="2"/>
      <c r="HNB60" s="2"/>
      <c r="HNC60" s="2"/>
      <c r="HND60" s="2"/>
      <c r="HNE60" s="2"/>
      <c r="HNF60" s="2"/>
      <c r="HNG60" s="2"/>
      <c r="HNH60" s="2"/>
      <c r="HNI60" s="2"/>
      <c r="HNJ60" s="2"/>
      <c r="HNK60" s="2"/>
      <c r="HNL60" s="2"/>
      <c r="HNM60" s="2"/>
      <c r="HNN60" s="2"/>
      <c r="HNO60" s="2"/>
      <c r="HNP60" s="2"/>
      <c r="HNQ60" s="2"/>
      <c r="HNR60" s="2"/>
      <c r="HNS60" s="2"/>
      <c r="HNT60" s="2"/>
      <c r="HNU60" s="2"/>
      <c r="HNV60" s="2"/>
      <c r="HNW60" s="2"/>
      <c r="HNX60" s="2"/>
      <c r="HNY60" s="2"/>
      <c r="HNZ60" s="2"/>
      <c r="HOA60" s="2"/>
      <c r="HOB60" s="2"/>
      <c r="HOC60" s="2"/>
      <c r="HOD60" s="2"/>
      <c r="HOE60" s="2"/>
      <c r="HOF60" s="2"/>
      <c r="HOG60" s="2"/>
      <c r="HOH60" s="2"/>
      <c r="HOI60" s="2"/>
      <c r="HOJ60" s="2"/>
      <c r="HOK60" s="2"/>
      <c r="HOL60" s="2"/>
      <c r="HOM60" s="2"/>
      <c r="HON60" s="2"/>
      <c r="HOO60" s="2"/>
      <c r="HOP60" s="2"/>
      <c r="HOQ60" s="2"/>
      <c r="HOR60" s="2"/>
      <c r="HOS60" s="2"/>
      <c r="HOT60" s="2"/>
      <c r="HOU60" s="2"/>
      <c r="HOV60" s="2"/>
      <c r="HOW60" s="2"/>
      <c r="HOX60" s="2"/>
      <c r="HOY60" s="2"/>
      <c r="HOZ60" s="2"/>
      <c r="HPA60" s="2"/>
      <c r="HPB60" s="2"/>
      <c r="HPC60" s="2"/>
      <c r="HPD60" s="2"/>
      <c r="HPE60" s="2"/>
      <c r="HPF60" s="2"/>
      <c r="HPG60" s="2"/>
      <c r="HPH60" s="2"/>
      <c r="HPI60" s="2"/>
      <c r="HPJ60" s="2"/>
      <c r="HPK60" s="2"/>
      <c r="HPL60" s="2"/>
      <c r="HPM60" s="2"/>
      <c r="HPN60" s="2"/>
      <c r="HPO60" s="2"/>
      <c r="HPP60" s="2"/>
      <c r="HPQ60" s="2"/>
      <c r="HPR60" s="2"/>
      <c r="HPS60" s="2"/>
      <c r="HPT60" s="2"/>
      <c r="HPU60" s="2"/>
      <c r="HPV60" s="2"/>
      <c r="HPW60" s="2"/>
      <c r="HPX60" s="2"/>
      <c r="HPY60" s="2"/>
      <c r="HPZ60" s="2"/>
      <c r="HQA60" s="2"/>
      <c r="HQB60" s="2"/>
      <c r="HQC60" s="2"/>
      <c r="HQD60" s="2"/>
      <c r="HQE60" s="2"/>
      <c r="HQF60" s="2"/>
      <c r="HQG60" s="2"/>
      <c r="HQH60" s="2"/>
      <c r="HQI60" s="2"/>
      <c r="HQJ60" s="2"/>
      <c r="HQK60" s="2"/>
      <c r="HQL60" s="2"/>
      <c r="HQM60" s="2"/>
      <c r="HQN60" s="2"/>
      <c r="HQO60" s="2"/>
      <c r="HQP60" s="2"/>
      <c r="HQQ60" s="2"/>
      <c r="HQR60" s="2"/>
      <c r="HQS60" s="2"/>
      <c r="HQT60" s="2"/>
      <c r="HQU60" s="2"/>
      <c r="HQV60" s="2"/>
      <c r="HQW60" s="2"/>
      <c r="HQX60" s="2"/>
      <c r="HQY60" s="2"/>
      <c r="HQZ60" s="2"/>
      <c r="HRA60" s="2"/>
      <c r="HRB60" s="2"/>
      <c r="HRC60" s="2"/>
      <c r="HRD60" s="2"/>
      <c r="HRE60" s="2"/>
      <c r="HRF60" s="2"/>
      <c r="HRG60" s="2"/>
      <c r="HRH60" s="2"/>
      <c r="HRI60" s="2"/>
      <c r="HRJ60" s="2"/>
      <c r="HRK60" s="2"/>
      <c r="HRL60" s="2"/>
      <c r="HRM60" s="2"/>
      <c r="HRN60" s="2"/>
      <c r="HRO60" s="2"/>
      <c r="HRP60" s="2"/>
      <c r="HRQ60" s="2"/>
      <c r="HRR60" s="2"/>
      <c r="HRS60" s="2"/>
      <c r="HRT60" s="2"/>
      <c r="HRU60" s="2"/>
      <c r="HRV60" s="2"/>
      <c r="HRW60" s="2"/>
      <c r="HRX60" s="2"/>
      <c r="HRY60" s="2"/>
      <c r="HRZ60" s="2"/>
      <c r="HSA60" s="2"/>
      <c r="HSB60" s="2"/>
      <c r="HSC60" s="2"/>
      <c r="HSD60" s="2"/>
      <c r="HSE60" s="2"/>
      <c r="HSF60" s="2"/>
      <c r="HSG60" s="2"/>
      <c r="HSH60" s="2"/>
      <c r="HSI60" s="2"/>
      <c r="HSJ60" s="2"/>
      <c r="HSK60" s="2"/>
      <c r="HSL60" s="2"/>
      <c r="HSM60" s="2"/>
      <c r="HSN60" s="2"/>
      <c r="HSO60" s="2"/>
      <c r="HSP60" s="2"/>
      <c r="HSQ60" s="2"/>
      <c r="HSR60" s="2"/>
      <c r="HSS60" s="2"/>
      <c r="HST60" s="2"/>
      <c r="HSU60" s="2"/>
      <c r="HSV60" s="2"/>
      <c r="HSW60" s="2"/>
      <c r="HSX60" s="2"/>
      <c r="HSY60" s="2"/>
      <c r="HSZ60" s="2"/>
      <c r="HTA60" s="2"/>
      <c r="HTB60" s="2"/>
      <c r="HTC60" s="2"/>
      <c r="HTD60" s="2"/>
      <c r="HTE60" s="2"/>
      <c r="HTF60" s="2"/>
      <c r="HTG60" s="2"/>
      <c r="HTH60" s="2"/>
      <c r="HTI60" s="2"/>
      <c r="HTJ60" s="2"/>
      <c r="HTK60" s="2"/>
      <c r="HTL60" s="2"/>
      <c r="HTM60" s="2"/>
      <c r="HTN60" s="2"/>
      <c r="HTO60" s="2"/>
      <c r="HTP60" s="2"/>
      <c r="HTQ60" s="2"/>
      <c r="HTR60" s="2"/>
      <c r="HTS60" s="2"/>
      <c r="HTT60" s="2"/>
      <c r="HTU60" s="2"/>
      <c r="HTV60" s="2"/>
      <c r="HTW60" s="2"/>
      <c r="HTX60" s="2"/>
      <c r="HTY60" s="2"/>
      <c r="HTZ60" s="2"/>
      <c r="HUA60" s="2"/>
      <c r="HUB60" s="2"/>
      <c r="HUC60" s="2"/>
      <c r="HUD60" s="2"/>
      <c r="HUE60" s="2"/>
      <c r="HUF60" s="2"/>
      <c r="HUG60" s="2"/>
      <c r="HUH60" s="2"/>
      <c r="HUI60" s="2"/>
      <c r="HUJ60" s="2"/>
      <c r="HUK60" s="2"/>
      <c r="HUL60" s="2"/>
      <c r="HUM60" s="2"/>
      <c r="HUN60" s="2"/>
      <c r="HUO60" s="2"/>
      <c r="HUP60" s="2"/>
      <c r="HUQ60" s="2"/>
      <c r="HUR60" s="2"/>
      <c r="HUS60" s="2"/>
      <c r="HUT60" s="2"/>
      <c r="HUU60" s="2"/>
      <c r="HUV60" s="2"/>
      <c r="HUW60" s="2"/>
      <c r="HUX60" s="2"/>
      <c r="HUY60" s="2"/>
      <c r="HUZ60" s="2"/>
      <c r="HVA60" s="2"/>
      <c r="HVB60" s="2"/>
      <c r="HVC60" s="2"/>
      <c r="HVD60" s="2"/>
      <c r="HVE60" s="2"/>
      <c r="HVF60" s="2"/>
      <c r="HVG60" s="2"/>
      <c r="HVH60" s="2"/>
      <c r="HVI60" s="2"/>
      <c r="HVJ60" s="2"/>
      <c r="HVK60" s="2"/>
      <c r="HVL60" s="2"/>
      <c r="HVM60" s="2"/>
      <c r="HVN60" s="2"/>
      <c r="HVO60" s="2"/>
      <c r="HVP60" s="2"/>
      <c r="HVQ60" s="2"/>
      <c r="HVR60" s="2"/>
      <c r="HVS60" s="2"/>
      <c r="HVT60" s="2"/>
      <c r="HVU60" s="2"/>
      <c r="HVV60" s="2"/>
      <c r="HVW60" s="2"/>
      <c r="HVX60" s="2"/>
      <c r="HVY60" s="2"/>
      <c r="HVZ60" s="2"/>
      <c r="HWA60" s="2"/>
      <c r="HWB60" s="2"/>
      <c r="HWC60" s="2"/>
      <c r="HWD60" s="2"/>
      <c r="HWE60" s="2"/>
      <c r="HWF60" s="2"/>
      <c r="HWG60" s="2"/>
      <c r="HWH60" s="2"/>
      <c r="HWI60" s="2"/>
      <c r="HWJ60" s="2"/>
      <c r="HWK60" s="2"/>
      <c r="HWL60" s="2"/>
      <c r="HWM60" s="2"/>
      <c r="HWN60" s="2"/>
      <c r="HWO60" s="2"/>
      <c r="HWP60" s="2"/>
      <c r="HWQ60" s="2"/>
      <c r="HWR60" s="2"/>
      <c r="HWS60" s="2"/>
      <c r="HWT60" s="2"/>
      <c r="HWU60" s="2"/>
      <c r="HWV60" s="2"/>
      <c r="HWW60" s="2"/>
      <c r="HWX60" s="2"/>
      <c r="HWY60" s="2"/>
      <c r="HWZ60" s="2"/>
      <c r="HXA60" s="2"/>
      <c r="HXB60" s="2"/>
      <c r="HXC60" s="2"/>
      <c r="HXD60" s="2"/>
      <c r="HXE60" s="2"/>
      <c r="HXF60" s="2"/>
      <c r="HXG60" s="2"/>
      <c r="HXH60" s="2"/>
      <c r="HXI60" s="2"/>
      <c r="HXJ60" s="2"/>
      <c r="HXK60" s="2"/>
      <c r="HXL60" s="2"/>
      <c r="HXM60" s="2"/>
      <c r="HXN60" s="2"/>
      <c r="HXO60" s="2"/>
      <c r="HXP60" s="2"/>
      <c r="HXQ60" s="2"/>
      <c r="HXR60" s="2"/>
      <c r="HXS60" s="2"/>
      <c r="HXT60" s="2"/>
      <c r="HXU60" s="2"/>
      <c r="HXV60" s="2"/>
      <c r="HXW60" s="2"/>
      <c r="HXX60" s="2"/>
      <c r="HXY60" s="2"/>
      <c r="HXZ60" s="2"/>
      <c r="HYA60" s="2"/>
      <c r="HYB60" s="2"/>
      <c r="HYC60" s="2"/>
      <c r="HYD60" s="2"/>
      <c r="HYE60" s="2"/>
      <c r="HYF60" s="2"/>
      <c r="HYG60" s="2"/>
      <c r="HYH60" s="2"/>
      <c r="HYI60" s="2"/>
      <c r="HYJ60" s="2"/>
      <c r="HYK60" s="2"/>
      <c r="HYL60" s="2"/>
      <c r="HYM60" s="2"/>
      <c r="HYN60" s="2"/>
      <c r="HYO60" s="2"/>
      <c r="HYP60" s="2"/>
      <c r="HYQ60" s="2"/>
      <c r="HYR60" s="2"/>
      <c r="HYS60" s="2"/>
      <c r="HYT60" s="2"/>
      <c r="HYU60" s="2"/>
      <c r="HYV60" s="2"/>
      <c r="HYW60" s="2"/>
      <c r="HYX60" s="2"/>
      <c r="HYY60" s="2"/>
      <c r="HYZ60" s="2"/>
      <c r="HZA60" s="2"/>
      <c r="HZB60" s="2"/>
      <c r="HZC60" s="2"/>
      <c r="HZD60" s="2"/>
      <c r="HZE60" s="2"/>
      <c r="HZF60" s="2"/>
      <c r="HZG60" s="2"/>
      <c r="HZH60" s="2"/>
      <c r="HZI60" s="2"/>
      <c r="HZJ60" s="2"/>
      <c r="HZK60" s="2"/>
      <c r="HZL60" s="2"/>
      <c r="HZM60" s="2"/>
      <c r="HZN60" s="2"/>
      <c r="HZO60" s="2"/>
      <c r="HZP60" s="2"/>
      <c r="HZQ60" s="2"/>
      <c r="HZR60" s="2"/>
      <c r="HZS60" s="2"/>
      <c r="HZT60" s="2"/>
      <c r="HZU60" s="2"/>
      <c r="HZV60" s="2"/>
      <c r="HZW60" s="2"/>
      <c r="HZX60" s="2"/>
      <c r="HZY60" s="2"/>
      <c r="HZZ60" s="2"/>
      <c r="IAA60" s="2"/>
      <c r="IAB60" s="2"/>
      <c r="IAC60" s="2"/>
      <c r="IAD60" s="2"/>
      <c r="IAE60" s="2"/>
      <c r="IAF60" s="2"/>
      <c r="IAG60" s="2"/>
      <c r="IAH60" s="2"/>
      <c r="IAI60" s="2"/>
      <c r="IAJ60" s="2"/>
      <c r="IAK60" s="2"/>
      <c r="IAL60" s="2"/>
      <c r="IAM60" s="2"/>
      <c r="IAN60" s="2"/>
      <c r="IAO60" s="2"/>
      <c r="IAP60" s="2"/>
      <c r="IAQ60" s="2"/>
      <c r="IAR60" s="2"/>
      <c r="IAS60" s="2"/>
      <c r="IAT60" s="2"/>
      <c r="IAU60" s="2"/>
      <c r="IAV60" s="2"/>
      <c r="IAW60" s="2"/>
      <c r="IAX60" s="2"/>
      <c r="IAY60" s="2"/>
      <c r="IAZ60" s="2"/>
      <c r="IBA60" s="2"/>
      <c r="IBB60" s="2"/>
      <c r="IBC60" s="2"/>
      <c r="IBD60" s="2"/>
      <c r="IBE60" s="2"/>
      <c r="IBF60" s="2"/>
      <c r="IBG60" s="2"/>
      <c r="IBH60" s="2"/>
      <c r="IBI60" s="2"/>
      <c r="IBJ60" s="2"/>
      <c r="IBK60" s="2"/>
      <c r="IBL60" s="2"/>
      <c r="IBM60" s="2"/>
      <c r="IBN60" s="2"/>
      <c r="IBO60" s="2"/>
      <c r="IBP60" s="2"/>
      <c r="IBQ60" s="2"/>
      <c r="IBR60" s="2"/>
      <c r="IBS60" s="2"/>
      <c r="IBT60" s="2"/>
      <c r="IBU60" s="2"/>
      <c r="IBV60" s="2"/>
      <c r="IBW60" s="2"/>
      <c r="IBX60" s="2"/>
      <c r="IBY60" s="2"/>
      <c r="IBZ60" s="2"/>
      <c r="ICA60" s="2"/>
      <c r="ICB60" s="2"/>
      <c r="ICC60" s="2"/>
      <c r="ICD60" s="2"/>
      <c r="ICE60" s="2"/>
      <c r="ICF60" s="2"/>
      <c r="ICG60" s="2"/>
      <c r="ICH60" s="2"/>
      <c r="ICI60" s="2"/>
      <c r="ICJ60" s="2"/>
      <c r="ICK60" s="2"/>
      <c r="ICL60" s="2"/>
      <c r="ICM60" s="2"/>
      <c r="ICN60" s="2"/>
      <c r="ICO60" s="2"/>
      <c r="ICP60" s="2"/>
      <c r="ICQ60" s="2"/>
      <c r="ICR60" s="2"/>
      <c r="ICS60" s="2"/>
      <c r="ICT60" s="2"/>
      <c r="ICU60" s="2"/>
      <c r="ICV60" s="2"/>
      <c r="ICW60" s="2"/>
      <c r="ICX60" s="2"/>
      <c r="ICY60" s="2"/>
      <c r="ICZ60" s="2"/>
      <c r="IDA60" s="2"/>
      <c r="IDB60" s="2"/>
      <c r="IDC60" s="2"/>
      <c r="IDD60" s="2"/>
      <c r="IDE60" s="2"/>
      <c r="IDF60" s="2"/>
      <c r="IDG60" s="2"/>
      <c r="IDH60" s="2"/>
      <c r="IDI60" s="2"/>
      <c r="IDJ60" s="2"/>
      <c r="IDK60" s="2"/>
      <c r="IDL60" s="2"/>
      <c r="IDM60" s="2"/>
      <c r="IDN60" s="2"/>
      <c r="IDO60" s="2"/>
      <c r="IDP60" s="2"/>
      <c r="IDQ60" s="2"/>
      <c r="IDR60" s="2"/>
      <c r="IDS60" s="2"/>
      <c r="IDT60" s="2"/>
      <c r="IDU60" s="2"/>
      <c r="IDV60" s="2"/>
      <c r="IDW60" s="2"/>
      <c r="IDX60" s="2"/>
      <c r="IDY60" s="2"/>
      <c r="IDZ60" s="2"/>
      <c r="IEA60" s="2"/>
      <c r="IEB60" s="2"/>
      <c r="IEC60" s="2"/>
      <c r="IED60" s="2"/>
      <c r="IEE60" s="2"/>
      <c r="IEF60" s="2"/>
      <c r="IEG60" s="2"/>
      <c r="IEH60" s="2"/>
      <c r="IEI60" s="2"/>
      <c r="IEJ60" s="2"/>
      <c r="IEK60" s="2"/>
      <c r="IEL60" s="2"/>
      <c r="IEM60" s="2"/>
      <c r="IEN60" s="2"/>
      <c r="IEO60" s="2"/>
      <c r="IEP60" s="2"/>
      <c r="IEQ60" s="2"/>
      <c r="IER60" s="2"/>
      <c r="IES60" s="2"/>
      <c r="IET60" s="2"/>
      <c r="IEU60" s="2"/>
      <c r="IEV60" s="2"/>
      <c r="IEW60" s="2"/>
      <c r="IEX60" s="2"/>
      <c r="IEY60" s="2"/>
      <c r="IEZ60" s="2"/>
      <c r="IFA60" s="2"/>
      <c r="IFB60" s="2"/>
      <c r="IFC60" s="2"/>
      <c r="IFD60" s="2"/>
      <c r="IFE60" s="2"/>
      <c r="IFF60" s="2"/>
      <c r="IFG60" s="2"/>
      <c r="IFH60" s="2"/>
      <c r="IFI60" s="2"/>
      <c r="IFJ60" s="2"/>
      <c r="IFK60" s="2"/>
      <c r="IFL60" s="2"/>
      <c r="IFM60" s="2"/>
      <c r="IFN60" s="2"/>
      <c r="IFO60" s="2"/>
      <c r="IFP60" s="2"/>
      <c r="IFQ60" s="2"/>
      <c r="IFR60" s="2"/>
      <c r="IFS60" s="2"/>
      <c r="IFT60" s="2"/>
      <c r="IFU60" s="2"/>
      <c r="IFV60" s="2"/>
      <c r="IFW60" s="2"/>
      <c r="IFX60" s="2"/>
      <c r="IFY60" s="2"/>
      <c r="IFZ60" s="2"/>
      <c r="IGA60" s="2"/>
      <c r="IGB60" s="2"/>
      <c r="IGC60" s="2"/>
      <c r="IGD60" s="2"/>
      <c r="IGE60" s="2"/>
      <c r="IGF60" s="2"/>
      <c r="IGG60" s="2"/>
      <c r="IGH60" s="2"/>
      <c r="IGI60" s="2"/>
      <c r="IGJ60" s="2"/>
      <c r="IGK60" s="2"/>
      <c r="IGL60" s="2"/>
      <c r="IGM60" s="2"/>
      <c r="IGN60" s="2"/>
      <c r="IGO60" s="2"/>
      <c r="IGP60" s="2"/>
      <c r="IGQ60" s="2"/>
      <c r="IGR60" s="2"/>
      <c r="IGS60" s="2"/>
      <c r="IGT60" s="2"/>
      <c r="IGU60" s="2"/>
      <c r="IGV60" s="2"/>
      <c r="IGW60" s="2"/>
      <c r="IGX60" s="2"/>
      <c r="IGY60" s="2"/>
      <c r="IGZ60" s="2"/>
      <c r="IHA60" s="2"/>
      <c r="IHB60" s="2"/>
      <c r="IHC60" s="2"/>
      <c r="IHD60" s="2"/>
      <c r="IHE60" s="2"/>
      <c r="IHF60" s="2"/>
      <c r="IHG60" s="2"/>
      <c r="IHH60" s="2"/>
      <c r="IHI60" s="2"/>
      <c r="IHJ60" s="2"/>
      <c r="IHK60" s="2"/>
      <c r="IHL60" s="2"/>
      <c r="IHM60" s="2"/>
      <c r="IHN60" s="2"/>
      <c r="IHO60" s="2"/>
      <c r="IHP60" s="2"/>
      <c r="IHQ60" s="2"/>
      <c r="IHR60" s="2"/>
      <c r="IHS60" s="2"/>
      <c r="IHT60" s="2"/>
      <c r="IHU60" s="2"/>
      <c r="IHV60" s="2"/>
      <c r="IHW60" s="2"/>
      <c r="IHX60" s="2"/>
      <c r="IHY60" s="2"/>
      <c r="IHZ60" s="2"/>
      <c r="IIA60" s="2"/>
      <c r="IIB60" s="2"/>
      <c r="IIC60" s="2"/>
      <c r="IID60" s="2"/>
      <c r="IIE60" s="2"/>
      <c r="IIF60" s="2"/>
      <c r="IIG60" s="2"/>
      <c r="IIH60" s="2"/>
      <c r="III60" s="2"/>
      <c r="IIJ60" s="2"/>
      <c r="IIK60" s="2"/>
      <c r="IIL60" s="2"/>
      <c r="IIM60" s="2"/>
      <c r="IIN60" s="2"/>
      <c r="IIO60" s="2"/>
      <c r="IIP60" s="2"/>
      <c r="IIQ60" s="2"/>
      <c r="IIR60" s="2"/>
      <c r="IIS60" s="2"/>
      <c r="IIT60" s="2"/>
      <c r="IIU60" s="2"/>
      <c r="IIV60" s="2"/>
      <c r="IIW60" s="2"/>
      <c r="IIX60" s="2"/>
      <c r="IIY60" s="2"/>
      <c r="IIZ60" s="2"/>
      <c r="IJA60" s="2"/>
      <c r="IJB60" s="2"/>
      <c r="IJC60" s="2"/>
      <c r="IJD60" s="2"/>
      <c r="IJE60" s="2"/>
      <c r="IJF60" s="2"/>
      <c r="IJG60" s="2"/>
      <c r="IJH60" s="2"/>
      <c r="IJI60" s="2"/>
      <c r="IJJ60" s="2"/>
      <c r="IJK60" s="2"/>
      <c r="IJL60" s="2"/>
      <c r="IJM60" s="2"/>
      <c r="IJN60" s="2"/>
      <c r="IJO60" s="2"/>
      <c r="IJP60" s="2"/>
      <c r="IJQ60" s="2"/>
      <c r="IJR60" s="2"/>
      <c r="IJS60" s="2"/>
      <c r="IJT60" s="2"/>
      <c r="IJU60" s="2"/>
      <c r="IJV60" s="2"/>
      <c r="IJW60" s="2"/>
      <c r="IJX60" s="2"/>
      <c r="IJY60" s="2"/>
      <c r="IJZ60" s="2"/>
      <c r="IKA60" s="2"/>
      <c r="IKB60" s="2"/>
      <c r="IKC60" s="2"/>
      <c r="IKD60" s="2"/>
      <c r="IKE60" s="2"/>
      <c r="IKF60" s="2"/>
      <c r="IKG60" s="2"/>
      <c r="IKH60" s="2"/>
      <c r="IKI60" s="2"/>
      <c r="IKJ60" s="2"/>
      <c r="IKK60" s="2"/>
      <c r="IKL60" s="2"/>
      <c r="IKM60" s="2"/>
      <c r="IKN60" s="2"/>
      <c r="IKO60" s="2"/>
      <c r="IKP60" s="2"/>
      <c r="IKQ60" s="2"/>
      <c r="IKR60" s="2"/>
      <c r="IKS60" s="2"/>
      <c r="IKT60" s="2"/>
      <c r="IKU60" s="2"/>
      <c r="IKV60" s="2"/>
      <c r="IKW60" s="2"/>
      <c r="IKX60" s="2"/>
      <c r="IKY60" s="2"/>
      <c r="IKZ60" s="2"/>
      <c r="ILA60" s="2"/>
      <c r="ILB60" s="2"/>
      <c r="ILC60" s="2"/>
      <c r="ILD60" s="2"/>
      <c r="ILE60" s="2"/>
      <c r="ILF60" s="2"/>
      <c r="ILG60" s="2"/>
      <c r="ILH60" s="2"/>
      <c r="ILI60" s="2"/>
      <c r="ILJ60" s="2"/>
      <c r="ILK60" s="2"/>
      <c r="ILL60" s="2"/>
      <c r="ILM60" s="2"/>
      <c r="ILN60" s="2"/>
      <c r="ILO60" s="2"/>
      <c r="ILP60" s="2"/>
      <c r="ILQ60" s="2"/>
      <c r="ILR60" s="2"/>
      <c r="ILS60" s="2"/>
      <c r="ILT60" s="2"/>
      <c r="ILU60" s="2"/>
      <c r="ILV60" s="2"/>
      <c r="ILW60" s="2"/>
      <c r="ILX60" s="2"/>
      <c r="ILY60" s="2"/>
      <c r="ILZ60" s="2"/>
      <c r="IMA60" s="2"/>
      <c r="IMB60" s="2"/>
      <c r="IMC60" s="2"/>
      <c r="IMD60" s="2"/>
      <c r="IME60" s="2"/>
      <c r="IMF60" s="2"/>
      <c r="IMG60" s="2"/>
      <c r="IMH60" s="2"/>
      <c r="IMI60" s="2"/>
      <c r="IMJ60" s="2"/>
      <c r="IMK60" s="2"/>
      <c r="IML60" s="2"/>
      <c r="IMM60" s="2"/>
      <c r="IMN60" s="2"/>
      <c r="IMO60" s="2"/>
      <c r="IMP60" s="2"/>
      <c r="IMQ60" s="2"/>
      <c r="IMR60" s="2"/>
      <c r="IMS60" s="2"/>
      <c r="IMT60" s="2"/>
      <c r="IMU60" s="2"/>
      <c r="IMV60" s="2"/>
      <c r="IMW60" s="2"/>
      <c r="IMX60" s="2"/>
      <c r="IMY60" s="2"/>
      <c r="IMZ60" s="2"/>
      <c r="INA60" s="2"/>
      <c r="INB60" s="2"/>
      <c r="INC60" s="2"/>
      <c r="IND60" s="2"/>
      <c r="INE60" s="2"/>
      <c r="INF60" s="2"/>
      <c r="ING60" s="2"/>
      <c r="INH60" s="2"/>
      <c r="INI60" s="2"/>
      <c r="INJ60" s="2"/>
      <c r="INK60" s="2"/>
      <c r="INL60" s="2"/>
      <c r="INM60" s="2"/>
      <c r="INN60" s="2"/>
      <c r="INO60" s="2"/>
      <c r="INP60" s="2"/>
      <c r="INQ60" s="2"/>
      <c r="INR60" s="2"/>
      <c r="INS60" s="2"/>
      <c r="INT60" s="2"/>
      <c r="INU60" s="2"/>
      <c r="INV60" s="2"/>
      <c r="INW60" s="2"/>
      <c r="INX60" s="2"/>
      <c r="INY60" s="2"/>
      <c r="INZ60" s="2"/>
      <c r="IOA60" s="2"/>
      <c r="IOB60" s="2"/>
      <c r="IOC60" s="2"/>
      <c r="IOD60" s="2"/>
      <c r="IOE60" s="2"/>
      <c r="IOF60" s="2"/>
      <c r="IOG60" s="2"/>
      <c r="IOH60" s="2"/>
      <c r="IOI60" s="2"/>
      <c r="IOJ60" s="2"/>
      <c r="IOK60" s="2"/>
      <c r="IOL60" s="2"/>
      <c r="IOM60" s="2"/>
      <c r="ION60" s="2"/>
      <c r="IOO60" s="2"/>
      <c r="IOP60" s="2"/>
      <c r="IOQ60" s="2"/>
      <c r="IOR60" s="2"/>
      <c r="IOS60" s="2"/>
      <c r="IOT60" s="2"/>
      <c r="IOU60" s="2"/>
      <c r="IOV60" s="2"/>
      <c r="IOW60" s="2"/>
      <c r="IOX60" s="2"/>
      <c r="IOY60" s="2"/>
      <c r="IOZ60" s="2"/>
      <c r="IPA60" s="2"/>
      <c r="IPB60" s="2"/>
      <c r="IPC60" s="2"/>
      <c r="IPD60" s="2"/>
      <c r="IPE60" s="2"/>
      <c r="IPF60" s="2"/>
      <c r="IPG60" s="2"/>
      <c r="IPH60" s="2"/>
      <c r="IPI60" s="2"/>
      <c r="IPJ60" s="2"/>
      <c r="IPK60" s="2"/>
      <c r="IPL60" s="2"/>
      <c r="IPM60" s="2"/>
      <c r="IPN60" s="2"/>
      <c r="IPO60" s="2"/>
      <c r="IPP60" s="2"/>
      <c r="IPQ60" s="2"/>
      <c r="IPR60" s="2"/>
      <c r="IPS60" s="2"/>
      <c r="IPT60" s="2"/>
      <c r="IPU60" s="2"/>
      <c r="IPV60" s="2"/>
      <c r="IPW60" s="2"/>
      <c r="IPX60" s="2"/>
      <c r="IPY60" s="2"/>
      <c r="IPZ60" s="2"/>
      <c r="IQA60" s="2"/>
      <c r="IQB60" s="2"/>
      <c r="IQC60" s="2"/>
      <c r="IQD60" s="2"/>
      <c r="IQE60" s="2"/>
      <c r="IQF60" s="2"/>
      <c r="IQG60" s="2"/>
      <c r="IQH60" s="2"/>
      <c r="IQI60" s="2"/>
      <c r="IQJ60" s="2"/>
      <c r="IQK60" s="2"/>
      <c r="IQL60" s="2"/>
      <c r="IQM60" s="2"/>
      <c r="IQN60" s="2"/>
      <c r="IQO60" s="2"/>
      <c r="IQP60" s="2"/>
      <c r="IQQ60" s="2"/>
      <c r="IQR60" s="2"/>
      <c r="IQS60" s="2"/>
      <c r="IQT60" s="2"/>
      <c r="IQU60" s="2"/>
      <c r="IQV60" s="2"/>
      <c r="IQW60" s="2"/>
      <c r="IQX60" s="2"/>
      <c r="IQY60" s="2"/>
      <c r="IQZ60" s="2"/>
      <c r="IRA60" s="2"/>
      <c r="IRB60" s="2"/>
      <c r="IRC60" s="2"/>
      <c r="IRD60" s="2"/>
      <c r="IRE60" s="2"/>
      <c r="IRF60" s="2"/>
      <c r="IRG60" s="2"/>
      <c r="IRH60" s="2"/>
      <c r="IRI60" s="2"/>
      <c r="IRJ60" s="2"/>
      <c r="IRK60" s="2"/>
      <c r="IRL60" s="2"/>
      <c r="IRM60" s="2"/>
      <c r="IRN60" s="2"/>
      <c r="IRO60" s="2"/>
      <c r="IRP60" s="2"/>
      <c r="IRQ60" s="2"/>
      <c r="IRR60" s="2"/>
      <c r="IRS60" s="2"/>
      <c r="IRT60" s="2"/>
      <c r="IRU60" s="2"/>
      <c r="IRV60" s="2"/>
      <c r="IRW60" s="2"/>
      <c r="IRX60" s="2"/>
      <c r="IRY60" s="2"/>
      <c r="IRZ60" s="2"/>
      <c r="ISA60" s="2"/>
      <c r="ISB60" s="2"/>
      <c r="ISC60" s="2"/>
      <c r="ISD60" s="2"/>
      <c r="ISE60" s="2"/>
      <c r="ISF60" s="2"/>
      <c r="ISG60" s="2"/>
      <c r="ISH60" s="2"/>
      <c r="ISI60" s="2"/>
      <c r="ISJ60" s="2"/>
      <c r="ISK60" s="2"/>
      <c r="ISL60" s="2"/>
      <c r="ISM60" s="2"/>
      <c r="ISN60" s="2"/>
      <c r="ISO60" s="2"/>
      <c r="ISP60" s="2"/>
      <c r="ISQ60" s="2"/>
      <c r="ISR60" s="2"/>
      <c r="ISS60" s="2"/>
      <c r="IST60" s="2"/>
      <c r="ISU60" s="2"/>
      <c r="ISV60" s="2"/>
      <c r="ISW60" s="2"/>
      <c r="ISX60" s="2"/>
      <c r="ISY60" s="2"/>
      <c r="ISZ60" s="2"/>
      <c r="ITA60" s="2"/>
      <c r="ITB60" s="2"/>
      <c r="ITC60" s="2"/>
      <c r="ITD60" s="2"/>
      <c r="ITE60" s="2"/>
      <c r="ITF60" s="2"/>
      <c r="ITG60" s="2"/>
      <c r="ITH60" s="2"/>
      <c r="ITI60" s="2"/>
      <c r="ITJ60" s="2"/>
      <c r="ITK60" s="2"/>
      <c r="ITL60" s="2"/>
      <c r="ITM60" s="2"/>
      <c r="ITN60" s="2"/>
      <c r="ITO60" s="2"/>
      <c r="ITP60" s="2"/>
      <c r="ITQ60" s="2"/>
      <c r="ITR60" s="2"/>
      <c r="ITS60" s="2"/>
      <c r="ITT60" s="2"/>
      <c r="ITU60" s="2"/>
      <c r="ITV60" s="2"/>
      <c r="ITW60" s="2"/>
      <c r="ITX60" s="2"/>
      <c r="ITY60" s="2"/>
      <c r="ITZ60" s="2"/>
      <c r="IUA60" s="2"/>
      <c r="IUB60" s="2"/>
      <c r="IUC60" s="2"/>
      <c r="IUD60" s="2"/>
      <c r="IUE60" s="2"/>
      <c r="IUF60" s="2"/>
      <c r="IUG60" s="2"/>
      <c r="IUH60" s="2"/>
      <c r="IUI60" s="2"/>
      <c r="IUJ60" s="2"/>
      <c r="IUK60" s="2"/>
      <c r="IUL60" s="2"/>
      <c r="IUM60" s="2"/>
      <c r="IUN60" s="2"/>
      <c r="IUO60" s="2"/>
      <c r="IUP60" s="2"/>
      <c r="IUQ60" s="2"/>
      <c r="IUR60" s="2"/>
      <c r="IUS60" s="2"/>
      <c r="IUT60" s="2"/>
      <c r="IUU60" s="2"/>
      <c r="IUV60" s="2"/>
      <c r="IUW60" s="2"/>
      <c r="IUX60" s="2"/>
      <c r="IUY60" s="2"/>
      <c r="IUZ60" s="2"/>
      <c r="IVA60" s="2"/>
      <c r="IVB60" s="2"/>
      <c r="IVC60" s="2"/>
      <c r="IVD60" s="2"/>
      <c r="IVE60" s="2"/>
      <c r="IVF60" s="2"/>
      <c r="IVG60" s="2"/>
      <c r="IVH60" s="2"/>
      <c r="IVI60" s="2"/>
      <c r="IVJ60" s="2"/>
      <c r="IVK60" s="2"/>
      <c r="IVL60" s="2"/>
      <c r="IVM60" s="2"/>
      <c r="IVN60" s="2"/>
      <c r="IVO60" s="2"/>
      <c r="IVP60" s="2"/>
      <c r="IVQ60" s="2"/>
      <c r="IVR60" s="2"/>
      <c r="IVS60" s="2"/>
      <c r="IVT60" s="2"/>
      <c r="IVU60" s="2"/>
      <c r="IVV60" s="2"/>
      <c r="IVW60" s="2"/>
      <c r="IVX60" s="2"/>
      <c r="IVY60" s="2"/>
      <c r="IVZ60" s="2"/>
      <c r="IWA60" s="2"/>
      <c r="IWB60" s="2"/>
      <c r="IWC60" s="2"/>
      <c r="IWD60" s="2"/>
      <c r="IWE60" s="2"/>
      <c r="IWF60" s="2"/>
      <c r="IWG60" s="2"/>
      <c r="IWH60" s="2"/>
      <c r="IWI60" s="2"/>
      <c r="IWJ60" s="2"/>
      <c r="IWK60" s="2"/>
      <c r="IWL60" s="2"/>
      <c r="IWM60" s="2"/>
      <c r="IWN60" s="2"/>
      <c r="IWO60" s="2"/>
      <c r="IWP60" s="2"/>
      <c r="IWQ60" s="2"/>
      <c r="IWR60" s="2"/>
      <c r="IWS60" s="2"/>
      <c r="IWT60" s="2"/>
      <c r="IWU60" s="2"/>
      <c r="IWV60" s="2"/>
      <c r="IWW60" s="2"/>
      <c r="IWX60" s="2"/>
      <c r="IWY60" s="2"/>
      <c r="IWZ60" s="2"/>
      <c r="IXA60" s="2"/>
      <c r="IXB60" s="2"/>
      <c r="IXC60" s="2"/>
      <c r="IXD60" s="2"/>
      <c r="IXE60" s="2"/>
      <c r="IXF60" s="2"/>
      <c r="IXG60" s="2"/>
      <c r="IXH60" s="2"/>
      <c r="IXI60" s="2"/>
      <c r="IXJ60" s="2"/>
      <c r="IXK60" s="2"/>
      <c r="IXL60" s="2"/>
      <c r="IXM60" s="2"/>
      <c r="IXN60" s="2"/>
      <c r="IXO60" s="2"/>
      <c r="IXP60" s="2"/>
      <c r="IXQ60" s="2"/>
      <c r="IXR60" s="2"/>
      <c r="IXS60" s="2"/>
      <c r="IXT60" s="2"/>
      <c r="IXU60" s="2"/>
      <c r="IXV60" s="2"/>
      <c r="IXW60" s="2"/>
      <c r="IXX60" s="2"/>
      <c r="IXY60" s="2"/>
      <c r="IXZ60" s="2"/>
      <c r="IYA60" s="2"/>
      <c r="IYB60" s="2"/>
      <c r="IYC60" s="2"/>
      <c r="IYD60" s="2"/>
      <c r="IYE60" s="2"/>
      <c r="IYF60" s="2"/>
      <c r="IYG60" s="2"/>
      <c r="IYH60" s="2"/>
      <c r="IYI60" s="2"/>
      <c r="IYJ60" s="2"/>
      <c r="IYK60" s="2"/>
      <c r="IYL60" s="2"/>
      <c r="IYM60" s="2"/>
      <c r="IYN60" s="2"/>
      <c r="IYO60" s="2"/>
      <c r="IYP60" s="2"/>
      <c r="IYQ60" s="2"/>
      <c r="IYR60" s="2"/>
      <c r="IYS60" s="2"/>
      <c r="IYT60" s="2"/>
      <c r="IYU60" s="2"/>
      <c r="IYV60" s="2"/>
      <c r="IYW60" s="2"/>
      <c r="IYX60" s="2"/>
      <c r="IYY60" s="2"/>
      <c r="IYZ60" s="2"/>
      <c r="IZA60" s="2"/>
      <c r="IZB60" s="2"/>
      <c r="IZC60" s="2"/>
      <c r="IZD60" s="2"/>
      <c r="IZE60" s="2"/>
      <c r="IZF60" s="2"/>
      <c r="IZG60" s="2"/>
      <c r="IZH60" s="2"/>
      <c r="IZI60" s="2"/>
      <c r="IZJ60" s="2"/>
      <c r="IZK60" s="2"/>
      <c r="IZL60" s="2"/>
      <c r="IZM60" s="2"/>
      <c r="IZN60" s="2"/>
      <c r="IZO60" s="2"/>
      <c r="IZP60" s="2"/>
      <c r="IZQ60" s="2"/>
      <c r="IZR60" s="2"/>
      <c r="IZS60" s="2"/>
      <c r="IZT60" s="2"/>
      <c r="IZU60" s="2"/>
      <c r="IZV60" s="2"/>
      <c r="IZW60" s="2"/>
      <c r="IZX60" s="2"/>
      <c r="IZY60" s="2"/>
      <c r="IZZ60" s="2"/>
      <c r="JAA60" s="2"/>
      <c r="JAB60" s="2"/>
      <c r="JAC60" s="2"/>
      <c r="JAD60" s="2"/>
      <c r="JAE60" s="2"/>
      <c r="JAF60" s="2"/>
      <c r="JAG60" s="2"/>
      <c r="JAH60" s="2"/>
      <c r="JAI60" s="2"/>
      <c r="JAJ60" s="2"/>
      <c r="JAK60" s="2"/>
      <c r="JAL60" s="2"/>
      <c r="JAM60" s="2"/>
      <c r="JAN60" s="2"/>
      <c r="JAO60" s="2"/>
      <c r="JAP60" s="2"/>
      <c r="JAQ60" s="2"/>
      <c r="JAR60" s="2"/>
      <c r="JAS60" s="2"/>
      <c r="JAT60" s="2"/>
      <c r="JAU60" s="2"/>
      <c r="JAV60" s="2"/>
      <c r="JAW60" s="2"/>
      <c r="JAX60" s="2"/>
      <c r="JAY60" s="2"/>
      <c r="JAZ60" s="2"/>
      <c r="JBA60" s="2"/>
      <c r="JBB60" s="2"/>
      <c r="JBC60" s="2"/>
      <c r="JBD60" s="2"/>
      <c r="JBE60" s="2"/>
      <c r="JBF60" s="2"/>
      <c r="JBG60" s="2"/>
      <c r="JBH60" s="2"/>
      <c r="JBI60" s="2"/>
      <c r="JBJ60" s="2"/>
      <c r="JBK60" s="2"/>
      <c r="JBL60" s="2"/>
      <c r="JBM60" s="2"/>
      <c r="JBN60" s="2"/>
      <c r="JBO60" s="2"/>
      <c r="JBP60" s="2"/>
      <c r="JBQ60" s="2"/>
      <c r="JBR60" s="2"/>
      <c r="JBS60" s="2"/>
      <c r="JBT60" s="2"/>
      <c r="JBU60" s="2"/>
      <c r="JBV60" s="2"/>
      <c r="JBW60" s="2"/>
      <c r="JBX60" s="2"/>
      <c r="JBY60" s="2"/>
      <c r="JBZ60" s="2"/>
      <c r="JCA60" s="2"/>
      <c r="JCB60" s="2"/>
      <c r="JCC60" s="2"/>
      <c r="JCD60" s="2"/>
      <c r="JCE60" s="2"/>
      <c r="JCF60" s="2"/>
      <c r="JCG60" s="2"/>
      <c r="JCH60" s="2"/>
      <c r="JCI60" s="2"/>
      <c r="JCJ60" s="2"/>
      <c r="JCK60" s="2"/>
      <c r="JCL60" s="2"/>
      <c r="JCM60" s="2"/>
      <c r="JCN60" s="2"/>
      <c r="JCO60" s="2"/>
      <c r="JCP60" s="2"/>
      <c r="JCQ60" s="2"/>
      <c r="JCR60" s="2"/>
      <c r="JCS60" s="2"/>
      <c r="JCT60" s="2"/>
      <c r="JCU60" s="2"/>
      <c r="JCV60" s="2"/>
      <c r="JCW60" s="2"/>
      <c r="JCX60" s="2"/>
      <c r="JCY60" s="2"/>
      <c r="JCZ60" s="2"/>
      <c r="JDA60" s="2"/>
      <c r="JDB60" s="2"/>
      <c r="JDC60" s="2"/>
      <c r="JDD60" s="2"/>
      <c r="JDE60" s="2"/>
      <c r="JDF60" s="2"/>
      <c r="JDG60" s="2"/>
      <c r="JDH60" s="2"/>
      <c r="JDI60" s="2"/>
      <c r="JDJ60" s="2"/>
      <c r="JDK60" s="2"/>
      <c r="JDL60" s="2"/>
      <c r="JDM60" s="2"/>
      <c r="JDN60" s="2"/>
      <c r="JDO60" s="2"/>
      <c r="JDP60" s="2"/>
      <c r="JDQ60" s="2"/>
      <c r="JDR60" s="2"/>
      <c r="JDS60" s="2"/>
      <c r="JDT60" s="2"/>
      <c r="JDU60" s="2"/>
      <c r="JDV60" s="2"/>
      <c r="JDW60" s="2"/>
      <c r="JDX60" s="2"/>
      <c r="JDY60" s="2"/>
      <c r="JDZ60" s="2"/>
      <c r="JEA60" s="2"/>
      <c r="JEB60" s="2"/>
      <c r="JEC60" s="2"/>
      <c r="JED60" s="2"/>
      <c r="JEE60" s="2"/>
      <c r="JEF60" s="2"/>
      <c r="JEG60" s="2"/>
      <c r="JEH60" s="2"/>
      <c r="JEI60" s="2"/>
      <c r="JEJ60" s="2"/>
      <c r="JEK60" s="2"/>
      <c r="JEL60" s="2"/>
      <c r="JEM60" s="2"/>
      <c r="JEN60" s="2"/>
      <c r="JEO60" s="2"/>
      <c r="JEP60" s="2"/>
      <c r="JEQ60" s="2"/>
      <c r="JER60" s="2"/>
      <c r="JES60" s="2"/>
      <c r="JET60" s="2"/>
      <c r="JEU60" s="2"/>
      <c r="JEV60" s="2"/>
      <c r="JEW60" s="2"/>
      <c r="JEX60" s="2"/>
      <c r="JEY60" s="2"/>
      <c r="JEZ60" s="2"/>
      <c r="JFA60" s="2"/>
      <c r="JFB60" s="2"/>
      <c r="JFC60" s="2"/>
      <c r="JFD60" s="2"/>
      <c r="JFE60" s="2"/>
      <c r="JFF60" s="2"/>
      <c r="JFG60" s="2"/>
      <c r="JFH60" s="2"/>
      <c r="JFI60" s="2"/>
      <c r="JFJ60" s="2"/>
      <c r="JFK60" s="2"/>
      <c r="JFL60" s="2"/>
      <c r="JFM60" s="2"/>
      <c r="JFN60" s="2"/>
      <c r="JFO60" s="2"/>
      <c r="JFP60" s="2"/>
      <c r="JFQ60" s="2"/>
      <c r="JFR60" s="2"/>
      <c r="JFS60" s="2"/>
      <c r="JFT60" s="2"/>
      <c r="JFU60" s="2"/>
      <c r="JFV60" s="2"/>
      <c r="JFW60" s="2"/>
      <c r="JFX60" s="2"/>
      <c r="JFY60" s="2"/>
      <c r="JFZ60" s="2"/>
      <c r="JGA60" s="2"/>
      <c r="JGB60" s="2"/>
      <c r="JGC60" s="2"/>
      <c r="JGD60" s="2"/>
      <c r="JGE60" s="2"/>
      <c r="JGF60" s="2"/>
      <c r="JGG60" s="2"/>
      <c r="JGH60" s="2"/>
      <c r="JGI60" s="2"/>
      <c r="JGJ60" s="2"/>
      <c r="JGK60" s="2"/>
      <c r="JGL60" s="2"/>
      <c r="JGM60" s="2"/>
      <c r="JGN60" s="2"/>
      <c r="JGO60" s="2"/>
      <c r="JGP60" s="2"/>
      <c r="JGQ60" s="2"/>
      <c r="JGR60" s="2"/>
      <c r="JGS60" s="2"/>
      <c r="JGT60" s="2"/>
      <c r="JGU60" s="2"/>
      <c r="JGV60" s="2"/>
      <c r="JGW60" s="2"/>
      <c r="JGX60" s="2"/>
      <c r="JGY60" s="2"/>
      <c r="JGZ60" s="2"/>
      <c r="JHA60" s="2"/>
      <c r="JHB60" s="2"/>
      <c r="JHC60" s="2"/>
      <c r="JHD60" s="2"/>
      <c r="JHE60" s="2"/>
      <c r="JHF60" s="2"/>
      <c r="JHG60" s="2"/>
      <c r="JHH60" s="2"/>
      <c r="JHI60" s="2"/>
      <c r="JHJ60" s="2"/>
      <c r="JHK60" s="2"/>
      <c r="JHL60" s="2"/>
      <c r="JHM60" s="2"/>
      <c r="JHN60" s="2"/>
      <c r="JHO60" s="2"/>
      <c r="JHP60" s="2"/>
      <c r="JHQ60" s="2"/>
      <c r="JHR60" s="2"/>
      <c r="JHS60" s="2"/>
      <c r="JHT60" s="2"/>
      <c r="JHU60" s="2"/>
      <c r="JHV60" s="2"/>
      <c r="JHW60" s="2"/>
      <c r="JHX60" s="2"/>
      <c r="JHY60" s="2"/>
      <c r="JHZ60" s="2"/>
      <c r="JIA60" s="2"/>
      <c r="JIB60" s="2"/>
      <c r="JIC60" s="2"/>
      <c r="JID60" s="2"/>
      <c r="JIE60" s="2"/>
      <c r="JIF60" s="2"/>
      <c r="JIG60" s="2"/>
      <c r="JIH60" s="2"/>
      <c r="JII60" s="2"/>
      <c r="JIJ60" s="2"/>
      <c r="JIK60" s="2"/>
      <c r="JIL60" s="2"/>
      <c r="JIM60" s="2"/>
      <c r="JIN60" s="2"/>
      <c r="JIO60" s="2"/>
      <c r="JIP60" s="2"/>
      <c r="JIQ60" s="2"/>
      <c r="JIR60" s="2"/>
      <c r="JIS60" s="2"/>
      <c r="JIT60" s="2"/>
      <c r="JIU60" s="2"/>
      <c r="JIV60" s="2"/>
      <c r="JIW60" s="2"/>
      <c r="JIX60" s="2"/>
      <c r="JIY60" s="2"/>
      <c r="JIZ60" s="2"/>
      <c r="JJA60" s="2"/>
      <c r="JJB60" s="2"/>
      <c r="JJC60" s="2"/>
      <c r="JJD60" s="2"/>
      <c r="JJE60" s="2"/>
      <c r="JJF60" s="2"/>
      <c r="JJG60" s="2"/>
      <c r="JJH60" s="2"/>
      <c r="JJI60" s="2"/>
      <c r="JJJ60" s="2"/>
      <c r="JJK60" s="2"/>
      <c r="JJL60" s="2"/>
      <c r="JJM60" s="2"/>
      <c r="JJN60" s="2"/>
      <c r="JJO60" s="2"/>
      <c r="JJP60" s="2"/>
      <c r="JJQ60" s="2"/>
      <c r="JJR60" s="2"/>
      <c r="JJS60" s="2"/>
      <c r="JJT60" s="2"/>
      <c r="JJU60" s="2"/>
      <c r="JJV60" s="2"/>
      <c r="JJW60" s="2"/>
      <c r="JJX60" s="2"/>
      <c r="JJY60" s="2"/>
      <c r="JJZ60" s="2"/>
      <c r="JKA60" s="2"/>
      <c r="JKB60" s="2"/>
      <c r="JKC60" s="2"/>
      <c r="JKD60" s="2"/>
      <c r="JKE60" s="2"/>
      <c r="JKF60" s="2"/>
      <c r="JKG60" s="2"/>
      <c r="JKH60" s="2"/>
      <c r="JKI60" s="2"/>
      <c r="JKJ60" s="2"/>
      <c r="JKK60" s="2"/>
      <c r="JKL60" s="2"/>
      <c r="JKM60" s="2"/>
      <c r="JKN60" s="2"/>
      <c r="JKO60" s="2"/>
      <c r="JKP60" s="2"/>
      <c r="JKQ60" s="2"/>
      <c r="JKR60" s="2"/>
      <c r="JKS60" s="2"/>
      <c r="JKT60" s="2"/>
      <c r="JKU60" s="2"/>
      <c r="JKV60" s="2"/>
      <c r="JKW60" s="2"/>
      <c r="JKX60" s="2"/>
      <c r="JKY60" s="2"/>
      <c r="JKZ60" s="2"/>
      <c r="JLA60" s="2"/>
      <c r="JLB60" s="2"/>
      <c r="JLC60" s="2"/>
      <c r="JLD60" s="2"/>
      <c r="JLE60" s="2"/>
      <c r="JLF60" s="2"/>
      <c r="JLG60" s="2"/>
      <c r="JLH60" s="2"/>
      <c r="JLI60" s="2"/>
      <c r="JLJ60" s="2"/>
      <c r="JLK60" s="2"/>
      <c r="JLL60" s="2"/>
      <c r="JLM60" s="2"/>
      <c r="JLN60" s="2"/>
      <c r="JLO60" s="2"/>
      <c r="JLP60" s="2"/>
      <c r="JLQ60" s="2"/>
      <c r="JLR60" s="2"/>
      <c r="JLS60" s="2"/>
      <c r="JLT60" s="2"/>
      <c r="JLU60" s="2"/>
      <c r="JLV60" s="2"/>
      <c r="JLW60" s="2"/>
      <c r="JLX60" s="2"/>
      <c r="JLY60" s="2"/>
      <c r="JLZ60" s="2"/>
      <c r="JMA60" s="2"/>
      <c r="JMB60" s="2"/>
      <c r="JMC60" s="2"/>
      <c r="JMD60" s="2"/>
      <c r="JME60" s="2"/>
      <c r="JMF60" s="2"/>
      <c r="JMG60" s="2"/>
      <c r="JMH60" s="2"/>
      <c r="JMI60" s="2"/>
      <c r="JMJ60" s="2"/>
      <c r="JMK60" s="2"/>
      <c r="JML60" s="2"/>
      <c r="JMM60" s="2"/>
      <c r="JMN60" s="2"/>
      <c r="JMO60" s="2"/>
      <c r="JMP60" s="2"/>
      <c r="JMQ60" s="2"/>
      <c r="JMR60" s="2"/>
      <c r="JMS60" s="2"/>
      <c r="JMT60" s="2"/>
      <c r="JMU60" s="2"/>
      <c r="JMV60" s="2"/>
      <c r="JMW60" s="2"/>
      <c r="JMX60" s="2"/>
      <c r="JMY60" s="2"/>
      <c r="JMZ60" s="2"/>
      <c r="JNA60" s="2"/>
      <c r="JNB60" s="2"/>
      <c r="JNC60" s="2"/>
      <c r="JND60" s="2"/>
      <c r="JNE60" s="2"/>
      <c r="JNF60" s="2"/>
      <c r="JNG60" s="2"/>
      <c r="JNH60" s="2"/>
      <c r="JNI60" s="2"/>
      <c r="JNJ60" s="2"/>
      <c r="JNK60" s="2"/>
      <c r="JNL60" s="2"/>
      <c r="JNM60" s="2"/>
      <c r="JNN60" s="2"/>
      <c r="JNO60" s="2"/>
      <c r="JNP60" s="2"/>
      <c r="JNQ60" s="2"/>
      <c r="JNR60" s="2"/>
      <c r="JNS60" s="2"/>
      <c r="JNT60" s="2"/>
      <c r="JNU60" s="2"/>
      <c r="JNV60" s="2"/>
      <c r="JNW60" s="2"/>
      <c r="JNX60" s="2"/>
      <c r="JNY60" s="2"/>
      <c r="JNZ60" s="2"/>
      <c r="JOA60" s="2"/>
      <c r="JOB60" s="2"/>
      <c r="JOC60" s="2"/>
      <c r="JOD60" s="2"/>
      <c r="JOE60" s="2"/>
      <c r="JOF60" s="2"/>
      <c r="JOG60" s="2"/>
      <c r="JOH60" s="2"/>
      <c r="JOI60" s="2"/>
      <c r="JOJ60" s="2"/>
      <c r="JOK60" s="2"/>
      <c r="JOL60" s="2"/>
      <c r="JOM60" s="2"/>
      <c r="JON60" s="2"/>
      <c r="JOO60" s="2"/>
      <c r="JOP60" s="2"/>
      <c r="JOQ60" s="2"/>
      <c r="JOR60" s="2"/>
      <c r="JOS60" s="2"/>
      <c r="JOT60" s="2"/>
      <c r="JOU60" s="2"/>
      <c r="JOV60" s="2"/>
      <c r="JOW60" s="2"/>
      <c r="JOX60" s="2"/>
      <c r="JOY60" s="2"/>
      <c r="JOZ60" s="2"/>
      <c r="JPA60" s="2"/>
      <c r="JPB60" s="2"/>
      <c r="JPC60" s="2"/>
      <c r="JPD60" s="2"/>
      <c r="JPE60" s="2"/>
      <c r="JPF60" s="2"/>
      <c r="JPG60" s="2"/>
      <c r="JPH60" s="2"/>
      <c r="JPI60" s="2"/>
      <c r="JPJ60" s="2"/>
      <c r="JPK60" s="2"/>
      <c r="JPL60" s="2"/>
      <c r="JPM60" s="2"/>
      <c r="JPN60" s="2"/>
      <c r="JPO60" s="2"/>
      <c r="JPP60" s="2"/>
      <c r="JPQ60" s="2"/>
      <c r="JPR60" s="2"/>
      <c r="JPS60" s="2"/>
      <c r="JPT60" s="2"/>
      <c r="JPU60" s="2"/>
      <c r="JPV60" s="2"/>
      <c r="JPW60" s="2"/>
      <c r="JPX60" s="2"/>
      <c r="JPY60" s="2"/>
      <c r="JPZ60" s="2"/>
      <c r="JQA60" s="2"/>
      <c r="JQB60" s="2"/>
      <c r="JQC60" s="2"/>
      <c r="JQD60" s="2"/>
      <c r="JQE60" s="2"/>
      <c r="JQF60" s="2"/>
      <c r="JQG60" s="2"/>
      <c r="JQH60" s="2"/>
      <c r="JQI60" s="2"/>
      <c r="JQJ60" s="2"/>
      <c r="JQK60" s="2"/>
      <c r="JQL60" s="2"/>
      <c r="JQM60" s="2"/>
      <c r="JQN60" s="2"/>
      <c r="JQO60" s="2"/>
      <c r="JQP60" s="2"/>
      <c r="JQQ60" s="2"/>
      <c r="JQR60" s="2"/>
      <c r="JQS60" s="2"/>
      <c r="JQT60" s="2"/>
      <c r="JQU60" s="2"/>
      <c r="JQV60" s="2"/>
      <c r="JQW60" s="2"/>
      <c r="JQX60" s="2"/>
      <c r="JQY60" s="2"/>
      <c r="JQZ60" s="2"/>
      <c r="JRA60" s="2"/>
      <c r="JRB60" s="2"/>
      <c r="JRC60" s="2"/>
      <c r="JRD60" s="2"/>
      <c r="JRE60" s="2"/>
      <c r="JRF60" s="2"/>
      <c r="JRG60" s="2"/>
      <c r="JRH60" s="2"/>
      <c r="JRI60" s="2"/>
      <c r="JRJ60" s="2"/>
      <c r="JRK60" s="2"/>
      <c r="JRL60" s="2"/>
      <c r="JRM60" s="2"/>
      <c r="JRN60" s="2"/>
      <c r="JRO60" s="2"/>
      <c r="JRP60" s="2"/>
      <c r="JRQ60" s="2"/>
      <c r="JRR60" s="2"/>
      <c r="JRS60" s="2"/>
      <c r="JRT60" s="2"/>
      <c r="JRU60" s="2"/>
      <c r="JRV60" s="2"/>
      <c r="JRW60" s="2"/>
      <c r="JRX60" s="2"/>
      <c r="JRY60" s="2"/>
      <c r="JRZ60" s="2"/>
      <c r="JSA60" s="2"/>
      <c r="JSB60" s="2"/>
      <c r="JSC60" s="2"/>
      <c r="JSD60" s="2"/>
      <c r="JSE60" s="2"/>
      <c r="JSF60" s="2"/>
      <c r="JSG60" s="2"/>
      <c r="JSH60" s="2"/>
      <c r="JSI60" s="2"/>
      <c r="JSJ60" s="2"/>
      <c r="JSK60" s="2"/>
      <c r="JSL60" s="2"/>
      <c r="JSM60" s="2"/>
      <c r="JSN60" s="2"/>
      <c r="JSO60" s="2"/>
      <c r="JSP60" s="2"/>
      <c r="JSQ60" s="2"/>
      <c r="JSR60" s="2"/>
      <c r="JSS60" s="2"/>
      <c r="JST60" s="2"/>
      <c r="JSU60" s="2"/>
      <c r="JSV60" s="2"/>
      <c r="JSW60" s="2"/>
      <c r="JSX60" s="2"/>
      <c r="JSY60" s="2"/>
      <c r="JSZ60" s="2"/>
      <c r="JTA60" s="2"/>
      <c r="JTB60" s="2"/>
      <c r="JTC60" s="2"/>
      <c r="JTD60" s="2"/>
      <c r="JTE60" s="2"/>
      <c r="JTF60" s="2"/>
      <c r="JTG60" s="2"/>
      <c r="JTH60" s="2"/>
      <c r="JTI60" s="2"/>
      <c r="JTJ60" s="2"/>
      <c r="JTK60" s="2"/>
      <c r="JTL60" s="2"/>
      <c r="JTM60" s="2"/>
      <c r="JTN60" s="2"/>
      <c r="JTO60" s="2"/>
      <c r="JTP60" s="2"/>
      <c r="JTQ60" s="2"/>
      <c r="JTR60" s="2"/>
      <c r="JTS60" s="2"/>
      <c r="JTT60" s="2"/>
      <c r="JTU60" s="2"/>
      <c r="JTV60" s="2"/>
      <c r="JTW60" s="2"/>
      <c r="JTX60" s="2"/>
      <c r="JTY60" s="2"/>
      <c r="JTZ60" s="2"/>
      <c r="JUA60" s="2"/>
      <c r="JUB60" s="2"/>
      <c r="JUC60" s="2"/>
      <c r="JUD60" s="2"/>
      <c r="JUE60" s="2"/>
      <c r="JUF60" s="2"/>
      <c r="JUG60" s="2"/>
      <c r="JUH60" s="2"/>
      <c r="JUI60" s="2"/>
      <c r="JUJ60" s="2"/>
      <c r="JUK60" s="2"/>
      <c r="JUL60" s="2"/>
      <c r="JUM60" s="2"/>
      <c r="JUN60" s="2"/>
      <c r="JUO60" s="2"/>
      <c r="JUP60" s="2"/>
      <c r="JUQ60" s="2"/>
      <c r="JUR60" s="2"/>
      <c r="JUS60" s="2"/>
      <c r="JUT60" s="2"/>
      <c r="JUU60" s="2"/>
      <c r="JUV60" s="2"/>
      <c r="JUW60" s="2"/>
      <c r="JUX60" s="2"/>
      <c r="JUY60" s="2"/>
      <c r="JUZ60" s="2"/>
      <c r="JVA60" s="2"/>
      <c r="JVB60" s="2"/>
      <c r="JVC60" s="2"/>
      <c r="JVD60" s="2"/>
      <c r="JVE60" s="2"/>
      <c r="JVF60" s="2"/>
      <c r="JVG60" s="2"/>
      <c r="JVH60" s="2"/>
      <c r="JVI60" s="2"/>
      <c r="JVJ60" s="2"/>
      <c r="JVK60" s="2"/>
      <c r="JVL60" s="2"/>
      <c r="JVM60" s="2"/>
      <c r="JVN60" s="2"/>
      <c r="JVO60" s="2"/>
      <c r="JVP60" s="2"/>
      <c r="JVQ60" s="2"/>
      <c r="JVR60" s="2"/>
      <c r="JVS60" s="2"/>
      <c r="JVT60" s="2"/>
      <c r="JVU60" s="2"/>
      <c r="JVV60" s="2"/>
      <c r="JVW60" s="2"/>
      <c r="JVX60" s="2"/>
      <c r="JVY60" s="2"/>
      <c r="JVZ60" s="2"/>
      <c r="JWA60" s="2"/>
      <c r="JWB60" s="2"/>
      <c r="JWC60" s="2"/>
      <c r="JWD60" s="2"/>
      <c r="JWE60" s="2"/>
      <c r="JWF60" s="2"/>
      <c r="JWG60" s="2"/>
      <c r="JWH60" s="2"/>
      <c r="JWI60" s="2"/>
      <c r="JWJ60" s="2"/>
      <c r="JWK60" s="2"/>
      <c r="JWL60" s="2"/>
      <c r="JWM60" s="2"/>
      <c r="JWN60" s="2"/>
      <c r="JWO60" s="2"/>
      <c r="JWP60" s="2"/>
      <c r="JWQ60" s="2"/>
      <c r="JWR60" s="2"/>
      <c r="JWS60" s="2"/>
      <c r="JWT60" s="2"/>
      <c r="JWU60" s="2"/>
      <c r="JWV60" s="2"/>
      <c r="JWW60" s="2"/>
      <c r="JWX60" s="2"/>
      <c r="JWY60" s="2"/>
      <c r="JWZ60" s="2"/>
      <c r="JXA60" s="2"/>
      <c r="JXB60" s="2"/>
      <c r="JXC60" s="2"/>
      <c r="JXD60" s="2"/>
      <c r="JXE60" s="2"/>
      <c r="JXF60" s="2"/>
      <c r="JXG60" s="2"/>
      <c r="JXH60" s="2"/>
      <c r="JXI60" s="2"/>
      <c r="JXJ60" s="2"/>
      <c r="JXK60" s="2"/>
      <c r="JXL60" s="2"/>
      <c r="JXM60" s="2"/>
      <c r="JXN60" s="2"/>
      <c r="JXO60" s="2"/>
      <c r="JXP60" s="2"/>
      <c r="JXQ60" s="2"/>
      <c r="JXR60" s="2"/>
      <c r="JXS60" s="2"/>
      <c r="JXT60" s="2"/>
      <c r="JXU60" s="2"/>
      <c r="JXV60" s="2"/>
      <c r="JXW60" s="2"/>
      <c r="JXX60" s="2"/>
      <c r="JXY60" s="2"/>
      <c r="JXZ60" s="2"/>
      <c r="JYA60" s="2"/>
      <c r="JYB60" s="2"/>
      <c r="JYC60" s="2"/>
      <c r="JYD60" s="2"/>
      <c r="JYE60" s="2"/>
      <c r="JYF60" s="2"/>
      <c r="JYG60" s="2"/>
      <c r="JYH60" s="2"/>
      <c r="JYI60" s="2"/>
      <c r="JYJ60" s="2"/>
      <c r="JYK60" s="2"/>
      <c r="JYL60" s="2"/>
      <c r="JYM60" s="2"/>
      <c r="JYN60" s="2"/>
      <c r="JYO60" s="2"/>
      <c r="JYP60" s="2"/>
      <c r="JYQ60" s="2"/>
      <c r="JYR60" s="2"/>
      <c r="JYS60" s="2"/>
      <c r="JYT60" s="2"/>
      <c r="JYU60" s="2"/>
      <c r="JYV60" s="2"/>
      <c r="JYW60" s="2"/>
      <c r="JYX60" s="2"/>
      <c r="JYY60" s="2"/>
      <c r="JYZ60" s="2"/>
      <c r="JZA60" s="2"/>
      <c r="JZB60" s="2"/>
      <c r="JZC60" s="2"/>
      <c r="JZD60" s="2"/>
      <c r="JZE60" s="2"/>
      <c r="JZF60" s="2"/>
      <c r="JZG60" s="2"/>
      <c r="JZH60" s="2"/>
      <c r="JZI60" s="2"/>
      <c r="JZJ60" s="2"/>
      <c r="JZK60" s="2"/>
      <c r="JZL60" s="2"/>
      <c r="JZM60" s="2"/>
      <c r="JZN60" s="2"/>
      <c r="JZO60" s="2"/>
      <c r="JZP60" s="2"/>
      <c r="JZQ60" s="2"/>
      <c r="JZR60" s="2"/>
      <c r="JZS60" s="2"/>
      <c r="JZT60" s="2"/>
      <c r="JZU60" s="2"/>
      <c r="JZV60" s="2"/>
      <c r="JZW60" s="2"/>
      <c r="JZX60" s="2"/>
      <c r="JZY60" s="2"/>
      <c r="JZZ60" s="2"/>
      <c r="KAA60" s="2"/>
      <c r="KAB60" s="2"/>
      <c r="KAC60" s="2"/>
      <c r="KAD60" s="2"/>
      <c r="KAE60" s="2"/>
      <c r="KAF60" s="2"/>
      <c r="KAG60" s="2"/>
      <c r="KAH60" s="2"/>
      <c r="KAI60" s="2"/>
      <c r="KAJ60" s="2"/>
      <c r="KAK60" s="2"/>
      <c r="KAL60" s="2"/>
      <c r="KAM60" s="2"/>
      <c r="KAN60" s="2"/>
      <c r="KAO60" s="2"/>
      <c r="KAP60" s="2"/>
      <c r="KAQ60" s="2"/>
      <c r="KAR60" s="2"/>
      <c r="KAS60" s="2"/>
      <c r="KAT60" s="2"/>
      <c r="KAU60" s="2"/>
      <c r="KAV60" s="2"/>
      <c r="KAW60" s="2"/>
      <c r="KAX60" s="2"/>
      <c r="KAY60" s="2"/>
      <c r="KAZ60" s="2"/>
      <c r="KBA60" s="2"/>
      <c r="KBB60" s="2"/>
      <c r="KBC60" s="2"/>
      <c r="KBD60" s="2"/>
      <c r="KBE60" s="2"/>
      <c r="KBF60" s="2"/>
      <c r="KBG60" s="2"/>
      <c r="KBH60" s="2"/>
      <c r="KBI60" s="2"/>
      <c r="KBJ60" s="2"/>
      <c r="KBK60" s="2"/>
      <c r="KBL60" s="2"/>
      <c r="KBM60" s="2"/>
      <c r="KBN60" s="2"/>
      <c r="KBO60" s="2"/>
      <c r="KBP60" s="2"/>
      <c r="KBQ60" s="2"/>
      <c r="KBR60" s="2"/>
      <c r="KBS60" s="2"/>
      <c r="KBT60" s="2"/>
      <c r="KBU60" s="2"/>
      <c r="KBV60" s="2"/>
      <c r="KBW60" s="2"/>
      <c r="KBX60" s="2"/>
      <c r="KBY60" s="2"/>
      <c r="KBZ60" s="2"/>
      <c r="KCA60" s="2"/>
      <c r="KCB60" s="2"/>
      <c r="KCC60" s="2"/>
      <c r="KCD60" s="2"/>
      <c r="KCE60" s="2"/>
      <c r="KCF60" s="2"/>
      <c r="KCG60" s="2"/>
      <c r="KCH60" s="2"/>
      <c r="KCI60" s="2"/>
      <c r="KCJ60" s="2"/>
      <c r="KCK60" s="2"/>
      <c r="KCL60" s="2"/>
      <c r="KCM60" s="2"/>
      <c r="KCN60" s="2"/>
      <c r="KCO60" s="2"/>
      <c r="KCP60" s="2"/>
      <c r="KCQ60" s="2"/>
      <c r="KCR60" s="2"/>
      <c r="KCS60" s="2"/>
      <c r="KCT60" s="2"/>
      <c r="KCU60" s="2"/>
      <c r="KCV60" s="2"/>
      <c r="KCW60" s="2"/>
      <c r="KCX60" s="2"/>
      <c r="KCY60" s="2"/>
      <c r="KCZ60" s="2"/>
      <c r="KDA60" s="2"/>
      <c r="KDB60" s="2"/>
      <c r="KDC60" s="2"/>
      <c r="KDD60" s="2"/>
      <c r="KDE60" s="2"/>
      <c r="KDF60" s="2"/>
      <c r="KDG60" s="2"/>
      <c r="KDH60" s="2"/>
      <c r="KDI60" s="2"/>
      <c r="KDJ60" s="2"/>
      <c r="KDK60" s="2"/>
      <c r="KDL60" s="2"/>
      <c r="KDM60" s="2"/>
      <c r="KDN60" s="2"/>
      <c r="KDO60" s="2"/>
      <c r="KDP60" s="2"/>
      <c r="KDQ60" s="2"/>
      <c r="KDR60" s="2"/>
      <c r="KDS60" s="2"/>
      <c r="KDT60" s="2"/>
      <c r="KDU60" s="2"/>
      <c r="KDV60" s="2"/>
      <c r="KDW60" s="2"/>
      <c r="KDX60" s="2"/>
      <c r="KDY60" s="2"/>
      <c r="KDZ60" s="2"/>
      <c r="KEA60" s="2"/>
      <c r="KEB60" s="2"/>
      <c r="KEC60" s="2"/>
      <c r="KED60" s="2"/>
      <c r="KEE60" s="2"/>
      <c r="KEF60" s="2"/>
      <c r="KEG60" s="2"/>
      <c r="KEH60" s="2"/>
      <c r="KEI60" s="2"/>
      <c r="KEJ60" s="2"/>
      <c r="KEK60" s="2"/>
      <c r="KEL60" s="2"/>
      <c r="KEM60" s="2"/>
      <c r="KEN60" s="2"/>
      <c r="KEO60" s="2"/>
      <c r="KEP60" s="2"/>
      <c r="KEQ60" s="2"/>
      <c r="KER60" s="2"/>
      <c r="KES60" s="2"/>
      <c r="KET60" s="2"/>
      <c r="KEU60" s="2"/>
      <c r="KEV60" s="2"/>
      <c r="KEW60" s="2"/>
      <c r="KEX60" s="2"/>
      <c r="KEY60" s="2"/>
      <c r="KEZ60" s="2"/>
      <c r="KFA60" s="2"/>
      <c r="KFB60" s="2"/>
      <c r="KFC60" s="2"/>
      <c r="KFD60" s="2"/>
      <c r="KFE60" s="2"/>
      <c r="KFF60" s="2"/>
      <c r="KFG60" s="2"/>
      <c r="KFH60" s="2"/>
      <c r="KFI60" s="2"/>
      <c r="KFJ60" s="2"/>
      <c r="KFK60" s="2"/>
      <c r="KFL60" s="2"/>
      <c r="KFM60" s="2"/>
      <c r="KFN60" s="2"/>
      <c r="KFO60" s="2"/>
      <c r="KFP60" s="2"/>
      <c r="KFQ60" s="2"/>
      <c r="KFR60" s="2"/>
      <c r="KFS60" s="2"/>
      <c r="KFT60" s="2"/>
      <c r="KFU60" s="2"/>
      <c r="KFV60" s="2"/>
      <c r="KFW60" s="2"/>
      <c r="KFX60" s="2"/>
      <c r="KFY60" s="2"/>
      <c r="KFZ60" s="2"/>
      <c r="KGA60" s="2"/>
      <c r="KGB60" s="2"/>
      <c r="KGC60" s="2"/>
      <c r="KGD60" s="2"/>
      <c r="KGE60" s="2"/>
      <c r="KGF60" s="2"/>
      <c r="KGG60" s="2"/>
      <c r="KGH60" s="2"/>
      <c r="KGI60" s="2"/>
      <c r="KGJ60" s="2"/>
      <c r="KGK60" s="2"/>
      <c r="KGL60" s="2"/>
      <c r="KGM60" s="2"/>
      <c r="KGN60" s="2"/>
      <c r="KGO60" s="2"/>
      <c r="KGP60" s="2"/>
      <c r="KGQ60" s="2"/>
      <c r="KGR60" s="2"/>
      <c r="KGS60" s="2"/>
      <c r="KGT60" s="2"/>
      <c r="KGU60" s="2"/>
      <c r="KGV60" s="2"/>
      <c r="KGW60" s="2"/>
      <c r="KGX60" s="2"/>
      <c r="KGY60" s="2"/>
      <c r="KGZ60" s="2"/>
      <c r="KHA60" s="2"/>
      <c r="KHB60" s="2"/>
      <c r="KHC60" s="2"/>
      <c r="KHD60" s="2"/>
      <c r="KHE60" s="2"/>
      <c r="KHF60" s="2"/>
      <c r="KHG60" s="2"/>
      <c r="KHH60" s="2"/>
      <c r="KHI60" s="2"/>
      <c r="KHJ60" s="2"/>
      <c r="KHK60" s="2"/>
      <c r="KHL60" s="2"/>
      <c r="KHM60" s="2"/>
      <c r="KHN60" s="2"/>
      <c r="KHO60" s="2"/>
      <c r="KHP60" s="2"/>
      <c r="KHQ60" s="2"/>
      <c r="KHR60" s="2"/>
      <c r="KHS60" s="2"/>
      <c r="KHT60" s="2"/>
      <c r="KHU60" s="2"/>
      <c r="KHV60" s="2"/>
      <c r="KHW60" s="2"/>
      <c r="KHX60" s="2"/>
      <c r="KHY60" s="2"/>
      <c r="KHZ60" s="2"/>
      <c r="KIA60" s="2"/>
      <c r="KIB60" s="2"/>
      <c r="KIC60" s="2"/>
      <c r="KID60" s="2"/>
      <c r="KIE60" s="2"/>
      <c r="KIF60" s="2"/>
      <c r="KIG60" s="2"/>
      <c r="KIH60" s="2"/>
      <c r="KII60" s="2"/>
      <c r="KIJ60" s="2"/>
      <c r="KIK60" s="2"/>
      <c r="KIL60" s="2"/>
      <c r="KIM60" s="2"/>
      <c r="KIN60" s="2"/>
      <c r="KIO60" s="2"/>
      <c r="KIP60" s="2"/>
      <c r="KIQ60" s="2"/>
      <c r="KIR60" s="2"/>
      <c r="KIS60" s="2"/>
      <c r="KIT60" s="2"/>
      <c r="KIU60" s="2"/>
      <c r="KIV60" s="2"/>
      <c r="KIW60" s="2"/>
      <c r="KIX60" s="2"/>
      <c r="KIY60" s="2"/>
      <c r="KIZ60" s="2"/>
      <c r="KJA60" s="2"/>
      <c r="KJB60" s="2"/>
      <c r="KJC60" s="2"/>
      <c r="KJD60" s="2"/>
      <c r="KJE60" s="2"/>
      <c r="KJF60" s="2"/>
      <c r="KJG60" s="2"/>
      <c r="KJH60" s="2"/>
      <c r="KJI60" s="2"/>
      <c r="KJJ60" s="2"/>
      <c r="KJK60" s="2"/>
      <c r="KJL60" s="2"/>
      <c r="KJM60" s="2"/>
      <c r="KJN60" s="2"/>
      <c r="KJO60" s="2"/>
      <c r="KJP60" s="2"/>
      <c r="KJQ60" s="2"/>
      <c r="KJR60" s="2"/>
      <c r="KJS60" s="2"/>
      <c r="KJT60" s="2"/>
      <c r="KJU60" s="2"/>
      <c r="KJV60" s="2"/>
      <c r="KJW60" s="2"/>
      <c r="KJX60" s="2"/>
      <c r="KJY60" s="2"/>
      <c r="KJZ60" s="2"/>
      <c r="KKA60" s="2"/>
      <c r="KKB60" s="2"/>
      <c r="KKC60" s="2"/>
      <c r="KKD60" s="2"/>
      <c r="KKE60" s="2"/>
      <c r="KKF60" s="2"/>
      <c r="KKG60" s="2"/>
      <c r="KKH60" s="2"/>
      <c r="KKI60" s="2"/>
      <c r="KKJ60" s="2"/>
      <c r="KKK60" s="2"/>
      <c r="KKL60" s="2"/>
      <c r="KKM60" s="2"/>
      <c r="KKN60" s="2"/>
      <c r="KKO60" s="2"/>
      <c r="KKP60" s="2"/>
      <c r="KKQ60" s="2"/>
      <c r="KKR60" s="2"/>
      <c r="KKS60" s="2"/>
      <c r="KKT60" s="2"/>
      <c r="KKU60" s="2"/>
      <c r="KKV60" s="2"/>
      <c r="KKW60" s="2"/>
      <c r="KKX60" s="2"/>
      <c r="KKY60" s="2"/>
      <c r="KKZ60" s="2"/>
      <c r="KLA60" s="2"/>
      <c r="KLB60" s="2"/>
      <c r="KLC60" s="2"/>
      <c r="KLD60" s="2"/>
      <c r="KLE60" s="2"/>
      <c r="KLF60" s="2"/>
      <c r="KLG60" s="2"/>
      <c r="KLH60" s="2"/>
      <c r="KLI60" s="2"/>
      <c r="KLJ60" s="2"/>
      <c r="KLK60" s="2"/>
      <c r="KLL60" s="2"/>
      <c r="KLM60" s="2"/>
      <c r="KLN60" s="2"/>
      <c r="KLO60" s="2"/>
      <c r="KLP60" s="2"/>
      <c r="KLQ60" s="2"/>
      <c r="KLR60" s="2"/>
      <c r="KLS60" s="2"/>
      <c r="KLT60" s="2"/>
      <c r="KLU60" s="2"/>
      <c r="KLV60" s="2"/>
      <c r="KLW60" s="2"/>
      <c r="KLX60" s="2"/>
      <c r="KLY60" s="2"/>
      <c r="KLZ60" s="2"/>
      <c r="KMA60" s="2"/>
      <c r="KMB60" s="2"/>
      <c r="KMC60" s="2"/>
      <c r="KMD60" s="2"/>
      <c r="KME60" s="2"/>
      <c r="KMF60" s="2"/>
      <c r="KMG60" s="2"/>
      <c r="KMH60" s="2"/>
      <c r="KMI60" s="2"/>
      <c r="KMJ60" s="2"/>
      <c r="KMK60" s="2"/>
      <c r="KML60" s="2"/>
      <c r="KMM60" s="2"/>
      <c r="KMN60" s="2"/>
      <c r="KMO60" s="2"/>
      <c r="KMP60" s="2"/>
      <c r="KMQ60" s="2"/>
      <c r="KMR60" s="2"/>
      <c r="KMS60" s="2"/>
      <c r="KMT60" s="2"/>
      <c r="KMU60" s="2"/>
      <c r="KMV60" s="2"/>
      <c r="KMW60" s="2"/>
      <c r="KMX60" s="2"/>
      <c r="KMY60" s="2"/>
      <c r="KMZ60" s="2"/>
      <c r="KNA60" s="2"/>
      <c r="KNB60" s="2"/>
      <c r="KNC60" s="2"/>
      <c r="KND60" s="2"/>
      <c r="KNE60" s="2"/>
      <c r="KNF60" s="2"/>
      <c r="KNG60" s="2"/>
      <c r="KNH60" s="2"/>
      <c r="KNI60" s="2"/>
      <c r="KNJ60" s="2"/>
      <c r="KNK60" s="2"/>
      <c r="KNL60" s="2"/>
      <c r="KNM60" s="2"/>
      <c r="KNN60" s="2"/>
      <c r="KNO60" s="2"/>
      <c r="KNP60" s="2"/>
      <c r="KNQ60" s="2"/>
      <c r="KNR60" s="2"/>
      <c r="KNS60" s="2"/>
      <c r="KNT60" s="2"/>
      <c r="KNU60" s="2"/>
      <c r="KNV60" s="2"/>
      <c r="KNW60" s="2"/>
      <c r="KNX60" s="2"/>
      <c r="KNY60" s="2"/>
      <c r="KNZ60" s="2"/>
      <c r="KOA60" s="2"/>
      <c r="KOB60" s="2"/>
      <c r="KOC60" s="2"/>
      <c r="KOD60" s="2"/>
      <c r="KOE60" s="2"/>
      <c r="KOF60" s="2"/>
      <c r="KOG60" s="2"/>
      <c r="KOH60" s="2"/>
      <c r="KOI60" s="2"/>
      <c r="KOJ60" s="2"/>
      <c r="KOK60" s="2"/>
      <c r="KOL60" s="2"/>
      <c r="KOM60" s="2"/>
      <c r="KON60" s="2"/>
      <c r="KOO60" s="2"/>
      <c r="KOP60" s="2"/>
      <c r="KOQ60" s="2"/>
      <c r="KOR60" s="2"/>
      <c r="KOS60" s="2"/>
      <c r="KOT60" s="2"/>
      <c r="KOU60" s="2"/>
      <c r="KOV60" s="2"/>
      <c r="KOW60" s="2"/>
      <c r="KOX60" s="2"/>
      <c r="KOY60" s="2"/>
      <c r="KOZ60" s="2"/>
      <c r="KPA60" s="2"/>
      <c r="KPB60" s="2"/>
      <c r="KPC60" s="2"/>
      <c r="KPD60" s="2"/>
      <c r="KPE60" s="2"/>
      <c r="KPF60" s="2"/>
      <c r="KPG60" s="2"/>
      <c r="KPH60" s="2"/>
      <c r="KPI60" s="2"/>
      <c r="KPJ60" s="2"/>
      <c r="KPK60" s="2"/>
      <c r="KPL60" s="2"/>
      <c r="KPM60" s="2"/>
      <c r="KPN60" s="2"/>
      <c r="KPO60" s="2"/>
      <c r="KPP60" s="2"/>
      <c r="KPQ60" s="2"/>
      <c r="KPR60" s="2"/>
      <c r="KPS60" s="2"/>
      <c r="KPT60" s="2"/>
      <c r="KPU60" s="2"/>
      <c r="KPV60" s="2"/>
      <c r="KPW60" s="2"/>
      <c r="KPX60" s="2"/>
      <c r="KPY60" s="2"/>
      <c r="KPZ60" s="2"/>
      <c r="KQA60" s="2"/>
      <c r="KQB60" s="2"/>
      <c r="KQC60" s="2"/>
      <c r="KQD60" s="2"/>
      <c r="KQE60" s="2"/>
      <c r="KQF60" s="2"/>
      <c r="KQG60" s="2"/>
      <c r="KQH60" s="2"/>
      <c r="KQI60" s="2"/>
      <c r="KQJ60" s="2"/>
      <c r="KQK60" s="2"/>
      <c r="KQL60" s="2"/>
      <c r="KQM60" s="2"/>
      <c r="KQN60" s="2"/>
      <c r="KQO60" s="2"/>
      <c r="KQP60" s="2"/>
      <c r="KQQ60" s="2"/>
      <c r="KQR60" s="2"/>
      <c r="KQS60" s="2"/>
      <c r="KQT60" s="2"/>
      <c r="KQU60" s="2"/>
      <c r="KQV60" s="2"/>
      <c r="KQW60" s="2"/>
      <c r="KQX60" s="2"/>
      <c r="KQY60" s="2"/>
      <c r="KQZ60" s="2"/>
      <c r="KRA60" s="2"/>
      <c r="KRB60" s="2"/>
      <c r="KRC60" s="2"/>
      <c r="KRD60" s="2"/>
      <c r="KRE60" s="2"/>
      <c r="KRF60" s="2"/>
      <c r="KRG60" s="2"/>
      <c r="KRH60" s="2"/>
      <c r="KRI60" s="2"/>
      <c r="KRJ60" s="2"/>
      <c r="KRK60" s="2"/>
      <c r="KRL60" s="2"/>
      <c r="KRM60" s="2"/>
      <c r="KRN60" s="2"/>
      <c r="KRO60" s="2"/>
      <c r="KRP60" s="2"/>
      <c r="KRQ60" s="2"/>
      <c r="KRR60" s="2"/>
      <c r="KRS60" s="2"/>
      <c r="KRT60" s="2"/>
      <c r="KRU60" s="2"/>
      <c r="KRV60" s="2"/>
      <c r="KRW60" s="2"/>
      <c r="KRX60" s="2"/>
      <c r="KRY60" s="2"/>
      <c r="KRZ60" s="2"/>
      <c r="KSA60" s="2"/>
      <c r="KSB60" s="2"/>
      <c r="KSC60" s="2"/>
      <c r="KSD60" s="2"/>
      <c r="KSE60" s="2"/>
      <c r="KSF60" s="2"/>
      <c r="KSG60" s="2"/>
      <c r="KSH60" s="2"/>
      <c r="KSI60" s="2"/>
      <c r="KSJ60" s="2"/>
      <c r="KSK60" s="2"/>
      <c r="KSL60" s="2"/>
      <c r="KSM60" s="2"/>
      <c r="KSN60" s="2"/>
      <c r="KSO60" s="2"/>
      <c r="KSP60" s="2"/>
      <c r="KSQ60" s="2"/>
      <c r="KSR60" s="2"/>
      <c r="KSS60" s="2"/>
      <c r="KST60" s="2"/>
      <c r="KSU60" s="2"/>
      <c r="KSV60" s="2"/>
      <c r="KSW60" s="2"/>
      <c r="KSX60" s="2"/>
      <c r="KSY60" s="2"/>
      <c r="KSZ60" s="2"/>
      <c r="KTA60" s="2"/>
      <c r="KTB60" s="2"/>
      <c r="KTC60" s="2"/>
      <c r="KTD60" s="2"/>
      <c r="KTE60" s="2"/>
      <c r="KTF60" s="2"/>
      <c r="KTG60" s="2"/>
      <c r="KTH60" s="2"/>
      <c r="KTI60" s="2"/>
      <c r="KTJ60" s="2"/>
      <c r="KTK60" s="2"/>
      <c r="KTL60" s="2"/>
      <c r="KTM60" s="2"/>
      <c r="KTN60" s="2"/>
      <c r="KTO60" s="2"/>
      <c r="KTP60" s="2"/>
      <c r="KTQ60" s="2"/>
      <c r="KTR60" s="2"/>
      <c r="KTS60" s="2"/>
      <c r="KTT60" s="2"/>
      <c r="KTU60" s="2"/>
      <c r="KTV60" s="2"/>
      <c r="KTW60" s="2"/>
      <c r="KTX60" s="2"/>
      <c r="KTY60" s="2"/>
      <c r="KTZ60" s="2"/>
      <c r="KUA60" s="2"/>
      <c r="KUB60" s="2"/>
      <c r="KUC60" s="2"/>
      <c r="KUD60" s="2"/>
      <c r="KUE60" s="2"/>
      <c r="KUF60" s="2"/>
      <c r="KUG60" s="2"/>
      <c r="KUH60" s="2"/>
      <c r="KUI60" s="2"/>
      <c r="KUJ60" s="2"/>
      <c r="KUK60" s="2"/>
      <c r="KUL60" s="2"/>
      <c r="KUM60" s="2"/>
      <c r="KUN60" s="2"/>
      <c r="KUO60" s="2"/>
      <c r="KUP60" s="2"/>
      <c r="KUQ60" s="2"/>
      <c r="KUR60" s="2"/>
      <c r="KUS60" s="2"/>
      <c r="KUT60" s="2"/>
      <c r="KUU60" s="2"/>
      <c r="KUV60" s="2"/>
      <c r="KUW60" s="2"/>
      <c r="KUX60" s="2"/>
      <c r="KUY60" s="2"/>
      <c r="KUZ60" s="2"/>
      <c r="KVA60" s="2"/>
      <c r="KVB60" s="2"/>
      <c r="KVC60" s="2"/>
      <c r="KVD60" s="2"/>
      <c r="KVE60" s="2"/>
      <c r="KVF60" s="2"/>
      <c r="KVG60" s="2"/>
      <c r="KVH60" s="2"/>
      <c r="KVI60" s="2"/>
      <c r="KVJ60" s="2"/>
      <c r="KVK60" s="2"/>
      <c r="KVL60" s="2"/>
      <c r="KVM60" s="2"/>
      <c r="KVN60" s="2"/>
      <c r="KVO60" s="2"/>
      <c r="KVP60" s="2"/>
      <c r="KVQ60" s="2"/>
      <c r="KVR60" s="2"/>
      <c r="KVS60" s="2"/>
      <c r="KVT60" s="2"/>
      <c r="KVU60" s="2"/>
      <c r="KVV60" s="2"/>
      <c r="KVW60" s="2"/>
      <c r="KVX60" s="2"/>
      <c r="KVY60" s="2"/>
      <c r="KVZ60" s="2"/>
      <c r="KWA60" s="2"/>
      <c r="KWB60" s="2"/>
      <c r="KWC60" s="2"/>
      <c r="KWD60" s="2"/>
      <c r="KWE60" s="2"/>
      <c r="KWF60" s="2"/>
      <c r="KWG60" s="2"/>
      <c r="KWH60" s="2"/>
      <c r="KWI60" s="2"/>
      <c r="KWJ60" s="2"/>
      <c r="KWK60" s="2"/>
      <c r="KWL60" s="2"/>
      <c r="KWM60" s="2"/>
      <c r="KWN60" s="2"/>
      <c r="KWO60" s="2"/>
      <c r="KWP60" s="2"/>
      <c r="KWQ60" s="2"/>
      <c r="KWR60" s="2"/>
      <c r="KWS60" s="2"/>
      <c r="KWT60" s="2"/>
      <c r="KWU60" s="2"/>
      <c r="KWV60" s="2"/>
      <c r="KWW60" s="2"/>
      <c r="KWX60" s="2"/>
      <c r="KWY60" s="2"/>
      <c r="KWZ60" s="2"/>
      <c r="KXA60" s="2"/>
      <c r="KXB60" s="2"/>
      <c r="KXC60" s="2"/>
      <c r="KXD60" s="2"/>
      <c r="KXE60" s="2"/>
      <c r="KXF60" s="2"/>
      <c r="KXG60" s="2"/>
      <c r="KXH60" s="2"/>
      <c r="KXI60" s="2"/>
      <c r="KXJ60" s="2"/>
      <c r="KXK60" s="2"/>
      <c r="KXL60" s="2"/>
      <c r="KXM60" s="2"/>
      <c r="KXN60" s="2"/>
      <c r="KXO60" s="2"/>
      <c r="KXP60" s="2"/>
      <c r="KXQ60" s="2"/>
      <c r="KXR60" s="2"/>
      <c r="KXS60" s="2"/>
      <c r="KXT60" s="2"/>
      <c r="KXU60" s="2"/>
      <c r="KXV60" s="2"/>
      <c r="KXW60" s="2"/>
      <c r="KXX60" s="2"/>
      <c r="KXY60" s="2"/>
      <c r="KXZ60" s="2"/>
      <c r="KYA60" s="2"/>
      <c r="KYB60" s="2"/>
      <c r="KYC60" s="2"/>
      <c r="KYD60" s="2"/>
      <c r="KYE60" s="2"/>
      <c r="KYF60" s="2"/>
      <c r="KYG60" s="2"/>
      <c r="KYH60" s="2"/>
      <c r="KYI60" s="2"/>
      <c r="KYJ60" s="2"/>
      <c r="KYK60" s="2"/>
      <c r="KYL60" s="2"/>
      <c r="KYM60" s="2"/>
      <c r="KYN60" s="2"/>
      <c r="KYO60" s="2"/>
      <c r="KYP60" s="2"/>
      <c r="KYQ60" s="2"/>
      <c r="KYR60" s="2"/>
      <c r="KYS60" s="2"/>
      <c r="KYT60" s="2"/>
      <c r="KYU60" s="2"/>
      <c r="KYV60" s="2"/>
      <c r="KYW60" s="2"/>
      <c r="KYX60" s="2"/>
      <c r="KYY60" s="2"/>
      <c r="KYZ60" s="2"/>
      <c r="KZA60" s="2"/>
      <c r="KZB60" s="2"/>
      <c r="KZC60" s="2"/>
      <c r="KZD60" s="2"/>
      <c r="KZE60" s="2"/>
      <c r="KZF60" s="2"/>
      <c r="KZG60" s="2"/>
      <c r="KZH60" s="2"/>
      <c r="KZI60" s="2"/>
      <c r="KZJ60" s="2"/>
      <c r="KZK60" s="2"/>
      <c r="KZL60" s="2"/>
      <c r="KZM60" s="2"/>
      <c r="KZN60" s="2"/>
      <c r="KZO60" s="2"/>
      <c r="KZP60" s="2"/>
      <c r="KZQ60" s="2"/>
      <c r="KZR60" s="2"/>
      <c r="KZS60" s="2"/>
      <c r="KZT60" s="2"/>
      <c r="KZU60" s="2"/>
      <c r="KZV60" s="2"/>
      <c r="KZW60" s="2"/>
      <c r="KZX60" s="2"/>
      <c r="KZY60" s="2"/>
      <c r="KZZ60" s="2"/>
      <c r="LAA60" s="2"/>
      <c r="LAB60" s="2"/>
      <c r="LAC60" s="2"/>
      <c r="LAD60" s="2"/>
      <c r="LAE60" s="2"/>
      <c r="LAF60" s="2"/>
      <c r="LAG60" s="2"/>
      <c r="LAH60" s="2"/>
      <c r="LAI60" s="2"/>
      <c r="LAJ60" s="2"/>
      <c r="LAK60" s="2"/>
      <c r="LAL60" s="2"/>
      <c r="LAM60" s="2"/>
      <c r="LAN60" s="2"/>
      <c r="LAO60" s="2"/>
      <c r="LAP60" s="2"/>
      <c r="LAQ60" s="2"/>
      <c r="LAR60" s="2"/>
      <c r="LAS60" s="2"/>
      <c r="LAT60" s="2"/>
      <c r="LAU60" s="2"/>
      <c r="LAV60" s="2"/>
      <c r="LAW60" s="2"/>
      <c r="LAX60" s="2"/>
      <c r="LAY60" s="2"/>
      <c r="LAZ60" s="2"/>
      <c r="LBA60" s="2"/>
      <c r="LBB60" s="2"/>
      <c r="LBC60" s="2"/>
      <c r="LBD60" s="2"/>
      <c r="LBE60" s="2"/>
      <c r="LBF60" s="2"/>
      <c r="LBG60" s="2"/>
      <c r="LBH60" s="2"/>
      <c r="LBI60" s="2"/>
      <c r="LBJ60" s="2"/>
      <c r="LBK60" s="2"/>
      <c r="LBL60" s="2"/>
      <c r="LBM60" s="2"/>
      <c r="LBN60" s="2"/>
      <c r="LBO60" s="2"/>
      <c r="LBP60" s="2"/>
      <c r="LBQ60" s="2"/>
      <c r="LBR60" s="2"/>
      <c r="LBS60" s="2"/>
      <c r="LBT60" s="2"/>
      <c r="LBU60" s="2"/>
      <c r="LBV60" s="2"/>
      <c r="LBW60" s="2"/>
      <c r="LBX60" s="2"/>
      <c r="LBY60" s="2"/>
      <c r="LBZ60" s="2"/>
      <c r="LCA60" s="2"/>
      <c r="LCB60" s="2"/>
      <c r="LCC60" s="2"/>
      <c r="LCD60" s="2"/>
      <c r="LCE60" s="2"/>
      <c r="LCF60" s="2"/>
      <c r="LCG60" s="2"/>
      <c r="LCH60" s="2"/>
      <c r="LCI60" s="2"/>
      <c r="LCJ60" s="2"/>
      <c r="LCK60" s="2"/>
      <c r="LCL60" s="2"/>
      <c r="LCM60" s="2"/>
      <c r="LCN60" s="2"/>
      <c r="LCO60" s="2"/>
      <c r="LCP60" s="2"/>
      <c r="LCQ60" s="2"/>
      <c r="LCR60" s="2"/>
      <c r="LCS60" s="2"/>
      <c r="LCT60" s="2"/>
      <c r="LCU60" s="2"/>
      <c r="LCV60" s="2"/>
      <c r="LCW60" s="2"/>
      <c r="LCX60" s="2"/>
      <c r="LCY60" s="2"/>
      <c r="LCZ60" s="2"/>
      <c r="LDA60" s="2"/>
      <c r="LDB60" s="2"/>
      <c r="LDC60" s="2"/>
      <c r="LDD60" s="2"/>
      <c r="LDE60" s="2"/>
      <c r="LDF60" s="2"/>
      <c r="LDG60" s="2"/>
      <c r="LDH60" s="2"/>
      <c r="LDI60" s="2"/>
      <c r="LDJ60" s="2"/>
      <c r="LDK60" s="2"/>
      <c r="LDL60" s="2"/>
      <c r="LDM60" s="2"/>
      <c r="LDN60" s="2"/>
      <c r="LDO60" s="2"/>
      <c r="LDP60" s="2"/>
      <c r="LDQ60" s="2"/>
      <c r="LDR60" s="2"/>
      <c r="LDS60" s="2"/>
      <c r="LDT60" s="2"/>
      <c r="LDU60" s="2"/>
      <c r="LDV60" s="2"/>
      <c r="LDW60" s="2"/>
      <c r="LDX60" s="2"/>
      <c r="LDY60" s="2"/>
      <c r="LDZ60" s="2"/>
      <c r="LEA60" s="2"/>
      <c r="LEB60" s="2"/>
      <c r="LEC60" s="2"/>
      <c r="LED60" s="2"/>
      <c r="LEE60" s="2"/>
      <c r="LEF60" s="2"/>
      <c r="LEG60" s="2"/>
      <c r="LEH60" s="2"/>
      <c r="LEI60" s="2"/>
      <c r="LEJ60" s="2"/>
      <c r="LEK60" s="2"/>
      <c r="LEL60" s="2"/>
      <c r="LEM60" s="2"/>
      <c r="LEN60" s="2"/>
      <c r="LEO60" s="2"/>
      <c r="LEP60" s="2"/>
      <c r="LEQ60" s="2"/>
      <c r="LER60" s="2"/>
      <c r="LES60" s="2"/>
      <c r="LET60" s="2"/>
      <c r="LEU60" s="2"/>
      <c r="LEV60" s="2"/>
      <c r="LEW60" s="2"/>
      <c r="LEX60" s="2"/>
      <c r="LEY60" s="2"/>
      <c r="LEZ60" s="2"/>
      <c r="LFA60" s="2"/>
      <c r="LFB60" s="2"/>
      <c r="LFC60" s="2"/>
      <c r="LFD60" s="2"/>
      <c r="LFE60" s="2"/>
      <c r="LFF60" s="2"/>
      <c r="LFG60" s="2"/>
      <c r="LFH60" s="2"/>
      <c r="LFI60" s="2"/>
      <c r="LFJ60" s="2"/>
      <c r="LFK60" s="2"/>
      <c r="LFL60" s="2"/>
      <c r="LFM60" s="2"/>
      <c r="LFN60" s="2"/>
      <c r="LFO60" s="2"/>
      <c r="LFP60" s="2"/>
      <c r="LFQ60" s="2"/>
      <c r="LFR60" s="2"/>
      <c r="LFS60" s="2"/>
      <c r="LFT60" s="2"/>
      <c r="LFU60" s="2"/>
      <c r="LFV60" s="2"/>
      <c r="LFW60" s="2"/>
      <c r="LFX60" s="2"/>
      <c r="LFY60" s="2"/>
      <c r="LFZ60" s="2"/>
      <c r="LGA60" s="2"/>
      <c r="LGB60" s="2"/>
      <c r="LGC60" s="2"/>
      <c r="LGD60" s="2"/>
      <c r="LGE60" s="2"/>
      <c r="LGF60" s="2"/>
      <c r="LGG60" s="2"/>
      <c r="LGH60" s="2"/>
      <c r="LGI60" s="2"/>
      <c r="LGJ60" s="2"/>
      <c r="LGK60" s="2"/>
      <c r="LGL60" s="2"/>
      <c r="LGM60" s="2"/>
      <c r="LGN60" s="2"/>
      <c r="LGO60" s="2"/>
      <c r="LGP60" s="2"/>
      <c r="LGQ60" s="2"/>
      <c r="LGR60" s="2"/>
      <c r="LGS60" s="2"/>
      <c r="LGT60" s="2"/>
      <c r="LGU60" s="2"/>
      <c r="LGV60" s="2"/>
      <c r="LGW60" s="2"/>
      <c r="LGX60" s="2"/>
      <c r="LGY60" s="2"/>
      <c r="LGZ60" s="2"/>
      <c r="LHA60" s="2"/>
      <c r="LHB60" s="2"/>
      <c r="LHC60" s="2"/>
      <c r="LHD60" s="2"/>
      <c r="LHE60" s="2"/>
      <c r="LHF60" s="2"/>
      <c r="LHG60" s="2"/>
      <c r="LHH60" s="2"/>
      <c r="LHI60" s="2"/>
      <c r="LHJ60" s="2"/>
      <c r="LHK60" s="2"/>
      <c r="LHL60" s="2"/>
      <c r="LHM60" s="2"/>
      <c r="LHN60" s="2"/>
      <c r="LHO60" s="2"/>
      <c r="LHP60" s="2"/>
      <c r="LHQ60" s="2"/>
      <c r="LHR60" s="2"/>
      <c r="LHS60" s="2"/>
      <c r="LHT60" s="2"/>
      <c r="LHU60" s="2"/>
      <c r="LHV60" s="2"/>
      <c r="LHW60" s="2"/>
      <c r="LHX60" s="2"/>
      <c r="LHY60" s="2"/>
      <c r="LHZ60" s="2"/>
      <c r="LIA60" s="2"/>
      <c r="LIB60" s="2"/>
      <c r="LIC60" s="2"/>
      <c r="LID60" s="2"/>
      <c r="LIE60" s="2"/>
      <c r="LIF60" s="2"/>
      <c r="LIG60" s="2"/>
      <c r="LIH60" s="2"/>
      <c r="LII60" s="2"/>
      <c r="LIJ60" s="2"/>
      <c r="LIK60" s="2"/>
      <c r="LIL60" s="2"/>
      <c r="LIM60" s="2"/>
      <c r="LIN60" s="2"/>
      <c r="LIO60" s="2"/>
      <c r="LIP60" s="2"/>
      <c r="LIQ60" s="2"/>
      <c r="LIR60" s="2"/>
      <c r="LIS60" s="2"/>
      <c r="LIT60" s="2"/>
      <c r="LIU60" s="2"/>
      <c r="LIV60" s="2"/>
      <c r="LIW60" s="2"/>
      <c r="LIX60" s="2"/>
      <c r="LIY60" s="2"/>
      <c r="LIZ60" s="2"/>
      <c r="LJA60" s="2"/>
      <c r="LJB60" s="2"/>
      <c r="LJC60" s="2"/>
      <c r="LJD60" s="2"/>
      <c r="LJE60" s="2"/>
      <c r="LJF60" s="2"/>
      <c r="LJG60" s="2"/>
      <c r="LJH60" s="2"/>
      <c r="LJI60" s="2"/>
      <c r="LJJ60" s="2"/>
      <c r="LJK60" s="2"/>
      <c r="LJL60" s="2"/>
      <c r="LJM60" s="2"/>
      <c r="LJN60" s="2"/>
      <c r="LJO60" s="2"/>
      <c r="LJP60" s="2"/>
      <c r="LJQ60" s="2"/>
      <c r="LJR60" s="2"/>
      <c r="LJS60" s="2"/>
      <c r="LJT60" s="2"/>
      <c r="LJU60" s="2"/>
      <c r="LJV60" s="2"/>
      <c r="LJW60" s="2"/>
      <c r="LJX60" s="2"/>
      <c r="LJY60" s="2"/>
      <c r="LJZ60" s="2"/>
      <c r="LKA60" s="2"/>
      <c r="LKB60" s="2"/>
      <c r="LKC60" s="2"/>
      <c r="LKD60" s="2"/>
      <c r="LKE60" s="2"/>
      <c r="LKF60" s="2"/>
      <c r="LKG60" s="2"/>
      <c r="LKH60" s="2"/>
      <c r="LKI60" s="2"/>
      <c r="LKJ60" s="2"/>
      <c r="LKK60" s="2"/>
      <c r="LKL60" s="2"/>
      <c r="LKM60" s="2"/>
      <c r="LKN60" s="2"/>
      <c r="LKO60" s="2"/>
      <c r="LKP60" s="2"/>
      <c r="LKQ60" s="2"/>
      <c r="LKR60" s="2"/>
      <c r="LKS60" s="2"/>
      <c r="LKT60" s="2"/>
      <c r="LKU60" s="2"/>
      <c r="LKV60" s="2"/>
      <c r="LKW60" s="2"/>
      <c r="LKX60" s="2"/>
      <c r="LKY60" s="2"/>
      <c r="LKZ60" s="2"/>
      <c r="LLA60" s="2"/>
      <c r="LLB60" s="2"/>
      <c r="LLC60" s="2"/>
      <c r="LLD60" s="2"/>
      <c r="LLE60" s="2"/>
      <c r="LLF60" s="2"/>
      <c r="LLG60" s="2"/>
      <c r="LLH60" s="2"/>
      <c r="LLI60" s="2"/>
      <c r="LLJ60" s="2"/>
      <c r="LLK60" s="2"/>
      <c r="LLL60" s="2"/>
      <c r="LLM60" s="2"/>
      <c r="LLN60" s="2"/>
      <c r="LLO60" s="2"/>
      <c r="LLP60" s="2"/>
      <c r="LLQ60" s="2"/>
      <c r="LLR60" s="2"/>
      <c r="LLS60" s="2"/>
      <c r="LLT60" s="2"/>
      <c r="LLU60" s="2"/>
      <c r="LLV60" s="2"/>
      <c r="LLW60" s="2"/>
      <c r="LLX60" s="2"/>
      <c r="LLY60" s="2"/>
      <c r="LLZ60" s="2"/>
      <c r="LMA60" s="2"/>
      <c r="LMB60" s="2"/>
      <c r="LMC60" s="2"/>
      <c r="LMD60" s="2"/>
      <c r="LME60" s="2"/>
      <c r="LMF60" s="2"/>
      <c r="LMG60" s="2"/>
      <c r="LMH60" s="2"/>
      <c r="LMI60" s="2"/>
      <c r="LMJ60" s="2"/>
      <c r="LMK60" s="2"/>
      <c r="LML60" s="2"/>
      <c r="LMM60" s="2"/>
      <c r="LMN60" s="2"/>
      <c r="LMO60" s="2"/>
      <c r="LMP60" s="2"/>
      <c r="LMQ60" s="2"/>
      <c r="LMR60" s="2"/>
      <c r="LMS60" s="2"/>
      <c r="LMT60" s="2"/>
      <c r="LMU60" s="2"/>
      <c r="LMV60" s="2"/>
      <c r="LMW60" s="2"/>
      <c r="LMX60" s="2"/>
      <c r="LMY60" s="2"/>
      <c r="LMZ60" s="2"/>
      <c r="LNA60" s="2"/>
      <c r="LNB60" s="2"/>
      <c r="LNC60" s="2"/>
      <c r="LND60" s="2"/>
      <c r="LNE60" s="2"/>
      <c r="LNF60" s="2"/>
      <c r="LNG60" s="2"/>
      <c r="LNH60" s="2"/>
      <c r="LNI60" s="2"/>
      <c r="LNJ60" s="2"/>
      <c r="LNK60" s="2"/>
      <c r="LNL60" s="2"/>
      <c r="LNM60" s="2"/>
      <c r="LNN60" s="2"/>
      <c r="LNO60" s="2"/>
      <c r="LNP60" s="2"/>
      <c r="LNQ60" s="2"/>
      <c r="LNR60" s="2"/>
      <c r="LNS60" s="2"/>
      <c r="LNT60" s="2"/>
      <c r="LNU60" s="2"/>
      <c r="LNV60" s="2"/>
      <c r="LNW60" s="2"/>
      <c r="LNX60" s="2"/>
      <c r="LNY60" s="2"/>
      <c r="LNZ60" s="2"/>
      <c r="LOA60" s="2"/>
      <c r="LOB60" s="2"/>
      <c r="LOC60" s="2"/>
      <c r="LOD60" s="2"/>
      <c r="LOE60" s="2"/>
      <c r="LOF60" s="2"/>
      <c r="LOG60" s="2"/>
      <c r="LOH60" s="2"/>
      <c r="LOI60" s="2"/>
      <c r="LOJ60" s="2"/>
      <c r="LOK60" s="2"/>
      <c r="LOL60" s="2"/>
      <c r="LOM60" s="2"/>
      <c r="LON60" s="2"/>
      <c r="LOO60" s="2"/>
      <c r="LOP60" s="2"/>
      <c r="LOQ60" s="2"/>
      <c r="LOR60" s="2"/>
      <c r="LOS60" s="2"/>
      <c r="LOT60" s="2"/>
      <c r="LOU60" s="2"/>
      <c r="LOV60" s="2"/>
      <c r="LOW60" s="2"/>
      <c r="LOX60" s="2"/>
      <c r="LOY60" s="2"/>
      <c r="LOZ60" s="2"/>
      <c r="LPA60" s="2"/>
      <c r="LPB60" s="2"/>
      <c r="LPC60" s="2"/>
      <c r="LPD60" s="2"/>
      <c r="LPE60" s="2"/>
      <c r="LPF60" s="2"/>
      <c r="LPG60" s="2"/>
      <c r="LPH60" s="2"/>
      <c r="LPI60" s="2"/>
      <c r="LPJ60" s="2"/>
      <c r="LPK60" s="2"/>
      <c r="LPL60" s="2"/>
      <c r="LPM60" s="2"/>
      <c r="LPN60" s="2"/>
      <c r="LPO60" s="2"/>
      <c r="LPP60" s="2"/>
      <c r="LPQ60" s="2"/>
      <c r="LPR60" s="2"/>
      <c r="LPS60" s="2"/>
      <c r="LPT60" s="2"/>
      <c r="LPU60" s="2"/>
      <c r="LPV60" s="2"/>
      <c r="LPW60" s="2"/>
      <c r="LPX60" s="2"/>
      <c r="LPY60" s="2"/>
      <c r="LPZ60" s="2"/>
      <c r="LQA60" s="2"/>
      <c r="LQB60" s="2"/>
      <c r="LQC60" s="2"/>
      <c r="LQD60" s="2"/>
      <c r="LQE60" s="2"/>
      <c r="LQF60" s="2"/>
      <c r="LQG60" s="2"/>
      <c r="LQH60" s="2"/>
      <c r="LQI60" s="2"/>
      <c r="LQJ60" s="2"/>
      <c r="LQK60" s="2"/>
      <c r="LQL60" s="2"/>
      <c r="LQM60" s="2"/>
      <c r="LQN60" s="2"/>
      <c r="LQO60" s="2"/>
      <c r="LQP60" s="2"/>
      <c r="LQQ60" s="2"/>
      <c r="LQR60" s="2"/>
      <c r="LQS60" s="2"/>
      <c r="LQT60" s="2"/>
      <c r="LQU60" s="2"/>
      <c r="LQV60" s="2"/>
      <c r="LQW60" s="2"/>
      <c r="LQX60" s="2"/>
      <c r="LQY60" s="2"/>
      <c r="LQZ60" s="2"/>
      <c r="LRA60" s="2"/>
      <c r="LRB60" s="2"/>
      <c r="LRC60" s="2"/>
      <c r="LRD60" s="2"/>
      <c r="LRE60" s="2"/>
      <c r="LRF60" s="2"/>
      <c r="LRG60" s="2"/>
      <c r="LRH60" s="2"/>
      <c r="LRI60" s="2"/>
      <c r="LRJ60" s="2"/>
      <c r="LRK60" s="2"/>
      <c r="LRL60" s="2"/>
      <c r="LRM60" s="2"/>
      <c r="LRN60" s="2"/>
      <c r="LRO60" s="2"/>
      <c r="LRP60" s="2"/>
      <c r="LRQ60" s="2"/>
      <c r="LRR60" s="2"/>
      <c r="LRS60" s="2"/>
      <c r="LRT60" s="2"/>
      <c r="LRU60" s="2"/>
      <c r="LRV60" s="2"/>
      <c r="LRW60" s="2"/>
      <c r="LRX60" s="2"/>
      <c r="LRY60" s="2"/>
      <c r="LRZ60" s="2"/>
      <c r="LSA60" s="2"/>
      <c r="LSB60" s="2"/>
      <c r="LSC60" s="2"/>
      <c r="LSD60" s="2"/>
      <c r="LSE60" s="2"/>
      <c r="LSF60" s="2"/>
      <c r="LSG60" s="2"/>
      <c r="LSH60" s="2"/>
      <c r="LSI60" s="2"/>
      <c r="LSJ60" s="2"/>
      <c r="LSK60" s="2"/>
      <c r="LSL60" s="2"/>
      <c r="LSM60" s="2"/>
      <c r="LSN60" s="2"/>
      <c r="LSO60" s="2"/>
      <c r="LSP60" s="2"/>
      <c r="LSQ60" s="2"/>
      <c r="LSR60" s="2"/>
      <c r="LSS60" s="2"/>
      <c r="LST60" s="2"/>
      <c r="LSU60" s="2"/>
      <c r="LSV60" s="2"/>
      <c r="LSW60" s="2"/>
      <c r="LSX60" s="2"/>
      <c r="LSY60" s="2"/>
      <c r="LSZ60" s="2"/>
      <c r="LTA60" s="2"/>
      <c r="LTB60" s="2"/>
      <c r="LTC60" s="2"/>
      <c r="LTD60" s="2"/>
      <c r="LTE60" s="2"/>
      <c r="LTF60" s="2"/>
      <c r="LTG60" s="2"/>
      <c r="LTH60" s="2"/>
      <c r="LTI60" s="2"/>
      <c r="LTJ60" s="2"/>
      <c r="LTK60" s="2"/>
      <c r="LTL60" s="2"/>
      <c r="LTM60" s="2"/>
      <c r="LTN60" s="2"/>
      <c r="LTO60" s="2"/>
      <c r="LTP60" s="2"/>
      <c r="LTQ60" s="2"/>
      <c r="LTR60" s="2"/>
      <c r="LTS60" s="2"/>
      <c r="LTT60" s="2"/>
      <c r="LTU60" s="2"/>
      <c r="LTV60" s="2"/>
      <c r="LTW60" s="2"/>
      <c r="LTX60" s="2"/>
      <c r="LTY60" s="2"/>
      <c r="LTZ60" s="2"/>
      <c r="LUA60" s="2"/>
      <c r="LUB60" s="2"/>
      <c r="LUC60" s="2"/>
      <c r="LUD60" s="2"/>
      <c r="LUE60" s="2"/>
      <c r="LUF60" s="2"/>
      <c r="LUG60" s="2"/>
      <c r="LUH60" s="2"/>
      <c r="LUI60" s="2"/>
      <c r="LUJ60" s="2"/>
      <c r="LUK60" s="2"/>
      <c r="LUL60" s="2"/>
      <c r="LUM60" s="2"/>
      <c r="LUN60" s="2"/>
      <c r="LUO60" s="2"/>
      <c r="LUP60" s="2"/>
      <c r="LUQ60" s="2"/>
      <c r="LUR60" s="2"/>
      <c r="LUS60" s="2"/>
      <c r="LUT60" s="2"/>
      <c r="LUU60" s="2"/>
      <c r="LUV60" s="2"/>
      <c r="LUW60" s="2"/>
      <c r="LUX60" s="2"/>
      <c r="LUY60" s="2"/>
      <c r="LUZ60" s="2"/>
      <c r="LVA60" s="2"/>
      <c r="LVB60" s="2"/>
      <c r="LVC60" s="2"/>
      <c r="LVD60" s="2"/>
      <c r="LVE60" s="2"/>
      <c r="LVF60" s="2"/>
      <c r="LVG60" s="2"/>
      <c r="LVH60" s="2"/>
      <c r="LVI60" s="2"/>
      <c r="LVJ60" s="2"/>
      <c r="LVK60" s="2"/>
      <c r="LVL60" s="2"/>
      <c r="LVM60" s="2"/>
      <c r="LVN60" s="2"/>
      <c r="LVO60" s="2"/>
      <c r="LVP60" s="2"/>
      <c r="LVQ60" s="2"/>
      <c r="LVR60" s="2"/>
      <c r="LVS60" s="2"/>
      <c r="LVT60" s="2"/>
      <c r="LVU60" s="2"/>
      <c r="LVV60" s="2"/>
      <c r="LVW60" s="2"/>
      <c r="LVX60" s="2"/>
      <c r="LVY60" s="2"/>
      <c r="LVZ60" s="2"/>
      <c r="LWA60" s="2"/>
      <c r="LWB60" s="2"/>
      <c r="LWC60" s="2"/>
      <c r="LWD60" s="2"/>
      <c r="LWE60" s="2"/>
      <c r="LWF60" s="2"/>
      <c r="LWG60" s="2"/>
      <c r="LWH60" s="2"/>
      <c r="LWI60" s="2"/>
      <c r="LWJ60" s="2"/>
      <c r="LWK60" s="2"/>
      <c r="LWL60" s="2"/>
      <c r="LWM60" s="2"/>
      <c r="LWN60" s="2"/>
      <c r="LWO60" s="2"/>
      <c r="LWP60" s="2"/>
      <c r="LWQ60" s="2"/>
      <c r="LWR60" s="2"/>
      <c r="LWS60" s="2"/>
      <c r="LWT60" s="2"/>
      <c r="LWU60" s="2"/>
      <c r="LWV60" s="2"/>
      <c r="LWW60" s="2"/>
      <c r="LWX60" s="2"/>
      <c r="LWY60" s="2"/>
      <c r="LWZ60" s="2"/>
      <c r="LXA60" s="2"/>
      <c r="LXB60" s="2"/>
      <c r="LXC60" s="2"/>
      <c r="LXD60" s="2"/>
      <c r="LXE60" s="2"/>
      <c r="LXF60" s="2"/>
      <c r="LXG60" s="2"/>
      <c r="LXH60" s="2"/>
      <c r="LXI60" s="2"/>
      <c r="LXJ60" s="2"/>
      <c r="LXK60" s="2"/>
      <c r="LXL60" s="2"/>
      <c r="LXM60" s="2"/>
      <c r="LXN60" s="2"/>
      <c r="LXO60" s="2"/>
      <c r="LXP60" s="2"/>
      <c r="LXQ60" s="2"/>
      <c r="LXR60" s="2"/>
      <c r="LXS60" s="2"/>
      <c r="LXT60" s="2"/>
      <c r="LXU60" s="2"/>
      <c r="LXV60" s="2"/>
      <c r="LXW60" s="2"/>
      <c r="LXX60" s="2"/>
      <c r="LXY60" s="2"/>
      <c r="LXZ60" s="2"/>
      <c r="LYA60" s="2"/>
      <c r="LYB60" s="2"/>
      <c r="LYC60" s="2"/>
      <c r="LYD60" s="2"/>
      <c r="LYE60" s="2"/>
      <c r="LYF60" s="2"/>
      <c r="LYG60" s="2"/>
      <c r="LYH60" s="2"/>
      <c r="LYI60" s="2"/>
      <c r="LYJ60" s="2"/>
      <c r="LYK60" s="2"/>
      <c r="LYL60" s="2"/>
      <c r="LYM60" s="2"/>
      <c r="LYN60" s="2"/>
      <c r="LYO60" s="2"/>
      <c r="LYP60" s="2"/>
      <c r="LYQ60" s="2"/>
      <c r="LYR60" s="2"/>
      <c r="LYS60" s="2"/>
      <c r="LYT60" s="2"/>
      <c r="LYU60" s="2"/>
      <c r="LYV60" s="2"/>
      <c r="LYW60" s="2"/>
      <c r="LYX60" s="2"/>
      <c r="LYY60" s="2"/>
      <c r="LYZ60" s="2"/>
      <c r="LZA60" s="2"/>
      <c r="LZB60" s="2"/>
      <c r="LZC60" s="2"/>
      <c r="LZD60" s="2"/>
      <c r="LZE60" s="2"/>
      <c r="LZF60" s="2"/>
      <c r="LZG60" s="2"/>
      <c r="LZH60" s="2"/>
      <c r="LZI60" s="2"/>
      <c r="LZJ60" s="2"/>
      <c r="LZK60" s="2"/>
      <c r="LZL60" s="2"/>
      <c r="LZM60" s="2"/>
      <c r="LZN60" s="2"/>
      <c r="LZO60" s="2"/>
      <c r="LZP60" s="2"/>
      <c r="LZQ60" s="2"/>
      <c r="LZR60" s="2"/>
      <c r="LZS60" s="2"/>
      <c r="LZT60" s="2"/>
      <c r="LZU60" s="2"/>
      <c r="LZV60" s="2"/>
      <c r="LZW60" s="2"/>
      <c r="LZX60" s="2"/>
      <c r="LZY60" s="2"/>
      <c r="LZZ60" s="2"/>
      <c r="MAA60" s="2"/>
      <c r="MAB60" s="2"/>
      <c r="MAC60" s="2"/>
      <c r="MAD60" s="2"/>
      <c r="MAE60" s="2"/>
      <c r="MAF60" s="2"/>
      <c r="MAG60" s="2"/>
      <c r="MAH60" s="2"/>
      <c r="MAI60" s="2"/>
      <c r="MAJ60" s="2"/>
      <c r="MAK60" s="2"/>
      <c r="MAL60" s="2"/>
      <c r="MAM60" s="2"/>
      <c r="MAN60" s="2"/>
      <c r="MAO60" s="2"/>
      <c r="MAP60" s="2"/>
      <c r="MAQ60" s="2"/>
      <c r="MAR60" s="2"/>
      <c r="MAS60" s="2"/>
      <c r="MAT60" s="2"/>
      <c r="MAU60" s="2"/>
      <c r="MAV60" s="2"/>
      <c r="MAW60" s="2"/>
      <c r="MAX60" s="2"/>
      <c r="MAY60" s="2"/>
      <c r="MAZ60" s="2"/>
      <c r="MBA60" s="2"/>
      <c r="MBB60" s="2"/>
      <c r="MBC60" s="2"/>
      <c r="MBD60" s="2"/>
      <c r="MBE60" s="2"/>
      <c r="MBF60" s="2"/>
      <c r="MBG60" s="2"/>
      <c r="MBH60" s="2"/>
      <c r="MBI60" s="2"/>
      <c r="MBJ60" s="2"/>
      <c r="MBK60" s="2"/>
      <c r="MBL60" s="2"/>
      <c r="MBM60" s="2"/>
      <c r="MBN60" s="2"/>
      <c r="MBO60" s="2"/>
      <c r="MBP60" s="2"/>
      <c r="MBQ60" s="2"/>
      <c r="MBR60" s="2"/>
      <c r="MBS60" s="2"/>
      <c r="MBT60" s="2"/>
      <c r="MBU60" s="2"/>
      <c r="MBV60" s="2"/>
      <c r="MBW60" s="2"/>
      <c r="MBX60" s="2"/>
      <c r="MBY60" s="2"/>
      <c r="MBZ60" s="2"/>
      <c r="MCA60" s="2"/>
      <c r="MCB60" s="2"/>
      <c r="MCC60" s="2"/>
      <c r="MCD60" s="2"/>
      <c r="MCE60" s="2"/>
      <c r="MCF60" s="2"/>
      <c r="MCG60" s="2"/>
      <c r="MCH60" s="2"/>
      <c r="MCI60" s="2"/>
      <c r="MCJ60" s="2"/>
      <c r="MCK60" s="2"/>
      <c r="MCL60" s="2"/>
      <c r="MCM60" s="2"/>
      <c r="MCN60" s="2"/>
      <c r="MCO60" s="2"/>
      <c r="MCP60" s="2"/>
      <c r="MCQ60" s="2"/>
      <c r="MCR60" s="2"/>
      <c r="MCS60" s="2"/>
      <c r="MCT60" s="2"/>
      <c r="MCU60" s="2"/>
      <c r="MCV60" s="2"/>
      <c r="MCW60" s="2"/>
      <c r="MCX60" s="2"/>
      <c r="MCY60" s="2"/>
      <c r="MCZ60" s="2"/>
      <c r="MDA60" s="2"/>
      <c r="MDB60" s="2"/>
      <c r="MDC60" s="2"/>
      <c r="MDD60" s="2"/>
      <c r="MDE60" s="2"/>
      <c r="MDF60" s="2"/>
      <c r="MDG60" s="2"/>
      <c r="MDH60" s="2"/>
      <c r="MDI60" s="2"/>
      <c r="MDJ60" s="2"/>
      <c r="MDK60" s="2"/>
      <c r="MDL60" s="2"/>
      <c r="MDM60" s="2"/>
      <c r="MDN60" s="2"/>
      <c r="MDO60" s="2"/>
      <c r="MDP60" s="2"/>
      <c r="MDQ60" s="2"/>
      <c r="MDR60" s="2"/>
      <c r="MDS60" s="2"/>
      <c r="MDT60" s="2"/>
      <c r="MDU60" s="2"/>
      <c r="MDV60" s="2"/>
      <c r="MDW60" s="2"/>
      <c r="MDX60" s="2"/>
      <c r="MDY60" s="2"/>
      <c r="MDZ60" s="2"/>
      <c r="MEA60" s="2"/>
      <c r="MEB60" s="2"/>
      <c r="MEC60" s="2"/>
      <c r="MED60" s="2"/>
      <c r="MEE60" s="2"/>
      <c r="MEF60" s="2"/>
      <c r="MEG60" s="2"/>
      <c r="MEH60" s="2"/>
      <c r="MEI60" s="2"/>
      <c r="MEJ60" s="2"/>
      <c r="MEK60" s="2"/>
      <c r="MEL60" s="2"/>
      <c r="MEM60" s="2"/>
      <c r="MEN60" s="2"/>
      <c r="MEO60" s="2"/>
      <c r="MEP60" s="2"/>
      <c r="MEQ60" s="2"/>
      <c r="MER60" s="2"/>
      <c r="MES60" s="2"/>
      <c r="MET60" s="2"/>
      <c r="MEU60" s="2"/>
      <c r="MEV60" s="2"/>
      <c r="MEW60" s="2"/>
      <c r="MEX60" s="2"/>
      <c r="MEY60" s="2"/>
      <c r="MEZ60" s="2"/>
      <c r="MFA60" s="2"/>
      <c r="MFB60" s="2"/>
      <c r="MFC60" s="2"/>
      <c r="MFD60" s="2"/>
      <c r="MFE60" s="2"/>
      <c r="MFF60" s="2"/>
      <c r="MFG60" s="2"/>
      <c r="MFH60" s="2"/>
      <c r="MFI60" s="2"/>
      <c r="MFJ60" s="2"/>
      <c r="MFK60" s="2"/>
      <c r="MFL60" s="2"/>
      <c r="MFM60" s="2"/>
      <c r="MFN60" s="2"/>
      <c r="MFO60" s="2"/>
      <c r="MFP60" s="2"/>
      <c r="MFQ60" s="2"/>
      <c r="MFR60" s="2"/>
      <c r="MFS60" s="2"/>
      <c r="MFT60" s="2"/>
      <c r="MFU60" s="2"/>
      <c r="MFV60" s="2"/>
      <c r="MFW60" s="2"/>
      <c r="MFX60" s="2"/>
      <c r="MFY60" s="2"/>
      <c r="MFZ60" s="2"/>
      <c r="MGA60" s="2"/>
      <c r="MGB60" s="2"/>
      <c r="MGC60" s="2"/>
      <c r="MGD60" s="2"/>
      <c r="MGE60" s="2"/>
      <c r="MGF60" s="2"/>
      <c r="MGG60" s="2"/>
      <c r="MGH60" s="2"/>
      <c r="MGI60" s="2"/>
      <c r="MGJ60" s="2"/>
      <c r="MGK60" s="2"/>
      <c r="MGL60" s="2"/>
      <c r="MGM60" s="2"/>
      <c r="MGN60" s="2"/>
      <c r="MGO60" s="2"/>
      <c r="MGP60" s="2"/>
      <c r="MGQ60" s="2"/>
      <c r="MGR60" s="2"/>
      <c r="MGS60" s="2"/>
      <c r="MGT60" s="2"/>
      <c r="MGU60" s="2"/>
      <c r="MGV60" s="2"/>
      <c r="MGW60" s="2"/>
      <c r="MGX60" s="2"/>
      <c r="MGY60" s="2"/>
      <c r="MGZ60" s="2"/>
      <c r="MHA60" s="2"/>
      <c r="MHB60" s="2"/>
      <c r="MHC60" s="2"/>
      <c r="MHD60" s="2"/>
      <c r="MHE60" s="2"/>
      <c r="MHF60" s="2"/>
      <c r="MHG60" s="2"/>
      <c r="MHH60" s="2"/>
      <c r="MHI60" s="2"/>
      <c r="MHJ60" s="2"/>
      <c r="MHK60" s="2"/>
      <c r="MHL60" s="2"/>
      <c r="MHM60" s="2"/>
      <c r="MHN60" s="2"/>
      <c r="MHO60" s="2"/>
      <c r="MHP60" s="2"/>
      <c r="MHQ60" s="2"/>
      <c r="MHR60" s="2"/>
      <c r="MHS60" s="2"/>
      <c r="MHT60" s="2"/>
      <c r="MHU60" s="2"/>
      <c r="MHV60" s="2"/>
      <c r="MHW60" s="2"/>
      <c r="MHX60" s="2"/>
      <c r="MHY60" s="2"/>
      <c r="MHZ60" s="2"/>
      <c r="MIA60" s="2"/>
      <c r="MIB60" s="2"/>
      <c r="MIC60" s="2"/>
      <c r="MID60" s="2"/>
      <c r="MIE60" s="2"/>
      <c r="MIF60" s="2"/>
      <c r="MIG60" s="2"/>
      <c r="MIH60" s="2"/>
      <c r="MII60" s="2"/>
      <c r="MIJ60" s="2"/>
      <c r="MIK60" s="2"/>
      <c r="MIL60" s="2"/>
      <c r="MIM60" s="2"/>
      <c r="MIN60" s="2"/>
      <c r="MIO60" s="2"/>
      <c r="MIP60" s="2"/>
      <c r="MIQ60" s="2"/>
      <c r="MIR60" s="2"/>
      <c r="MIS60" s="2"/>
      <c r="MIT60" s="2"/>
      <c r="MIU60" s="2"/>
      <c r="MIV60" s="2"/>
      <c r="MIW60" s="2"/>
      <c r="MIX60" s="2"/>
      <c r="MIY60" s="2"/>
      <c r="MIZ60" s="2"/>
      <c r="MJA60" s="2"/>
      <c r="MJB60" s="2"/>
      <c r="MJC60" s="2"/>
      <c r="MJD60" s="2"/>
      <c r="MJE60" s="2"/>
      <c r="MJF60" s="2"/>
      <c r="MJG60" s="2"/>
      <c r="MJH60" s="2"/>
      <c r="MJI60" s="2"/>
      <c r="MJJ60" s="2"/>
      <c r="MJK60" s="2"/>
      <c r="MJL60" s="2"/>
      <c r="MJM60" s="2"/>
      <c r="MJN60" s="2"/>
      <c r="MJO60" s="2"/>
      <c r="MJP60" s="2"/>
      <c r="MJQ60" s="2"/>
      <c r="MJR60" s="2"/>
      <c r="MJS60" s="2"/>
      <c r="MJT60" s="2"/>
      <c r="MJU60" s="2"/>
      <c r="MJV60" s="2"/>
      <c r="MJW60" s="2"/>
      <c r="MJX60" s="2"/>
      <c r="MJY60" s="2"/>
      <c r="MJZ60" s="2"/>
      <c r="MKA60" s="2"/>
      <c r="MKB60" s="2"/>
      <c r="MKC60" s="2"/>
      <c r="MKD60" s="2"/>
      <c r="MKE60" s="2"/>
      <c r="MKF60" s="2"/>
      <c r="MKG60" s="2"/>
      <c r="MKH60" s="2"/>
      <c r="MKI60" s="2"/>
      <c r="MKJ60" s="2"/>
      <c r="MKK60" s="2"/>
      <c r="MKL60" s="2"/>
      <c r="MKM60" s="2"/>
      <c r="MKN60" s="2"/>
      <c r="MKO60" s="2"/>
      <c r="MKP60" s="2"/>
      <c r="MKQ60" s="2"/>
      <c r="MKR60" s="2"/>
      <c r="MKS60" s="2"/>
      <c r="MKT60" s="2"/>
      <c r="MKU60" s="2"/>
      <c r="MKV60" s="2"/>
      <c r="MKW60" s="2"/>
      <c r="MKX60" s="2"/>
      <c r="MKY60" s="2"/>
      <c r="MKZ60" s="2"/>
      <c r="MLA60" s="2"/>
      <c r="MLB60" s="2"/>
      <c r="MLC60" s="2"/>
      <c r="MLD60" s="2"/>
      <c r="MLE60" s="2"/>
      <c r="MLF60" s="2"/>
      <c r="MLG60" s="2"/>
      <c r="MLH60" s="2"/>
      <c r="MLI60" s="2"/>
      <c r="MLJ60" s="2"/>
      <c r="MLK60" s="2"/>
      <c r="MLL60" s="2"/>
      <c r="MLM60" s="2"/>
      <c r="MLN60" s="2"/>
      <c r="MLO60" s="2"/>
      <c r="MLP60" s="2"/>
      <c r="MLQ60" s="2"/>
      <c r="MLR60" s="2"/>
      <c r="MLS60" s="2"/>
      <c r="MLT60" s="2"/>
      <c r="MLU60" s="2"/>
      <c r="MLV60" s="2"/>
      <c r="MLW60" s="2"/>
      <c r="MLX60" s="2"/>
      <c r="MLY60" s="2"/>
      <c r="MLZ60" s="2"/>
      <c r="MMA60" s="2"/>
      <c r="MMB60" s="2"/>
      <c r="MMC60" s="2"/>
      <c r="MMD60" s="2"/>
      <c r="MME60" s="2"/>
      <c r="MMF60" s="2"/>
      <c r="MMG60" s="2"/>
      <c r="MMH60" s="2"/>
      <c r="MMI60" s="2"/>
      <c r="MMJ60" s="2"/>
      <c r="MMK60" s="2"/>
      <c r="MML60" s="2"/>
      <c r="MMM60" s="2"/>
      <c r="MMN60" s="2"/>
      <c r="MMO60" s="2"/>
      <c r="MMP60" s="2"/>
      <c r="MMQ60" s="2"/>
      <c r="MMR60" s="2"/>
      <c r="MMS60" s="2"/>
      <c r="MMT60" s="2"/>
      <c r="MMU60" s="2"/>
      <c r="MMV60" s="2"/>
      <c r="MMW60" s="2"/>
      <c r="MMX60" s="2"/>
      <c r="MMY60" s="2"/>
      <c r="MMZ60" s="2"/>
      <c r="MNA60" s="2"/>
      <c r="MNB60" s="2"/>
      <c r="MNC60" s="2"/>
      <c r="MND60" s="2"/>
      <c r="MNE60" s="2"/>
      <c r="MNF60" s="2"/>
      <c r="MNG60" s="2"/>
      <c r="MNH60" s="2"/>
      <c r="MNI60" s="2"/>
      <c r="MNJ60" s="2"/>
      <c r="MNK60" s="2"/>
      <c r="MNL60" s="2"/>
      <c r="MNM60" s="2"/>
      <c r="MNN60" s="2"/>
      <c r="MNO60" s="2"/>
      <c r="MNP60" s="2"/>
      <c r="MNQ60" s="2"/>
      <c r="MNR60" s="2"/>
      <c r="MNS60" s="2"/>
      <c r="MNT60" s="2"/>
      <c r="MNU60" s="2"/>
      <c r="MNV60" s="2"/>
      <c r="MNW60" s="2"/>
      <c r="MNX60" s="2"/>
      <c r="MNY60" s="2"/>
      <c r="MNZ60" s="2"/>
      <c r="MOA60" s="2"/>
      <c r="MOB60" s="2"/>
      <c r="MOC60" s="2"/>
      <c r="MOD60" s="2"/>
      <c r="MOE60" s="2"/>
      <c r="MOF60" s="2"/>
      <c r="MOG60" s="2"/>
      <c r="MOH60" s="2"/>
      <c r="MOI60" s="2"/>
      <c r="MOJ60" s="2"/>
      <c r="MOK60" s="2"/>
      <c r="MOL60" s="2"/>
      <c r="MOM60" s="2"/>
      <c r="MON60" s="2"/>
      <c r="MOO60" s="2"/>
      <c r="MOP60" s="2"/>
      <c r="MOQ60" s="2"/>
      <c r="MOR60" s="2"/>
      <c r="MOS60" s="2"/>
      <c r="MOT60" s="2"/>
      <c r="MOU60" s="2"/>
      <c r="MOV60" s="2"/>
      <c r="MOW60" s="2"/>
      <c r="MOX60" s="2"/>
      <c r="MOY60" s="2"/>
      <c r="MOZ60" s="2"/>
      <c r="MPA60" s="2"/>
      <c r="MPB60" s="2"/>
      <c r="MPC60" s="2"/>
      <c r="MPD60" s="2"/>
      <c r="MPE60" s="2"/>
      <c r="MPF60" s="2"/>
      <c r="MPG60" s="2"/>
      <c r="MPH60" s="2"/>
      <c r="MPI60" s="2"/>
      <c r="MPJ60" s="2"/>
      <c r="MPK60" s="2"/>
      <c r="MPL60" s="2"/>
      <c r="MPM60" s="2"/>
      <c r="MPN60" s="2"/>
      <c r="MPO60" s="2"/>
      <c r="MPP60" s="2"/>
      <c r="MPQ60" s="2"/>
      <c r="MPR60" s="2"/>
      <c r="MPS60" s="2"/>
      <c r="MPT60" s="2"/>
      <c r="MPU60" s="2"/>
      <c r="MPV60" s="2"/>
      <c r="MPW60" s="2"/>
      <c r="MPX60" s="2"/>
      <c r="MPY60" s="2"/>
      <c r="MPZ60" s="2"/>
      <c r="MQA60" s="2"/>
      <c r="MQB60" s="2"/>
      <c r="MQC60" s="2"/>
      <c r="MQD60" s="2"/>
      <c r="MQE60" s="2"/>
      <c r="MQF60" s="2"/>
      <c r="MQG60" s="2"/>
      <c r="MQH60" s="2"/>
      <c r="MQI60" s="2"/>
      <c r="MQJ60" s="2"/>
      <c r="MQK60" s="2"/>
      <c r="MQL60" s="2"/>
      <c r="MQM60" s="2"/>
      <c r="MQN60" s="2"/>
      <c r="MQO60" s="2"/>
      <c r="MQP60" s="2"/>
      <c r="MQQ60" s="2"/>
      <c r="MQR60" s="2"/>
      <c r="MQS60" s="2"/>
      <c r="MQT60" s="2"/>
      <c r="MQU60" s="2"/>
      <c r="MQV60" s="2"/>
      <c r="MQW60" s="2"/>
      <c r="MQX60" s="2"/>
      <c r="MQY60" s="2"/>
      <c r="MQZ60" s="2"/>
      <c r="MRA60" s="2"/>
      <c r="MRB60" s="2"/>
      <c r="MRC60" s="2"/>
      <c r="MRD60" s="2"/>
      <c r="MRE60" s="2"/>
      <c r="MRF60" s="2"/>
      <c r="MRG60" s="2"/>
      <c r="MRH60" s="2"/>
      <c r="MRI60" s="2"/>
      <c r="MRJ60" s="2"/>
      <c r="MRK60" s="2"/>
      <c r="MRL60" s="2"/>
      <c r="MRM60" s="2"/>
      <c r="MRN60" s="2"/>
      <c r="MRO60" s="2"/>
      <c r="MRP60" s="2"/>
      <c r="MRQ60" s="2"/>
      <c r="MRR60" s="2"/>
      <c r="MRS60" s="2"/>
      <c r="MRT60" s="2"/>
      <c r="MRU60" s="2"/>
      <c r="MRV60" s="2"/>
      <c r="MRW60" s="2"/>
      <c r="MRX60" s="2"/>
      <c r="MRY60" s="2"/>
      <c r="MRZ60" s="2"/>
      <c r="MSA60" s="2"/>
      <c r="MSB60" s="2"/>
      <c r="MSC60" s="2"/>
      <c r="MSD60" s="2"/>
      <c r="MSE60" s="2"/>
      <c r="MSF60" s="2"/>
      <c r="MSG60" s="2"/>
      <c r="MSH60" s="2"/>
      <c r="MSI60" s="2"/>
      <c r="MSJ60" s="2"/>
      <c r="MSK60" s="2"/>
      <c r="MSL60" s="2"/>
      <c r="MSM60" s="2"/>
      <c r="MSN60" s="2"/>
      <c r="MSO60" s="2"/>
      <c r="MSP60" s="2"/>
      <c r="MSQ60" s="2"/>
      <c r="MSR60" s="2"/>
      <c r="MSS60" s="2"/>
      <c r="MST60" s="2"/>
      <c r="MSU60" s="2"/>
      <c r="MSV60" s="2"/>
      <c r="MSW60" s="2"/>
      <c r="MSX60" s="2"/>
      <c r="MSY60" s="2"/>
      <c r="MSZ60" s="2"/>
      <c r="MTA60" s="2"/>
      <c r="MTB60" s="2"/>
      <c r="MTC60" s="2"/>
      <c r="MTD60" s="2"/>
      <c r="MTE60" s="2"/>
      <c r="MTF60" s="2"/>
      <c r="MTG60" s="2"/>
      <c r="MTH60" s="2"/>
      <c r="MTI60" s="2"/>
      <c r="MTJ60" s="2"/>
      <c r="MTK60" s="2"/>
      <c r="MTL60" s="2"/>
      <c r="MTM60" s="2"/>
      <c r="MTN60" s="2"/>
      <c r="MTO60" s="2"/>
      <c r="MTP60" s="2"/>
      <c r="MTQ60" s="2"/>
      <c r="MTR60" s="2"/>
      <c r="MTS60" s="2"/>
      <c r="MTT60" s="2"/>
      <c r="MTU60" s="2"/>
      <c r="MTV60" s="2"/>
      <c r="MTW60" s="2"/>
      <c r="MTX60" s="2"/>
      <c r="MTY60" s="2"/>
      <c r="MTZ60" s="2"/>
      <c r="MUA60" s="2"/>
      <c r="MUB60" s="2"/>
      <c r="MUC60" s="2"/>
      <c r="MUD60" s="2"/>
      <c r="MUE60" s="2"/>
      <c r="MUF60" s="2"/>
      <c r="MUG60" s="2"/>
      <c r="MUH60" s="2"/>
      <c r="MUI60" s="2"/>
      <c r="MUJ60" s="2"/>
      <c r="MUK60" s="2"/>
      <c r="MUL60" s="2"/>
      <c r="MUM60" s="2"/>
      <c r="MUN60" s="2"/>
      <c r="MUO60" s="2"/>
      <c r="MUP60" s="2"/>
      <c r="MUQ60" s="2"/>
      <c r="MUR60" s="2"/>
      <c r="MUS60" s="2"/>
      <c r="MUT60" s="2"/>
      <c r="MUU60" s="2"/>
      <c r="MUV60" s="2"/>
      <c r="MUW60" s="2"/>
      <c r="MUX60" s="2"/>
      <c r="MUY60" s="2"/>
      <c r="MUZ60" s="2"/>
      <c r="MVA60" s="2"/>
      <c r="MVB60" s="2"/>
      <c r="MVC60" s="2"/>
      <c r="MVD60" s="2"/>
      <c r="MVE60" s="2"/>
      <c r="MVF60" s="2"/>
      <c r="MVG60" s="2"/>
      <c r="MVH60" s="2"/>
      <c r="MVI60" s="2"/>
      <c r="MVJ60" s="2"/>
      <c r="MVK60" s="2"/>
      <c r="MVL60" s="2"/>
      <c r="MVM60" s="2"/>
      <c r="MVN60" s="2"/>
      <c r="MVO60" s="2"/>
      <c r="MVP60" s="2"/>
      <c r="MVQ60" s="2"/>
      <c r="MVR60" s="2"/>
      <c r="MVS60" s="2"/>
      <c r="MVT60" s="2"/>
      <c r="MVU60" s="2"/>
      <c r="MVV60" s="2"/>
      <c r="MVW60" s="2"/>
      <c r="MVX60" s="2"/>
      <c r="MVY60" s="2"/>
      <c r="MVZ60" s="2"/>
      <c r="MWA60" s="2"/>
      <c r="MWB60" s="2"/>
      <c r="MWC60" s="2"/>
      <c r="MWD60" s="2"/>
      <c r="MWE60" s="2"/>
      <c r="MWF60" s="2"/>
      <c r="MWG60" s="2"/>
      <c r="MWH60" s="2"/>
      <c r="MWI60" s="2"/>
      <c r="MWJ60" s="2"/>
      <c r="MWK60" s="2"/>
      <c r="MWL60" s="2"/>
      <c r="MWM60" s="2"/>
      <c r="MWN60" s="2"/>
      <c r="MWO60" s="2"/>
      <c r="MWP60" s="2"/>
      <c r="MWQ60" s="2"/>
      <c r="MWR60" s="2"/>
      <c r="MWS60" s="2"/>
      <c r="MWT60" s="2"/>
      <c r="MWU60" s="2"/>
      <c r="MWV60" s="2"/>
      <c r="MWW60" s="2"/>
      <c r="MWX60" s="2"/>
      <c r="MWY60" s="2"/>
      <c r="MWZ60" s="2"/>
      <c r="MXA60" s="2"/>
      <c r="MXB60" s="2"/>
      <c r="MXC60" s="2"/>
      <c r="MXD60" s="2"/>
      <c r="MXE60" s="2"/>
      <c r="MXF60" s="2"/>
      <c r="MXG60" s="2"/>
      <c r="MXH60" s="2"/>
      <c r="MXI60" s="2"/>
      <c r="MXJ60" s="2"/>
      <c r="MXK60" s="2"/>
      <c r="MXL60" s="2"/>
      <c r="MXM60" s="2"/>
      <c r="MXN60" s="2"/>
      <c r="MXO60" s="2"/>
      <c r="MXP60" s="2"/>
      <c r="MXQ60" s="2"/>
      <c r="MXR60" s="2"/>
      <c r="MXS60" s="2"/>
      <c r="MXT60" s="2"/>
      <c r="MXU60" s="2"/>
      <c r="MXV60" s="2"/>
      <c r="MXW60" s="2"/>
      <c r="MXX60" s="2"/>
      <c r="MXY60" s="2"/>
      <c r="MXZ60" s="2"/>
      <c r="MYA60" s="2"/>
      <c r="MYB60" s="2"/>
      <c r="MYC60" s="2"/>
      <c r="MYD60" s="2"/>
      <c r="MYE60" s="2"/>
      <c r="MYF60" s="2"/>
      <c r="MYG60" s="2"/>
      <c r="MYH60" s="2"/>
      <c r="MYI60" s="2"/>
      <c r="MYJ60" s="2"/>
      <c r="MYK60" s="2"/>
      <c r="MYL60" s="2"/>
      <c r="MYM60" s="2"/>
      <c r="MYN60" s="2"/>
      <c r="MYO60" s="2"/>
      <c r="MYP60" s="2"/>
      <c r="MYQ60" s="2"/>
      <c r="MYR60" s="2"/>
      <c r="MYS60" s="2"/>
      <c r="MYT60" s="2"/>
      <c r="MYU60" s="2"/>
      <c r="MYV60" s="2"/>
      <c r="MYW60" s="2"/>
      <c r="MYX60" s="2"/>
      <c r="MYY60" s="2"/>
      <c r="MYZ60" s="2"/>
      <c r="MZA60" s="2"/>
      <c r="MZB60" s="2"/>
      <c r="MZC60" s="2"/>
      <c r="MZD60" s="2"/>
      <c r="MZE60" s="2"/>
      <c r="MZF60" s="2"/>
      <c r="MZG60" s="2"/>
      <c r="MZH60" s="2"/>
      <c r="MZI60" s="2"/>
      <c r="MZJ60" s="2"/>
      <c r="MZK60" s="2"/>
      <c r="MZL60" s="2"/>
      <c r="MZM60" s="2"/>
      <c r="MZN60" s="2"/>
      <c r="MZO60" s="2"/>
      <c r="MZP60" s="2"/>
      <c r="MZQ60" s="2"/>
      <c r="MZR60" s="2"/>
      <c r="MZS60" s="2"/>
      <c r="MZT60" s="2"/>
      <c r="MZU60" s="2"/>
      <c r="MZV60" s="2"/>
      <c r="MZW60" s="2"/>
      <c r="MZX60" s="2"/>
      <c r="MZY60" s="2"/>
      <c r="MZZ60" s="2"/>
      <c r="NAA60" s="2"/>
      <c r="NAB60" s="2"/>
      <c r="NAC60" s="2"/>
      <c r="NAD60" s="2"/>
      <c r="NAE60" s="2"/>
      <c r="NAF60" s="2"/>
      <c r="NAG60" s="2"/>
      <c r="NAH60" s="2"/>
      <c r="NAI60" s="2"/>
      <c r="NAJ60" s="2"/>
      <c r="NAK60" s="2"/>
      <c r="NAL60" s="2"/>
      <c r="NAM60" s="2"/>
      <c r="NAN60" s="2"/>
      <c r="NAO60" s="2"/>
      <c r="NAP60" s="2"/>
      <c r="NAQ60" s="2"/>
      <c r="NAR60" s="2"/>
      <c r="NAS60" s="2"/>
      <c r="NAT60" s="2"/>
      <c r="NAU60" s="2"/>
      <c r="NAV60" s="2"/>
      <c r="NAW60" s="2"/>
      <c r="NAX60" s="2"/>
      <c r="NAY60" s="2"/>
      <c r="NAZ60" s="2"/>
      <c r="NBA60" s="2"/>
      <c r="NBB60" s="2"/>
      <c r="NBC60" s="2"/>
      <c r="NBD60" s="2"/>
      <c r="NBE60" s="2"/>
      <c r="NBF60" s="2"/>
      <c r="NBG60" s="2"/>
      <c r="NBH60" s="2"/>
      <c r="NBI60" s="2"/>
      <c r="NBJ60" s="2"/>
      <c r="NBK60" s="2"/>
      <c r="NBL60" s="2"/>
      <c r="NBM60" s="2"/>
      <c r="NBN60" s="2"/>
      <c r="NBO60" s="2"/>
      <c r="NBP60" s="2"/>
      <c r="NBQ60" s="2"/>
      <c r="NBR60" s="2"/>
      <c r="NBS60" s="2"/>
      <c r="NBT60" s="2"/>
      <c r="NBU60" s="2"/>
      <c r="NBV60" s="2"/>
      <c r="NBW60" s="2"/>
      <c r="NBX60" s="2"/>
      <c r="NBY60" s="2"/>
      <c r="NBZ60" s="2"/>
      <c r="NCA60" s="2"/>
      <c r="NCB60" s="2"/>
      <c r="NCC60" s="2"/>
      <c r="NCD60" s="2"/>
      <c r="NCE60" s="2"/>
      <c r="NCF60" s="2"/>
      <c r="NCG60" s="2"/>
      <c r="NCH60" s="2"/>
      <c r="NCI60" s="2"/>
      <c r="NCJ60" s="2"/>
      <c r="NCK60" s="2"/>
      <c r="NCL60" s="2"/>
      <c r="NCM60" s="2"/>
      <c r="NCN60" s="2"/>
      <c r="NCO60" s="2"/>
      <c r="NCP60" s="2"/>
      <c r="NCQ60" s="2"/>
      <c r="NCR60" s="2"/>
      <c r="NCS60" s="2"/>
      <c r="NCT60" s="2"/>
      <c r="NCU60" s="2"/>
      <c r="NCV60" s="2"/>
      <c r="NCW60" s="2"/>
      <c r="NCX60" s="2"/>
      <c r="NCY60" s="2"/>
      <c r="NCZ60" s="2"/>
      <c r="NDA60" s="2"/>
      <c r="NDB60" s="2"/>
      <c r="NDC60" s="2"/>
      <c r="NDD60" s="2"/>
      <c r="NDE60" s="2"/>
      <c r="NDF60" s="2"/>
      <c r="NDG60" s="2"/>
      <c r="NDH60" s="2"/>
      <c r="NDI60" s="2"/>
      <c r="NDJ60" s="2"/>
      <c r="NDK60" s="2"/>
      <c r="NDL60" s="2"/>
      <c r="NDM60" s="2"/>
      <c r="NDN60" s="2"/>
      <c r="NDO60" s="2"/>
      <c r="NDP60" s="2"/>
      <c r="NDQ60" s="2"/>
      <c r="NDR60" s="2"/>
      <c r="NDS60" s="2"/>
      <c r="NDT60" s="2"/>
      <c r="NDU60" s="2"/>
      <c r="NDV60" s="2"/>
      <c r="NDW60" s="2"/>
      <c r="NDX60" s="2"/>
      <c r="NDY60" s="2"/>
      <c r="NDZ60" s="2"/>
      <c r="NEA60" s="2"/>
      <c r="NEB60" s="2"/>
      <c r="NEC60" s="2"/>
      <c r="NED60" s="2"/>
      <c r="NEE60" s="2"/>
      <c r="NEF60" s="2"/>
      <c r="NEG60" s="2"/>
      <c r="NEH60" s="2"/>
      <c r="NEI60" s="2"/>
      <c r="NEJ60" s="2"/>
      <c r="NEK60" s="2"/>
      <c r="NEL60" s="2"/>
      <c r="NEM60" s="2"/>
      <c r="NEN60" s="2"/>
      <c r="NEO60" s="2"/>
      <c r="NEP60" s="2"/>
      <c r="NEQ60" s="2"/>
      <c r="NER60" s="2"/>
      <c r="NES60" s="2"/>
      <c r="NET60" s="2"/>
      <c r="NEU60" s="2"/>
      <c r="NEV60" s="2"/>
      <c r="NEW60" s="2"/>
      <c r="NEX60" s="2"/>
      <c r="NEY60" s="2"/>
      <c r="NEZ60" s="2"/>
      <c r="NFA60" s="2"/>
      <c r="NFB60" s="2"/>
      <c r="NFC60" s="2"/>
      <c r="NFD60" s="2"/>
      <c r="NFE60" s="2"/>
      <c r="NFF60" s="2"/>
      <c r="NFG60" s="2"/>
      <c r="NFH60" s="2"/>
      <c r="NFI60" s="2"/>
      <c r="NFJ60" s="2"/>
      <c r="NFK60" s="2"/>
      <c r="NFL60" s="2"/>
      <c r="NFM60" s="2"/>
      <c r="NFN60" s="2"/>
      <c r="NFO60" s="2"/>
      <c r="NFP60" s="2"/>
      <c r="NFQ60" s="2"/>
      <c r="NFR60" s="2"/>
      <c r="NFS60" s="2"/>
      <c r="NFT60" s="2"/>
      <c r="NFU60" s="2"/>
      <c r="NFV60" s="2"/>
      <c r="NFW60" s="2"/>
      <c r="NFX60" s="2"/>
      <c r="NFY60" s="2"/>
      <c r="NFZ60" s="2"/>
      <c r="NGA60" s="2"/>
      <c r="NGB60" s="2"/>
      <c r="NGC60" s="2"/>
      <c r="NGD60" s="2"/>
      <c r="NGE60" s="2"/>
      <c r="NGF60" s="2"/>
      <c r="NGG60" s="2"/>
      <c r="NGH60" s="2"/>
      <c r="NGI60" s="2"/>
      <c r="NGJ60" s="2"/>
      <c r="NGK60" s="2"/>
      <c r="NGL60" s="2"/>
      <c r="NGM60" s="2"/>
      <c r="NGN60" s="2"/>
      <c r="NGO60" s="2"/>
      <c r="NGP60" s="2"/>
      <c r="NGQ60" s="2"/>
      <c r="NGR60" s="2"/>
      <c r="NGS60" s="2"/>
      <c r="NGT60" s="2"/>
      <c r="NGU60" s="2"/>
      <c r="NGV60" s="2"/>
      <c r="NGW60" s="2"/>
      <c r="NGX60" s="2"/>
      <c r="NGY60" s="2"/>
      <c r="NGZ60" s="2"/>
      <c r="NHA60" s="2"/>
      <c r="NHB60" s="2"/>
      <c r="NHC60" s="2"/>
      <c r="NHD60" s="2"/>
      <c r="NHE60" s="2"/>
      <c r="NHF60" s="2"/>
      <c r="NHG60" s="2"/>
      <c r="NHH60" s="2"/>
      <c r="NHI60" s="2"/>
      <c r="NHJ60" s="2"/>
      <c r="NHK60" s="2"/>
      <c r="NHL60" s="2"/>
      <c r="NHM60" s="2"/>
      <c r="NHN60" s="2"/>
      <c r="NHO60" s="2"/>
      <c r="NHP60" s="2"/>
      <c r="NHQ60" s="2"/>
      <c r="NHR60" s="2"/>
      <c r="NHS60" s="2"/>
      <c r="NHT60" s="2"/>
      <c r="NHU60" s="2"/>
      <c r="NHV60" s="2"/>
      <c r="NHW60" s="2"/>
      <c r="NHX60" s="2"/>
      <c r="NHY60" s="2"/>
      <c r="NHZ60" s="2"/>
      <c r="NIA60" s="2"/>
      <c r="NIB60" s="2"/>
      <c r="NIC60" s="2"/>
      <c r="NID60" s="2"/>
      <c r="NIE60" s="2"/>
      <c r="NIF60" s="2"/>
      <c r="NIG60" s="2"/>
      <c r="NIH60" s="2"/>
      <c r="NII60" s="2"/>
      <c r="NIJ60" s="2"/>
      <c r="NIK60" s="2"/>
      <c r="NIL60" s="2"/>
      <c r="NIM60" s="2"/>
      <c r="NIN60" s="2"/>
      <c r="NIO60" s="2"/>
      <c r="NIP60" s="2"/>
      <c r="NIQ60" s="2"/>
      <c r="NIR60" s="2"/>
      <c r="NIS60" s="2"/>
      <c r="NIT60" s="2"/>
      <c r="NIU60" s="2"/>
      <c r="NIV60" s="2"/>
      <c r="NIW60" s="2"/>
      <c r="NIX60" s="2"/>
      <c r="NIY60" s="2"/>
      <c r="NIZ60" s="2"/>
      <c r="NJA60" s="2"/>
      <c r="NJB60" s="2"/>
      <c r="NJC60" s="2"/>
      <c r="NJD60" s="2"/>
      <c r="NJE60" s="2"/>
      <c r="NJF60" s="2"/>
      <c r="NJG60" s="2"/>
      <c r="NJH60" s="2"/>
      <c r="NJI60" s="2"/>
      <c r="NJJ60" s="2"/>
      <c r="NJK60" s="2"/>
      <c r="NJL60" s="2"/>
      <c r="NJM60" s="2"/>
      <c r="NJN60" s="2"/>
      <c r="NJO60" s="2"/>
      <c r="NJP60" s="2"/>
      <c r="NJQ60" s="2"/>
      <c r="NJR60" s="2"/>
      <c r="NJS60" s="2"/>
      <c r="NJT60" s="2"/>
      <c r="NJU60" s="2"/>
      <c r="NJV60" s="2"/>
      <c r="NJW60" s="2"/>
      <c r="NJX60" s="2"/>
      <c r="NJY60" s="2"/>
      <c r="NJZ60" s="2"/>
      <c r="NKA60" s="2"/>
      <c r="NKB60" s="2"/>
      <c r="NKC60" s="2"/>
      <c r="NKD60" s="2"/>
      <c r="NKE60" s="2"/>
      <c r="NKF60" s="2"/>
      <c r="NKG60" s="2"/>
      <c r="NKH60" s="2"/>
      <c r="NKI60" s="2"/>
      <c r="NKJ60" s="2"/>
      <c r="NKK60" s="2"/>
      <c r="NKL60" s="2"/>
      <c r="NKM60" s="2"/>
      <c r="NKN60" s="2"/>
      <c r="NKO60" s="2"/>
      <c r="NKP60" s="2"/>
      <c r="NKQ60" s="2"/>
      <c r="NKR60" s="2"/>
      <c r="NKS60" s="2"/>
      <c r="NKT60" s="2"/>
      <c r="NKU60" s="2"/>
      <c r="NKV60" s="2"/>
      <c r="NKW60" s="2"/>
      <c r="NKX60" s="2"/>
      <c r="NKY60" s="2"/>
      <c r="NKZ60" s="2"/>
      <c r="NLA60" s="2"/>
      <c r="NLB60" s="2"/>
      <c r="NLC60" s="2"/>
      <c r="NLD60" s="2"/>
      <c r="NLE60" s="2"/>
      <c r="NLF60" s="2"/>
      <c r="NLG60" s="2"/>
      <c r="NLH60" s="2"/>
      <c r="NLI60" s="2"/>
      <c r="NLJ60" s="2"/>
      <c r="NLK60" s="2"/>
      <c r="NLL60" s="2"/>
      <c r="NLM60" s="2"/>
      <c r="NLN60" s="2"/>
      <c r="NLO60" s="2"/>
      <c r="NLP60" s="2"/>
      <c r="NLQ60" s="2"/>
      <c r="NLR60" s="2"/>
      <c r="NLS60" s="2"/>
      <c r="NLT60" s="2"/>
      <c r="NLU60" s="2"/>
      <c r="NLV60" s="2"/>
      <c r="NLW60" s="2"/>
      <c r="NLX60" s="2"/>
      <c r="NLY60" s="2"/>
      <c r="NLZ60" s="2"/>
      <c r="NMA60" s="2"/>
      <c r="NMB60" s="2"/>
      <c r="NMC60" s="2"/>
      <c r="NMD60" s="2"/>
      <c r="NME60" s="2"/>
      <c r="NMF60" s="2"/>
      <c r="NMG60" s="2"/>
      <c r="NMH60" s="2"/>
      <c r="NMI60" s="2"/>
      <c r="NMJ60" s="2"/>
      <c r="NMK60" s="2"/>
      <c r="NML60" s="2"/>
      <c r="NMM60" s="2"/>
      <c r="NMN60" s="2"/>
      <c r="NMO60" s="2"/>
      <c r="NMP60" s="2"/>
      <c r="NMQ60" s="2"/>
      <c r="NMR60" s="2"/>
      <c r="NMS60" s="2"/>
      <c r="NMT60" s="2"/>
      <c r="NMU60" s="2"/>
      <c r="NMV60" s="2"/>
      <c r="NMW60" s="2"/>
      <c r="NMX60" s="2"/>
      <c r="NMY60" s="2"/>
      <c r="NMZ60" s="2"/>
      <c r="NNA60" s="2"/>
      <c r="NNB60" s="2"/>
      <c r="NNC60" s="2"/>
      <c r="NND60" s="2"/>
      <c r="NNE60" s="2"/>
      <c r="NNF60" s="2"/>
      <c r="NNG60" s="2"/>
      <c r="NNH60" s="2"/>
      <c r="NNI60" s="2"/>
      <c r="NNJ60" s="2"/>
      <c r="NNK60" s="2"/>
      <c r="NNL60" s="2"/>
      <c r="NNM60" s="2"/>
      <c r="NNN60" s="2"/>
      <c r="NNO60" s="2"/>
      <c r="NNP60" s="2"/>
      <c r="NNQ60" s="2"/>
      <c r="NNR60" s="2"/>
      <c r="NNS60" s="2"/>
      <c r="NNT60" s="2"/>
      <c r="NNU60" s="2"/>
      <c r="NNV60" s="2"/>
      <c r="NNW60" s="2"/>
      <c r="NNX60" s="2"/>
      <c r="NNY60" s="2"/>
      <c r="NNZ60" s="2"/>
      <c r="NOA60" s="2"/>
      <c r="NOB60" s="2"/>
      <c r="NOC60" s="2"/>
      <c r="NOD60" s="2"/>
      <c r="NOE60" s="2"/>
      <c r="NOF60" s="2"/>
      <c r="NOG60" s="2"/>
      <c r="NOH60" s="2"/>
      <c r="NOI60" s="2"/>
      <c r="NOJ60" s="2"/>
      <c r="NOK60" s="2"/>
      <c r="NOL60" s="2"/>
      <c r="NOM60" s="2"/>
      <c r="NON60" s="2"/>
      <c r="NOO60" s="2"/>
      <c r="NOP60" s="2"/>
      <c r="NOQ60" s="2"/>
      <c r="NOR60" s="2"/>
      <c r="NOS60" s="2"/>
      <c r="NOT60" s="2"/>
      <c r="NOU60" s="2"/>
      <c r="NOV60" s="2"/>
      <c r="NOW60" s="2"/>
      <c r="NOX60" s="2"/>
      <c r="NOY60" s="2"/>
      <c r="NOZ60" s="2"/>
      <c r="NPA60" s="2"/>
      <c r="NPB60" s="2"/>
      <c r="NPC60" s="2"/>
      <c r="NPD60" s="2"/>
      <c r="NPE60" s="2"/>
      <c r="NPF60" s="2"/>
      <c r="NPG60" s="2"/>
      <c r="NPH60" s="2"/>
      <c r="NPI60" s="2"/>
      <c r="NPJ60" s="2"/>
      <c r="NPK60" s="2"/>
      <c r="NPL60" s="2"/>
      <c r="NPM60" s="2"/>
      <c r="NPN60" s="2"/>
      <c r="NPO60" s="2"/>
      <c r="NPP60" s="2"/>
      <c r="NPQ60" s="2"/>
      <c r="NPR60" s="2"/>
      <c r="NPS60" s="2"/>
      <c r="NPT60" s="2"/>
      <c r="NPU60" s="2"/>
      <c r="NPV60" s="2"/>
      <c r="NPW60" s="2"/>
      <c r="NPX60" s="2"/>
      <c r="NPY60" s="2"/>
      <c r="NPZ60" s="2"/>
      <c r="NQA60" s="2"/>
      <c r="NQB60" s="2"/>
      <c r="NQC60" s="2"/>
      <c r="NQD60" s="2"/>
      <c r="NQE60" s="2"/>
      <c r="NQF60" s="2"/>
      <c r="NQG60" s="2"/>
      <c r="NQH60" s="2"/>
      <c r="NQI60" s="2"/>
      <c r="NQJ60" s="2"/>
      <c r="NQK60" s="2"/>
      <c r="NQL60" s="2"/>
      <c r="NQM60" s="2"/>
      <c r="NQN60" s="2"/>
      <c r="NQO60" s="2"/>
      <c r="NQP60" s="2"/>
      <c r="NQQ60" s="2"/>
      <c r="NQR60" s="2"/>
      <c r="NQS60" s="2"/>
      <c r="NQT60" s="2"/>
      <c r="NQU60" s="2"/>
      <c r="NQV60" s="2"/>
      <c r="NQW60" s="2"/>
      <c r="NQX60" s="2"/>
      <c r="NQY60" s="2"/>
      <c r="NQZ60" s="2"/>
      <c r="NRA60" s="2"/>
      <c r="NRB60" s="2"/>
      <c r="NRC60" s="2"/>
      <c r="NRD60" s="2"/>
      <c r="NRE60" s="2"/>
      <c r="NRF60" s="2"/>
      <c r="NRG60" s="2"/>
      <c r="NRH60" s="2"/>
      <c r="NRI60" s="2"/>
      <c r="NRJ60" s="2"/>
      <c r="NRK60" s="2"/>
      <c r="NRL60" s="2"/>
      <c r="NRM60" s="2"/>
      <c r="NRN60" s="2"/>
      <c r="NRO60" s="2"/>
      <c r="NRP60" s="2"/>
      <c r="NRQ60" s="2"/>
      <c r="NRR60" s="2"/>
      <c r="NRS60" s="2"/>
      <c r="NRT60" s="2"/>
      <c r="NRU60" s="2"/>
      <c r="NRV60" s="2"/>
      <c r="NRW60" s="2"/>
      <c r="NRX60" s="2"/>
      <c r="NRY60" s="2"/>
      <c r="NRZ60" s="2"/>
      <c r="NSA60" s="2"/>
      <c r="NSB60" s="2"/>
      <c r="NSC60" s="2"/>
      <c r="NSD60" s="2"/>
      <c r="NSE60" s="2"/>
      <c r="NSF60" s="2"/>
      <c r="NSG60" s="2"/>
      <c r="NSH60" s="2"/>
      <c r="NSI60" s="2"/>
      <c r="NSJ60" s="2"/>
      <c r="NSK60" s="2"/>
      <c r="NSL60" s="2"/>
      <c r="NSM60" s="2"/>
      <c r="NSN60" s="2"/>
      <c r="NSO60" s="2"/>
      <c r="NSP60" s="2"/>
      <c r="NSQ60" s="2"/>
      <c r="NSR60" s="2"/>
      <c r="NSS60" s="2"/>
      <c r="NST60" s="2"/>
      <c r="NSU60" s="2"/>
      <c r="NSV60" s="2"/>
      <c r="NSW60" s="2"/>
      <c r="NSX60" s="2"/>
      <c r="NSY60" s="2"/>
      <c r="NSZ60" s="2"/>
      <c r="NTA60" s="2"/>
      <c r="NTB60" s="2"/>
      <c r="NTC60" s="2"/>
      <c r="NTD60" s="2"/>
      <c r="NTE60" s="2"/>
      <c r="NTF60" s="2"/>
      <c r="NTG60" s="2"/>
      <c r="NTH60" s="2"/>
      <c r="NTI60" s="2"/>
      <c r="NTJ60" s="2"/>
      <c r="NTK60" s="2"/>
      <c r="NTL60" s="2"/>
      <c r="NTM60" s="2"/>
      <c r="NTN60" s="2"/>
      <c r="NTO60" s="2"/>
      <c r="NTP60" s="2"/>
      <c r="NTQ60" s="2"/>
      <c r="NTR60" s="2"/>
      <c r="NTS60" s="2"/>
      <c r="NTT60" s="2"/>
      <c r="NTU60" s="2"/>
      <c r="NTV60" s="2"/>
      <c r="NTW60" s="2"/>
      <c r="NTX60" s="2"/>
      <c r="NTY60" s="2"/>
      <c r="NTZ60" s="2"/>
      <c r="NUA60" s="2"/>
      <c r="NUB60" s="2"/>
      <c r="NUC60" s="2"/>
      <c r="NUD60" s="2"/>
      <c r="NUE60" s="2"/>
      <c r="NUF60" s="2"/>
      <c r="NUG60" s="2"/>
      <c r="NUH60" s="2"/>
      <c r="NUI60" s="2"/>
      <c r="NUJ60" s="2"/>
      <c r="NUK60" s="2"/>
      <c r="NUL60" s="2"/>
      <c r="NUM60" s="2"/>
      <c r="NUN60" s="2"/>
      <c r="NUO60" s="2"/>
      <c r="NUP60" s="2"/>
      <c r="NUQ60" s="2"/>
      <c r="NUR60" s="2"/>
      <c r="NUS60" s="2"/>
      <c r="NUT60" s="2"/>
      <c r="NUU60" s="2"/>
      <c r="NUV60" s="2"/>
      <c r="NUW60" s="2"/>
      <c r="NUX60" s="2"/>
      <c r="NUY60" s="2"/>
      <c r="NUZ60" s="2"/>
      <c r="NVA60" s="2"/>
      <c r="NVB60" s="2"/>
      <c r="NVC60" s="2"/>
      <c r="NVD60" s="2"/>
      <c r="NVE60" s="2"/>
      <c r="NVF60" s="2"/>
      <c r="NVG60" s="2"/>
      <c r="NVH60" s="2"/>
      <c r="NVI60" s="2"/>
      <c r="NVJ60" s="2"/>
      <c r="NVK60" s="2"/>
      <c r="NVL60" s="2"/>
      <c r="NVM60" s="2"/>
      <c r="NVN60" s="2"/>
      <c r="NVO60" s="2"/>
      <c r="NVP60" s="2"/>
      <c r="NVQ60" s="2"/>
      <c r="NVR60" s="2"/>
      <c r="NVS60" s="2"/>
      <c r="NVT60" s="2"/>
      <c r="NVU60" s="2"/>
      <c r="NVV60" s="2"/>
      <c r="NVW60" s="2"/>
      <c r="NVX60" s="2"/>
      <c r="NVY60" s="2"/>
      <c r="NVZ60" s="2"/>
      <c r="NWA60" s="2"/>
      <c r="NWB60" s="2"/>
      <c r="NWC60" s="2"/>
      <c r="NWD60" s="2"/>
      <c r="NWE60" s="2"/>
      <c r="NWF60" s="2"/>
      <c r="NWG60" s="2"/>
      <c r="NWH60" s="2"/>
      <c r="NWI60" s="2"/>
      <c r="NWJ60" s="2"/>
      <c r="NWK60" s="2"/>
      <c r="NWL60" s="2"/>
      <c r="NWM60" s="2"/>
      <c r="NWN60" s="2"/>
      <c r="NWO60" s="2"/>
      <c r="NWP60" s="2"/>
      <c r="NWQ60" s="2"/>
      <c r="NWR60" s="2"/>
      <c r="NWS60" s="2"/>
      <c r="NWT60" s="2"/>
      <c r="NWU60" s="2"/>
      <c r="NWV60" s="2"/>
      <c r="NWW60" s="2"/>
      <c r="NWX60" s="2"/>
      <c r="NWY60" s="2"/>
      <c r="NWZ60" s="2"/>
      <c r="NXA60" s="2"/>
      <c r="NXB60" s="2"/>
      <c r="NXC60" s="2"/>
      <c r="NXD60" s="2"/>
      <c r="NXE60" s="2"/>
      <c r="NXF60" s="2"/>
      <c r="NXG60" s="2"/>
      <c r="NXH60" s="2"/>
      <c r="NXI60" s="2"/>
      <c r="NXJ60" s="2"/>
      <c r="NXK60" s="2"/>
      <c r="NXL60" s="2"/>
      <c r="NXM60" s="2"/>
      <c r="NXN60" s="2"/>
      <c r="NXO60" s="2"/>
      <c r="NXP60" s="2"/>
      <c r="NXQ60" s="2"/>
      <c r="NXR60" s="2"/>
      <c r="NXS60" s="2"/>
      <c r="NXT60" s="2"/>
      <c r="NXU60" s="2"/>
      <c r="NXV60" s="2"/>
      <c r="NXW60" s="2"/>
      <c r="NXX60" s="2"/>
      <c r="NXY60" s="2"/>
      <c r="NXZ60" s="2"/>
      <c r="NYA60" s="2"/>
      <c r="NYB60" s="2"/>
      <c r="NYC60" s="2"/>
      <c r="NYD60" s="2"/>
      <c r="NYE60" s="2"/>
      <c r="NYF60" s="2"/>
      <c r="NYG60" s="2"/>
      <c r="NYH60" s="2"/>
      <c r="NYI60" s="2"/>
      <c r="NYJ60" s="2"/>
      <c r="NYK60" s="2"/>
      <c r="NYL60" s="2"/>
      <c r="NYM60" s="2"/>
      <c r="NYN60" s="2"/>
      <c r="NYO60" s="2"/>
      <c r="NYP60" s="2"/>
      <c r="NYQ60" s="2"/>
      <c r="NYR60" s="2"/>
      <c r="NYS60" s="2"/>
      <c r="NYT60" s="2"/>
      <c r="NYU60" s="2"/>
      <c r="NYV60" s="2"/>
      <c r="NYW60" s="2"/>
      <c r="NYX60" s="2"/>
      <c r="NYY60" s="2"/>
      <c r="NYZ60" s="2"/>
      <c r="NZA60" s="2"/>
      <c r="NZB60" s="2"/>
      <c r="NZC60" s="2"/>
      <c r="NZD60" s="2"/>
      <c r="NZE60" s="2"/>
      <c r="NZF60" s="2"/>
      <c r="NZG60" s="2"/>
      <c r="NZH60" s="2"/>
      <c r="NZI60" s="2"/>
      <c r="NZJ60" s="2"/>
      <c r="NZK60" s="2"/>
      <c r="NZL60" s="2"/>
      <c r="NZM60" s="2"/>
      <c r="NZN60" s="2"/>
      <c r="NZO60" s="2"/>
      <c r="NZP60" s="2"/>
      <c r="NZQ60" s="2"/>
      <c r="NZR60" s="2"/>
      <c r="NZS60" s="2"/>
      <c r="NZT60" s="2"/>
      <c r="NZU60" s="2"/>
      <c r="NZV60" s="2"/>
      <c r="NZW60" s="2"/>
      <c r="NZX60" s="2"/>
      <c r="NZY60" s="2"/>
      <c r="NZZ60" s="2"/>
      <c r="OAA60" s="2"/>
      <c r="OAB60" s="2"/>
      <c r="OAC60" s="2"/>
      <c r="OAD60" s="2"/>
      <c r="OAE60" s="2"/>
      <c r="OAF60" s="2"/>
      <c r="OAG60" s="2"/>
      <c r="OAH60" s="2"/>
      <c r="OAI60" s="2"/>
      <c r="OAJ60" s="2"/>
      <c r="OAK60" s="2"/>
      <c r="OAL60" s="2"/>
      <c r="OAM60" s="2"/>
      <c r="OAN60" s="2"/>
      <c r="OAO60" s="2"/>
      <c r="OAP60" s="2"/>
      <c r="OAQ60" s="2"/>
      <c r="OAR60" s="2"/>
      <c r="OAS60" s="2"/>
      <c r="OAT60" s="2"/>
      <c r="OAU60" s="2"/>
      <c r="OAV60" s="2"/>
      <c r="OAW60" s="2"/>
      <c r="OAX60" s="2"/>
      <c r="OAY60" s="2"/>
      <c r="OAZ60" s="2"/>
      <c r="OBA60" s="2"/>
      <c r="OBB60" s="2"/>
      <c r="OBC60" s="2"/>
      <c r="OBD60" s="2"/>
      <c r="OBE60" s="2"/>
      <c r="OBF60" s="2"/>
      <c r="OBG60" s="2"/>
      <c r="OBH60" s="2"/>
      <c r="OBI60" s="2"/>
      <c r="OBJ60" s="2"/>
      <c r="OBK60" s="2"/>
      <c r="OBL60" s="2"/>
      <c r="OBM60" s="2"/>
      <c r="OBN60" s="2"/>
      <c r="OBO60" s="2"/>
      <c r="OBP60" s="2"/>
      <c r="OBQ60" s="2"/>
      <c r="OBR60" s="2"/>
      <c r="OBS60" s="2"/>
      <c r="OBT60" s="2"/>
      <c r="OBU60" s="2"/>
      <c r="OBV60" s="2"/>
      <c r="OBW60" s="2"/>
      <c r="OBX60" s="2"/>
      <c r="OBY60" s="2"/>
      <c r="OBZ60" s="2"/>
      <c r="OCA60" s="2"/>
      <c r="OCB60" s="2"/>
      <c r="OCC60" s="2"/>
      <c r="OCD60" s="2"/>
      <c r="OCE60" s="2"/>
      <c r="OCF60" s="2"/>
      <c r="OCG60" s="2"/>
      <c r="OCH60" s="2"/>
      <c r="OCI60" s="2"/>
      <c r="OCJ60" s="2"/>
      <c r="OCK60" s="2"/>
      <c r="OCL60" s="2"/>
      <c r="OCM60" s="2"/>
      <c r="OCN60" s="2"/>
      <c r="OCO60" s="2"/>
      <c r="OCP60" s="2"/>
      <c r="OCQ60" s="2"/>
      <c r="OCR60" s="2"/>
      <c r="OCS60" s="2"/>
      <c r="OCT60" s="2"/>
      <c r="OCU60" s="2"/>
      <c r="OCV60" s="2"/>
      <c r="OCW60" s="2"/>
      <c r="OCX60" s="2"/>
      <c r="OCY60" s="2"/>
      <c r="OCZ60" s="2"/>
      <c r="ODA60" s="2"/>
      <c r="ODB60" s="2"/>
      <c r="ODC60" s="2"/>
      <c r="ODD60" s="2"/>
      <c r="ODE60" s="2"/>
      <c r="ODF60" s="2"/>
      <c r="ODG60" s="2"/>
      <c r="ODH60" s="2"/>
      <c r="ODI60" s="2"/>
      <c r="ODJ60" s="2"/>
      <c r="ODK60" s="2"/>
      <c r="ODL60" s="2"/>
      <c r="ODM60" s="2"/>
      <c r="ODN60" s="2"/>
      <c r="ODO60" s="2"/>
      <c r="ODP60" s="2"/>
      <c r="ODQ60" s="2"/>
      <c r="ODR60" s="2"/>
      <c r="ODS60" s="2"/>
      <c r="ODT60" s="2"/>
      <c r="ODU60" s="2"/>
      <c r="ODV60" s="2"/>
      <c r="ODW60" s="2"/>
      <c r="ODX60" s="2"/>
      <c r="ODY60" s="2"/>
      <c r="ODZ60" s="2"/>
      <c r="OEA60" s="2"/>
      <c r="OEB60" s="2"/>
      <c r="OEC60" s="2"/>
      <c r="OED60" s="2"/>
      <c r="OEE60" s="2"/>
      <c r="OEF60" s="2"/>
      <c r="OEG60" s="2"/>
      <c r="OEH60" s="2"/>
      <c r="OEI60" s="2"/>
      <c r="OEJ60" s="2"/>
      <c r="OEK60" s="2"/>
      <c r="OEL60" s="2"/>
      <c r="OEM60" s="2"/>
      <c r="OEN60" s="2"/>
      <c r="OEO60" s="2"/>
      <c r="OEP60" s="2"/>
      <c r="OEQ60" s="2"/>
      <c r="OER60" s="2"/>
      <c r="OES60" s="2"/>
      <c r="OET60" s="2"/>
      <c r="OEU60" s="2"/>
      <c r="OEV60" s="2"/>
      <c r="OEW60" s="2"/>
      <c r="OEX60" s="2"/>
      <c r="OEY60" s="2"/>
      <c r="OEZ60" s="2"/>
      <c r="OFA60" s="2"/>
      <c r="OFB60" s="2"/>
      <c r="OFC60" s="2"/>
      <c r="OFD60" s="2"/>
      <c r="OFE60" s="2"/>
      <c r="OFF60" s="2"/>
      <c r="OFG60" s="2"/>
      <c r="OFH60" s="2"/>
      <c r="OFI60" s="2"/>
      <c r="OFJ60" s="2"/>
      <c r="OFK60" s="2"/>
      <c r="OFL60" s="2"/>
      <c r="OFM60" s="2"/>
      <c r="OFN60" s="2"/>
      <c r="OFO60" s="2"/>
      <c r="OFP60" s="2"/>
      <c r="OFQ60" s="2"/>
      <c r="OFR60" s="2"/>
      <c r="OFS60" s="2"/>
      <c r="OFT60" s="2"/>
      <c r="OFU60" s="2"/>
      <c r="OFV60" s="2"/>
      <c r="OFW60" s="2"/>
      <c r="OFX60" s="2"/>
      <c r="OFY60" s="2"/>
      <c r="OFZ60" s="2"/>
      <c r="OGA60" s="2"/>
      <c r="OGB60" s="2"/>
      <c r="OGC60" s="2"/>
      <c r="OGD60" s="2"/>
      <c r="OGE60" s="2"/>
      <c r="OGF60" s="2"/>
      <c r="OGG60" s="2"/>
      <c r="OGH60" s="2"/>
      <c r="OGI60" s="2"/>
      <c r="OGJ60" s="2"/>
      <c r="OGK60" s="2"/>
      <c r="OGL60" s="2"/>
      <c r="OGM60" s="2"/>
      <c r="OGN60" s="2"/>
      <c r="OGO60" s="2"/>
      <c r="OGP60" s="2"/>
      <c r="OGQ60" s="2"/>
      <c r="OGR60" s="2"/>
      <c r="OGS60" s="2"/>
      <c r="OGT60" s="2"/>
      <c r="OGU60" s="2"/>
      <c r="OGV60" s="2"/>
      <c r="OGW60" s="2"/>
      <c r="OGX60" s="2"/>
      <c r="OGY60" s="2"/>
      <c r="OGZ60" s="2"/>
      <c r="OHA60" s="2"/>
      <c r="OHB60" s="2"/>
      <c r="OHC60" s="2"/>
      <c r="OHD60" s="2"/>
      <c r="OHE60" s="2"/>
      <c r="OHF60" s="2"/>
      <c r="OHG60" s="2"/>
      <c r="OHH60" s="2"/>
      <c r="OHI60" s="2"/>
      <c r="OHJ60" s="2"/>
      <c r="OHK60" s="2"/>
      <c r="OHL60" s="2"/>
      <c r="OHM60" s="2"/>
      <c r="OHN60" s="2"/>
      <c r="OHO60" s="2"/>
      <c r="OHP60" s="2"/>
      <c r="OHQ60" s="2"/>
      <c r="OHR60" s="2"/>
      <c r="OHS60" s="2"/>
      <c r="OHT60" s="2"/>
      <c r="OHU60" s="2"/>
      <c r="OHV60" s="2"/>
      <c r="OHW60" s="2"/>
      <c r="OHX60" s="2"/>
      <c r="OHY60" s="2"/>
      <c r="OHZ60" s="2"/>
      <c r="OIA60" s="2"/>
      <c r="OIB60" s="2"/>
      <c r="OIC60" s="2"/>
      <c r="OID60" s="2"/>
      <c r="OIE60" s="2"/>
      <c r="OIF60" s="2"/>
      <c r="OIG60" s="2"/>
      <c r="OIH60" s="2"/>
      <c r="OII60" s="2"/>
      <c r="OIJ60" s="2"/>
      <c r="OIK60" s="2"/>
      <c r="OIL60" s="2"/>
      <c r="OIM60" s="2"/>
      <c r="OIN60" s="2"/>
      <c r="OIO60" s="2"/>
      <c r="OIP60" s="2"/>
      <c r="OIQ60" s="2"/>
      <c r="OIR60" s="2"/>
      <c r="OIS60" s="2"/>
      <c r="OIT60" s="2"/>
      <c r="OIU60" s="2"/>
      <c r="OIV60" s="2"/>
      <c r="OIW60" s="2"/>
      <c r="OIX60" s="2"/>
      <c r="OIY60" s="2"/>
      <c r="OIZ60" s="2"/>
      <c r="OJA60" s="2"/>
      <c r="OJB60" s="2"/>
      <c r="OJC60" s="2"/>
      <c r="OJD60" s="2"/>
      <c r="OJE60" s="2"/>
      <c r="OJF60" s="2"/>
      <c r="OJG60" s="2"/>
      <c r="OJH60" s="2"/>
      <c r="OJI60" s="2"/>
      <c r="OJJ60" s="2"/>
      <c r="OJK60" s="2"/>
      <c r="OJL60" s="2"/>
      <c r="OJM60" s="2"/>
      <c r="OJN60" s="2"/>
      <c r="OJO60" s="2"/>
      <c r="OJP60" s="2"/>
      <c r="OJQ60" s="2"/>
      <c r="OJR60" s="2"/>
      <c r="OJS60" s="2"/>
      <c r="OJT60" s="2"/>
      <c r="OJU60" s="2"/>
      <c r="OJV60" s="2"/>
      <c r="OJW60" s="2"/>
      <c r="OJX60" s="2"/>
      <c r="OJY60" s="2"/>
      <c r="OJZ60" s="2"/>
      <c r="OKA60" s="2"/>
      <c r="OKB60" s="2"/>
      <c r="OKC60" s="2"/>
      <c r="OKD60" s="2"/>
      <c r="OKE60" s="2"/>
      <c r="OKF60" s="2"/>
      <c r="OKG60" s="2"/>
      <c r="OKH60" s="2"/>
      <c r="OKI60" s="2"/>
      <c r="OKJ60" s="2"/>
      <c r="OKK60" s="2"/>
      <c r="OKL60" s="2"/>
      <c r="OKM60" s="2"/>
      <c r="OKN60" s="2"/>
      <c r="OKO60" s="2"/>
      <c r="OKP60" s="2"/>
      <c r="OKQ60" s="2"/>
      <c r="OKR60" s="2"/>
      <c r="OKS60" s="2"/>
      <c r="OKT60" s="2"/>
      <c r="OKU60" s="2"/>
      <c r="OKV60" s="2"/>
      <c r="OKW60" s="2"/>
      <c r="OKX60" s="2"/>
      <c r="OKY60" s="2"/>
      <c r="OKZ60" s="2"/>
      <c r="OLA60" s="2"/>
      <c r="OLB60" s="2"/>
      <c r="OLC60" s="2"/>
      <c r="OLD60" s="2"/>
      <c r="OLE60" s="2"/>
      <c r="OLF60" s="2"/>
      <c r="OLG60" s="2"/>
      <c r="OLH60" s="2"/>
      <c r="OLI60" s="2"/>
      <c r="OLJ60" s="2"/>
      <c r="OLK60" s="2"/>
      <c r="OLL60" s="2"/>
      <c r="OLM60" s="2"/>
      <c r="OLN60" s="2"/>
      <c r="OLO60" s="2"/>
      <c r="OLP60" s="2"/>
      <c r="OLQ60" s="2"/>
      <c r="OLR60" s="2"/>
      <c r="OLS60" s="2"/>
      <c r="OLT60" s="2"/>
      <c r="OLU60" s="2"/>
      <c r="OLV60" s="2"/>
      <c r="OLW60" s="2"/>
      <c r="OLX60" s="2"/>
      <c r="OLY60" s="2"/>
      <c r="OLZ60" s="2"/>
      <c r="OMA60" s="2"/>
      <c r="OMB60" s="2"/>
      <c r="OMC60" s="2"/>
      <c r="OMD60" s="2"/>
      <c r="OME60" s="2"/>
      <c r="OMF60" s="2"/>
      <c r="OMG60" s="2"/>
      <c r="OMH60" s="2"/>
      <c r="OMI60" s="2"/>
      <c r="OMJ60" s="2"/>
      <c r="OMK60" s="2"/>
      <c r="OML60" s="2"/>
      <c r="OMM60" s="2"/>
      <c r="OMN60" s="2"/>
      <c r="OMO60" s="2"/>
      <c r="OMP60" s="2"/>
      <c r="OMQ60" s="2"/>
      <c r="OMR60" s="2"/>
      <c r="OMS60" s="2"/>
      <c r="OMT60" s="2"/>
      <c r="OMU60" s="2"/>
      <c r="OMV60" s="2"/>
      <c r="OMW60" s="2"/>
      <c r="OMX60" s="2"/>
      <c r="OMY60" s="2"/>
      <c r="OMZ60" s="2"/>
      <c r="ONA60" s="2"/>
      <c r="ONB60" s="2"/>
      <c r="ONC60" s="2"/>
      <c r="OND60" s="2"/>
      <c r="ONE60" s="2"/>
      <c r="ONF60" s="2"/>
      <c r="ONG60" s="2"/>
      <c r="ONH60" s="2"/>
      <c r="ONI60" s="2"/>
      <c r="ONJ60" s="2"/>
      <c r="ONK60" s="2"/>
      <c r="ONL60" s="2"/>
      <c r="ONM60" s="2"/>
      <c r="ONN60" s="2"/>
      <c r="ONO60" s="2"/>
      <c r="ONP60" s="2"/>
      <c r="ONQ60" s="2"/>
      <c r="ONR60" s="2"/>
      <c r="ONS60" s="2"/>
      <c r="ONT60" s="2"/>
      <c r="ONU60" s="2"/>
      <c r="ONV60" s="2"/>
      <c r="ONW60" s="2"/>
      <c r="ONX60" s="2"/>
      <c r="ONY60" s="2"/>
      <c r="ONZ60" s="2"/>
      <c r="OOA60" s="2"/>
      <c r="OOB60" s="2"/>
      <c r="OOC60" s="2"/>
      <c r="OOD60" s="2"/>
      <c r="OOE60" s="2"/>
      <c r="OOF60" s="2"/>
      <c r="OOG60" s="2"/>
      <c r="OOH60" s="2"/>
      <c r="OOI60" s="2"/>
      <c r="OOJ60" s="2"/>
      <c r="OOK60" s="2"/>
      <c r="OOL60" s="2"/>
      <c r="OOM60" s="2"/>
      <c r="OON60" s="2"/>
      <c r="OOO60" s="2"/>
      <c r="OOP60" s="2"/>
      <c r="OOQ60" s="2"/>
      <c r="OOR60" s="2"/>
      <c r="OOS60" s="2"/>
      <c r="OOT60" s="2"/>
      <c r="OOU60" s="2"/>
      <c r="OOV60" s="2"/>
      <c r="OOW60" s="2"/>
      <c r="OOX60" s="2"/>
      <c r="OOY60" s="2"/>
      <c r="OOZ60" s="2"/>
      <c r="OPA60" s="2"/>
      <c r="OPB60" s="2"/>
      <c r="OPC60" s="2"/>
      <c r="OPD60" s="2"/>
      <c r="OPE60" s="2"/>
      <c r="OPF60" s="2"/>
      <c r="OPG60" s="2"/>
      <c r="OPH60" s="2"/>
      <c r="OPI60" s="2"/>
      <c r="OPJ60" s="2"/>
      <c r="OPK60" s="2"/>
      <c r="OPL60" s="2"/>
      <c r="OPM60" s="2"/>
      <c r="OPN60" s="2"/>
      <c r="OPO60" s="2"/>
      <c r="OPP60" s="2"/>
      <c r="OPQ60" s="2"/>
      <c r="OPR60" s="2"/>
      <c r="OPS60" s="2"/>
      <c r="OPT60" s="2"/>
      <c r="OPU60" s="2"/>
      <c r="OPV60" s="2"/>
      <c r="OPW60" s="2"/>
      <c r="OPX60" s="2"/>
      <c r="OPY60" s="2"/>
      <c r="OPZ60" s="2"/>
      <c r="OQA60" s="2"/>
      <c r="OQB60" s="2"/>
      <c r="OQC60" s="2"/>
      <c r="OQD60" s="2"/>
      <c r="OQE60" s="2"/>
      <c r="OQF60" s="2"/>
      <c r="OQG60" s="2"/>
      <c r="OQH60" s="2"/>
      <c r="OQI60" s="2"/>
      <c r="OQJ60" s="2"/>
      <c r="OQK60" s="2"/>
      <c r="OQL60" s="2"/>
      <c r="OQM60" s="2"/>
      <c r="OQN60" s="2"/>
      <c r="OQO60" s="2"/>
      <c r="OQP60" s="2"/>
      <c r="OQQ60" s="2"/>
      <c r="OQR60" s="2"/>
      <c r="OQS60" s="2"/>
      <c r="OQT60" s="2"/>
      <c r="OQU60" s="2"/>
      <c r="OQV60" s="2"/>
      <c r="OQW60" s="2"/>
      <c r="OQX60" s="2"/>
      <c r="OQY60" s="2"/>
      <c r="OQZ60" s="2"/>
      <c r="ORA60" s="2"/>
      <c r="ORB60" s="2"/>
      <c r="ORC60" s="2"/>
      <c r="ORD60" s="2"/>
      <c r="ORE60" s="2"/>
      <c r="ORF60" s="2"/>
      <c r="ORG60" s="2"/>
      <c r="ORH60" s="2"/>
      <c r="ORI60" s="2"/>
      <c r="ORJ60" s="2"/>
      <c r="ORK60" s="2"/>
      <c r="ORL60" s="2"/>
      <c r="ORM60" s="2"/>
      <c r="ORN60" s="2"/>
      <c r="ORO60" s="2"/>
      <c r="ORP60" s="2"/>
      <c r="ORQ60" s="2"/>
      <c r="ORR60" s="2"/>
      <c r="ORS60" s="2"/>
      <c r="ORT60" s="2"/>
      <c r="ORU60" s="2"/>
      <c r="ORV60" s="2"/>
      <c r="ORW60" s="2"/>
      <c r="ORX60" s="2"/>
      <c r="ORY60" s="2"/>
      <c r="ORZ60" s="2"/>
      <c r="OSA60" s="2"/>
      <c r="OSB60" s="2"/>
      <c r="OSC60" s="2"/>
      <c r="OSD60" s="2"/>
      <c r="OSE60" s="2"/>
      <c r="OSF60" s="2"/>
      <c r="OSG60" s="2"/>
      <c r="OSH60" s="2"/>
      <c r="OSI60" s="2"/>
      <c r="OSJ60" s="2"/>
      <c r="OSK60" s="2"/>
      <c r="OSL60" s="2"/>
      <c r="OSM60" s="2"/>
      <c r="OSN60" s="2"/>
      <c r="OSO60" s="2"/>
      <c r="OSP60" s="2"/>
      <c r="OSQ60" s="2"/>
      <c r="OSR60" s="2"/>
      <c r="OSS60" s="2"/>
      <c r="OST60" s="2"/>
      <c r="OSU60" s="2"/>
      <c r="OSV60" s="2"/>
      <c r="OSW60" s="2"/>
      <c r="OSX60" s="2"/>
      <c r="OSY60" s="2"/>
      <c r="OSZ60" s="2"/>
      <c r="OTA60" s="2"/>
      <c r="OTB60" s="2"/>
      <c r="OTC60" s="2"/>
      <c r="OTD60" s="2"/>
      <c r="OTE60" s="2"/>
      <c r="OTF60" s="2"/>
      <c r="OTG60" s="2"/>
      <c r="OTH60" s="2"/>
      <c r="OTI60" s="2"/>
      <c r="OTJ60" s="2"/>
      <c r="OTK60" s="2"/>
      <c r="OTL60" s="2"/>
      <c r="OTM60" s="2"/>
      <c r="OTN60" s="2"/>
      <c r="OTO60" s="2"/>
      <c r="OTP60" s="2"/>
      <c r="OTQ60" s="2"/>
      <c r="OTR60" s="2"/>
      <c r="OTS60" s="2"/>
      <c r="OTT60" s="2"/>
      <c r="OTU60" s="2"/>
      <c r="OTV60" s="2"/>
      <c r="OTW60" s="2"/>
      <c r="OTX60" s="2"/>
      <c r="OTY60" s="2"/>
      <c r="OTZ60" s="2"/>
      <c r="OUA60" s="2"/>
      <c r="OUB60" s="2"/>
      <c r="OUC60" s="2"/>
      <c r="OUD60" s="2"/>
      <c r="OUE60" s="2"/>
      <c r="OUF60" s="2"/>
      <c r="OUG60" s="2"/>
      <c r="OUH60" s="2"/>
      <c r="OUI60" s="2"/>
      <c r="OUJ60" s="2"/>
      <c r="OUK60" s="2"/>
      <c r="OUL60" s="2"/>
      <c r="OUM60" s="2"/>
      <c r="OUN60" s="2"/>
      <c r="OUO60" s="2"/>
      <c r="OUP60" s="2"/>
      <c r="OUQ60" s="2"/>
      <c r="OUR60" s="2"/>
      <c r="OUS60" s="2"/>
      <c r="OUT60" s="2"/>
      <c r="OUU60" s="2"/>
      <c r="OUV60" s="2"/>
      <c r="OUW60" s="2"/>
      <c r="OUX60" s="2"/>
      <c r="OUY60" s="2"/>
      <c r="OUZ60" s="2"/>
      <c r="OVA60" s="2"/>
      <c r="OVB60" s="2"/>
      <c r="OVC60" s="2"/>
      <c r="OVD60" s="2"/>
      <c r="OVE60" s="2"/>
      <c r="OVF60" s="2"/>
      <c r="OVG60" s="2"/>
      <c r="OVH60" s="2"/>
      <c r="OVI60" s="2"/>
      <c r="OVJ60" s="2"/>
      <c r="OVK60" s="2"/>
      <c r="OVL60" s="2"/>
      <c r="OVM60" s="2"/>
      <c r="OVN60" s="2"/>
      <c r="OVO60" s="2"/>
      <c r="OVP60" s="2"/>
      <c r="OVQ60" s="2"/>
      <c r="OVR60" s="2"/>
      <c r="OVS60" s="2"/>
      <c r="OVT60" s="2"/>
      <c r="OVU60" s="2"/>
      <c r="OVV60" s="2"/>
      <c r="OVW60" s="2"/>
      <c r="OVX60" s="2"/>
      <c r="OVY60" s="2"/>
      <c r="OVZ60" s="2"/>
      <c r="OWA60" s="2"/>
      <c r="OWB60" s="2"/>
      <c r="OWC60" s="2"/>
      <c r="OWD60" s="2"/>
      <c r="OWE60" s="2"/>
      <c r="OWF60" s="2"/>
      <c r="OWG60" s="2"/>
      <c r="OWH60" s="2"/>
      <c r="OWI60" s="2"/>
      <c r="OWJ60" s="2"/>
      <c r="OWK60" s="2"/>
      <c r="OWL60" s="2"/>
      <c r="OWM60" s="2"/>
      <c r="OWN60" s="2"/>
      <c r="OWO60" s="2"/>
      <c r="OWP60" s="2"/>
      <c r="OWQ60" s="2"/>
      <c r="OWR60" s="2"/>
      <c r="OWS60" s="2"/>
      <c r="OWT60" s="2"/>
      <c r="OWU60" s="2"/>
      <c r="OWV60" s="2"/>
      <c r="OWW60" s="2"/>
      <c r="OWX60" s="2"/>
      <c r="OWY60" s="2"/>
      <c r="OWZ60" s="2"/>
      <c r="OXA60" s="2"/>
      <c r="OXB60" s="2"/>
      <c r="OXC60" s="2"/>
      <c r="OXD60" s="2"/>
      <c r="OXE60" s="2"/>
      <c r="OXF60" s="2"/>
      <c r="OXG60" s="2"/>
      <c r="OXH60" s="2"/>
      <c r="OXI60" s="2"/>
      <c r="OXJ60" s="2"/>
      <c r="OXK60" s="2"/>
      <c r="OXL60" s="2"/>
      <c r="OXM60" s="2"/>
      <c r="OXN60" s="2"/>
      <c r="OXO60" s="2"/>
      <c r="OXP60" s="2"/>
      <c r="OXQ60" s="2"/>
      <c r="OXR60" s="2"/>
      <c r="OXS60" s="2"/>
      <c r="OXT60" s="2"/>
      <c r="OXU60" s="2"/>
      <c r="OXV60" s="2"/>
      <c r="OXW60" s="2"/>
      <c r="OXX60" s="2"/>
      <c r="OXY60" s="2"/>
      <c r="OXZ60" s="2"/>
      <c r="OYA60" s="2"/>
      <c r="OYB60" s="2"/>
      <c r="OYC60" s="2"/>
      <c r="OYD60" s="2"/>
      <c r="OYE60" s="2"/>
      <c r="OYF60" s="2"/>
      <c r="OYG60" s="2"/>
      <c r="OYH60" s="2"/>
      <c r="OYI60" s="2"/>
      <c r="OYJ60" s="2"/>
      <c r="OYK60" s="2"/>
      <c r="OYL60" s="2"/>
      <c r="OYM60" s="2"/>
      <c r="OYN60" s="2"/>
      <c r="OYO60" s="2"/>
      <c r="OYP60" s="2"/>
      <c r="OYQ60" s="2"/>
      <c r="OYR60" s="2"/>
      <c r="OYS60" s="2"/>
      <c r="OYT60" s="2"/>
      <c r="OYU60" s="2"/>
      <c r="OYV60" s="2"/>
      <c r="OYW60" s="2"/>
      <c r="OYX60" s="2"/>
      <c r="OYY60" s="2"/>
      <c r="OYZ60" s="2"/>
      <c r="OZA60" s="2"/>
      <c r="OZB60" s="2"/>
      <c r="OZC60" s="2"/>
      <c r="OZD60" s="2"/>
      <c r="OZE60" s="2"/>
      <c r="OZF60" s="2"/>
      <c r="OZG60" s="2"/>
      <c r="OZH60" s="2"/>
      <c r="OZI60" s="2"/>
      <c r="OZJ60" s="2"/>
      <c r="OZK60" s="2"/>
      <c r="OZL60" s="2"/>
      <c r="OZM60" s="2"/>
      <c r="OZN60" s="2"/>
      <c r="OZO60" s="2"/>
      <c r="OZP60" s="2"/>
      <c r="OZQ60" s="2"/>
      <c r="OZR60" s="2"/>
      <c r="OZS60" s="2"/>
      <c r="OZT60" s="2"/>
      <c r="OZU60" s="2"/>
      <c r="OZV60" s="2"/>
      <c r="OZW60" s="2"/>
      <c r="OZX60" s="2"/>
      <c r="OZY60" s="2"/>
      <c r="OZZ60" s="2"/>
      <c r="PAA60" s="2"/>
      <c r="PAB60" s="2"/>
      <c r="PAC60" s="2"/>
      <c r="PAD60" s="2"/>
      <c r="PAE60" s="2"/>
      <c r="PAF60" s="2"/>
      <c r="PAG60" s="2"/>
      <c r="PAH60" s="2"/>
      <c r="PAI60" s="2"/>
      <c r="PAJ60" s="2"/>
      <c r="PAK60" s="2"/>
      <c r="PAL60" s="2"/>
      <c r="PAM60" s="2"/>
      <c r="PAN60" s="2"/>
      <c r="PAO60" s="2"/>
      <c r="PAP60" s="2"/>
      <c r="PAQ60" s="2"/>
      <c r="PAR60" s="2"/>
      <c r="PAS60" s="2"/>
      <c r="PAT60" s="2"/>
      <c r="PAU60" s="2"/>
      <c r="PAV60" s="2"/>
      <c r="PAW60" s="2"/>
      <c r="PAX60" s="2"/>
      <c r="PAY60" s="2"/>
      <c r="PAZ60" s="2"/>
      <c r="PBA60" s="2"/>
      <c r="PBB60" s="2"/>
      <c r="PBC60" s="2"/>
      <c r="PBD60" s="2"/>
      <c r="PBE60" s="2"/>
      <c r="PBF60" s="2"/>
      <c r="PBG60" s="2"/>
      <c r="PBH60" s="2"/>
      <c r="PBI60" s="2"/>
      <c r="PBJ60" s="2"/>
      <c r="PBK60" s="2"/>
      <c r="PBL60" s="2"/>
      <c r="PBM60" s="2"/>
      <c r="PBN60" s="2"/>
      <c r="PBO60" s="2"/>
      <c r="PBP60" s="2"/>
      <c r="PBQ60" s="2"/>
      <c r="PBR60" s="2"/>
      <c r="PBS60" s="2"/>
      <c r="PBT60" s="2"/>
      <c r="PBU60" s="2"/>
      <c r="PBV60" s="2"/>
      <c r="PBW60" s="2"/>
      <c r="PBX60" s="2"/>
      <c r="PBY60" s="2"/>
      <c r="PBZ60" s="2"/>
      <c r="PCA60" s="2"/>
      <c r="PCB60" s="2"/>
      <c r="PCC60" s="2"/>
      <c r="PCD60" s="2"/>
      <c r="PCE60" s="2"/>
      <c r="PCF60" s="2"/>
      <c r="PCG60" s="2"/>
      <c r="PCH60" s="2"/>
      <c r="PCI60" s="2"/>
      <c r="PCJ60" s="2"/>
      <c r="PCK60" s="2"/>
      <c r="PCL60" s="2"/>
      <c r="PCM60" s="2"/>
      <c r="PCN60" s="2"/>
      <c r="PCO60" s="2"/>
      <c r="PCP60" s="2"/>
      <c r="PCQ60" s="2"/>
      <c r="PCR60" s="2"/>
      <c r="PCS60" s="2"/>
      <c r="PCT60" s="2"/>
      <c r="PCU60" s="2"/>
      <c r="PCV60" s="2"/>
      <c r="PCW60" s="2"/>
      <c r="PCX60" s="2"/>
      <c r="PCY60" s="2"/>
      <c r="PCZ60" s="2"/>
      <c r="PDA60" s="2"/>
      <c r="PDB60" s="2"/>
      <c r="PDC60" s="2"/>
      <c r="PDD60" s="2"/>
      <c r="PDE60" s="2"/>
      <c r="PDF60" s="2"/>
      <c r="PDG60" s="2"/>
      <c r="PDH60" s="2"/>
      <c r="PDI60" s="2"/>
      <c r="PDJ60" s="2"/>
      <c r="PDK60" s="2"/>
      <c r="PDL60" s="2"/>
      <c r="PDM60" s="2"/>
      <c r="PDN60" s="2"/>
      <c r="PDO60" s="2"/>
      <c r="PDP60" s="2"/>
      <c r="PDQ60" s="2"/>
      <c r="PDR60" s="2"/>
      <c r="PDS60" s="2"/>
      <c r="PDT60" s="2"/>
      <c r="PDU60" s="2"/>
      <c r="PDV60" s="2"/>
      <c r="PDW60" s="2"/>
      <c r="PDX60" s="2"/>
      <c r="PDY60" s="2"/>
      <c r="PDZ60" s="2"/>
      <c r="PEA60" s="2"/>
      <c r="PEB60" s="2"/>
      <c r="PEC60" s="2"/>
      <c r="PED60" s="2"/>
      <c r="PEE60" s="2"/>
      <c r="PEF60" s="2"/>
      <c r="PEG60" s="2"/>
      <c r="PEH60" s="2"/>
      <c r="PEI60" s="2"/>
      <c r="PEJ60" s="2"/>
      <c r="PEK60" s="2"/>
      <c r="PEL60" s="2"/>
      <c r="PEM60" s="2"/>
      <c r="PEN60" s="2"/>
      <c r="PEO60" s="2"/>
      <c r="PEP60" s="2"/>
      <c r="PEQ60" s="2"/>
      <c r="PER60" s="2"/>
      <c r="PES60" s="2"/>
      <c r="PET60" s="2"/>
      <c r="PEU60" s="2"/>
      <c r="PEV60" s="2"/>
      <c r="PEW60" s="2"/>
      <c r="PEX60" s="2"/>
      <c r="PEY60" s="2"/>
      <c r="PEZ60" s="2"/>
      <c r="PFA60" s="2"/>
      <c r="PFB60" s="2"/>
      <c r="PFC60" s="2"/>
      <c r="PFD60" s="2"/>
      <c r="PFE60" s="2"/>
      <c r="PFF60" s="2"/>
      <c r="PFG60" s="2"/>
      <c r="PFH60" s="2"/>
      <c r="PFI60" s="2"/>
      <c r="PFJ60" s="2"/>
      <c r="PFK60" s="2"/>
      <c r="PFL60" s="2"/>
      <c r="PFM60" s="2"/>
      <c r="PFN60" s="2"/>
      <c r="PFO60" s="2"/>
      <c r="PFP60" s="2"/>
      <c r="PFQ60" s="2"/>
      <c r="PFR60" s="2"/>
      <c r="PFS60" s="2"/>
      <c r="PFT60" s="2"/>
      <c r="PFU60" s="2"/>
      <c r="PFV60" s="2"/>
      <c r="PFW60" s="2"/>
      <c r="PFX60" s="2"/>
      <c r="PFY60" s="2"/>
      <c r="PFZ60" s="2"/>
      <c r="PGA60" s="2"/>
      <c r="PGB60" s="2"/>
      <c r="PGC60" s="2"/>
      <c r="PGD60" s="2"/>
      <c r="PGE60" s="2"/>
      <c r="PGF60" s="2"/>
      <c r="PGG60" s="2"/>
      <c r="PGH60" s="2"/>
      <c r="PGI60" s="2"/>
      <c r="PGJ60" s="2"/>
      <c r="PGK60" s="2"/>
      <c r="PGL60" s="2"/>
      <c r="PGM60" s="2"/>
      <c r="PGN60" s="2"/>
      <c r="PGO60" s="2"/>
      <c r="PGP60" s="2"/>
      <c r="PGQ60" s="2"/>
      <c r="PGR60" s="2"/>
      <c r="PGS60" s="2"/>
      <c r="PGT60" s="2"/>
      <c r="PGU60" s="2"/>
      <c r="PGV60" s="2"/>
      <c r="PGW60" s="2"/>
      <c r="PGX60" s="2"/>
      <c r="PGY60" s="2"/>
      <c r="PGZ60" s="2"/>
      <c r="PHA60" s="2"/>
      <c r="PHB60" s="2"/>
      <c r="PHC60" s="2"/>
      <c r="PHD60" s="2"/>
      <c r="PHE60" s="2"/>
      <c r="PHF60" s="2"/>
      <c r="PHG60" s="2"/>
      <c r="PHH60" s="2"/>
      <c r="PHI60" s="2"/>
      <c r="PHJ60" s="2"/>
      <c r="PHK60" s="2"/>
      <c r="PHL60" s="2"/>
      <c r="PHM60" s="2"/>
      <c r="PHN60" s="2"/>
      <c r="PHO60" s="2"/>
      <c r="PHP60" s="2"/>
      <c r="PHQ60" s="2"/>
      <c r="PHR60" s="2"/>
      <c r="PHS60" s="2"/>
      <c r="PHT60" s="2"/>
      <c r="PHU60" s="2"/>
      <c r="PHV60" s="2"/>
      <c r="PHW60" s="2"/>
      <c r="PHX60" s="2"/>
      <c r="PHY60" s="2"/>
      <c r="PHZ60" s="2"/>
      <c r="PIA60" s="2"/>
      <c r="PIB60" s="2"/>
      <c r="PIC60" s="2"/>
      <c r="PID60" s="2"/>
      <c r="PIE60" s="2"/>
      <c r="PIF60" s="2"/>
      <c r="PIG60" s="2"/>
      <c r="PIH60" s="2"/>
      <c r="PII60" s="2"/>
      <c r="PIJ60" s="2"/>
      <c r="PIK60" s="2"/>
      <c r="PIL60" s="2"/>
      <c r="PIM60" s="2"/>
      <c r="PIN60" s="2"/>
      <c r="PIO60" s="2"/>
      <c r="PIP60" s="2"/>
      <c r="PIQ60" s="2"/>
      <c r="PIR60" s="2"/>
      <c r="PIS60" s="2"/>
      <c r="PIT60" s="2"/>
      <c r="PIU60" s="2"/>
      <c r="PIV60" s="2"/>
      <c r="PIW60" s="2"/>
      <c r="PIX60" s="2"/>
      <c r="PIY60" s="2"/>
      <c r="PIZ60" s="2"/>
      <c r="PJA60" s="2"/>
      <c r="PJB60" s="2"/>
      <c r="PJC60" s="2"/>
      <c r="PJD60" s="2"/>
      <c r="PJE60" s="2"/>
      <c r="PJF60" s="2"/>
      <c r="PJG60" s="2"/>
      <c r="PJH60" s="2"/>
      <c r="PJI60" s="2"/>
      <c r="PJJ60" s="2"/>
      <c r="PJK60" s="2"/>
      <c r="PJL60" s="2"/>
      <c r="PJM60" s="2"/>
      <c r="PJN60" s="2"/>
      <c r="PJO60" s="2"/>
      <c r="PJP60" s="2"/>
      <c r="PJQ60" s="2"/>
      <c r="PJR60" s="2"/>
      <c r="PJS60" s="2"/>
      <c r="PJT60" s="2"/>
      <c r="PJU60" s="2"/>
      <c r="PJV60" s="2"/>
      <c r="PJW60" s="2"/>
      <c r="PJX60" s="2"/>
      <c r="PJY60" s="2"/>
      <c r="PJZ60" s="2"/>
      <c r="PKA60" s="2"/>
      <c r="PKB60" s="2"/>
      <c r="PKC60" s="2"/>
      <c r="PKD60" s="2"/>
      <c r="PKE60" s="2"/>
      <c r="PKF60" s="2"/>
      <c r="PKG60" s="2"/>
      <c r="PKH60" s="2"/>
      <c r="PKI60" s="2"/>
      <c r="PKJ60" s="2"/>
      <c r="PKK60" s="2"/>
      <c r="PKL60" s="2"/>
      <c r="PKM60" s="2"/>
      <c r="PKN60" s="2"/>
      <c r="PKO60" s="2"/>
      <c r="PKP60" s="2"/>
      <c r="PKQ60" s="2"/>
      <c r="PKR60" s="2"/>
      <c r="PKS60" s="2"/>
      <c r="PKT60" s="2"/>
      <c r="PKU60" s="2"/>
      <c r="PKV60" s="2"/>
      <c r="PKW60" s="2"/>
      <c r="PKX60" s="2"/>
      <c r="PKY60" s="2"/>
      <c r="PKZ60" s="2"/>
      <c r="PLA60" s="2"/>
      <c r="PLB60" s="2"/>
      <c r="PLC60" s="2"/>
      <c r="PLD60" s="2"/>
      <c r="PLE60" s="2"/>
      <c r="PLF60" s="2"/>
      <c r="PLG60" s="2"/>
      <c r="PLH60" s="2"/>
      <c r="PLI60" s="2"/>
      <c r="PLJ60" s="2"/>
      <c r="PLK60" s="2"/>
      <c r="PLL60" s="2"/>
      <c r="PLM60" s="2"/>
      <c r="PLN60" s="2"/>
      <c r="PLO60" s="2"/>
      <c r="PLP60" s="2"/>
      <c r="PLQ60" s="2"/>
      <c r="PLR60" s="2"/>
      <c r="PLS60" s="2"/>
      <c r="PLT60" s="2"/>
      <c r="PLU60" s="2"/>
      <c r="PLV60" s="2"/>
      <c r="PLW60" s="2"/>
      <c r="PLX60" s="2"/>
      <c r="PLY60" s="2"/>
      <c r="PLZ60" s="2"/>
      <c r="PMA60" s="2"/>
      <c r="PMB60" s="2"/>
      <c r="PMC60" s="2"/>
      <c r="PMD60" s="2"/>
      <c r="PME60" s="2"/>
      <c r="PMF60" s="2"/>
      <c r="PMG60" s="2"/>
      <c r="PMH60" s="2"/>
      <c r="PMI60" s="2"/>
      <c r="PMJ60" s="2"/>
      <c r="PMK60" s="2"/>
      <c r="PML60" s="2"/>
      <c r="PMM60" s="2"/>
      <c r="PMN60" s="2"/>
      <c r="PMO60" s="2"/>
      <c r="PMP60" s="2"/>
      <c r="PMQ60" s="2"/>
      <c r="PMR60" s="2"/>
      <c r="PMS60" s="2"/>
      <c r="PMT60" s="2"/>
      <c r="PMU60" s="2"/>
      <c r="PMV60" s="2"/>
      <c r="PMW60" s="2"/>
      <c r="PMX60" s="2"/>
      <c r="PMY60" s="2"/>
      <c r="PMZ60" s="2"/>
      <c r="PNA60" s="2"/>
      <c r="PNB60" s="2"/>
      <c r="PNC60" s="2"/>
      <c r="PND60" s="2"/>
      <c r="PNE60" s="2"/>
      <c r="PNF60" s="2"/>
      <c r="PNG60" s="2"/>
      <c r="PNH60" s="2"/>
      <c r="PNI60" s="2"/>
      <c r="PNJ60" s="2"/>
      <c r="PNK60" s="2"/>
      <c r="PNL60" s="2"/>
      <c r="PNM60" s="2"/>
      <c r="PNN60" s="2"/>
      <c r="PNO60" s="2"/>
      <c r="PNP60" s="2"/>
      <c r="PNQ60" s="2"/>
      <c r="PNR60" s="2"/>
      <c r="PNS60" s="2"/>
      <c r="PNT60" s="2"/>
      <c r="PNU60" s="2"/>
      <c r="PNV60" s="2"/>
      <c r="PNW60" s="2"/>
      <c r="PNX60" s="2"/>
      <c r="PNY60" s="2"/>
      <c r="PNZ60" s="2"/>
      <c r="POA60" s="2"/>
      <c r="POB60" s="2"/>
      <c r="POC60" s="2"/>
      <c r="POD60" s="2"/>
      <c r="POE60" s="2"/>
      <c r="POF60" s="2"/>
      <c r="POG60" s="2"/>
      <c r="POH60" s="2"/>
      <c r="POI60" s="2"/>
      <c r="POJ60" s="2"/>
      <c r="POK60" s="2"/>
      <c r="POL60" s="2"/>
      <c r="POM60" s="2"/>
      <c r="PON60" s="2"/>
      <c r="POO60" s="2"/>
      <c r="POP60" s="2"/>
      <c r="POQ60" s="2"/>
      <c r="POR60" s="2"/>
      <c r="POS60" s="2"/>
      <c r="POT60" s="2"/>
      <c r="POU60" s="2"/>
      <c r="POV60" s="2"/>
      <c r="POW60" s="2"/>
      <c r="POX60" s="2"/>
      <c r="POY60" s="2"/>
      <c r="POZ60" s="2"/>
      <c r="PPA60" s="2"/>
      <c r="PPB60" s="2"/>
      <c r="PPC60" s="2"/>
      <c r="PPD60" s="2"/>
      <c r="PPE60" s="2"/>
      <c r="PPF60" s="2"/>
      <c r="PPG60" s="2"/>
      <c r="PPH60" s="2"/>
      <c r="PPI60" s="2"/>
      <c r="PPJ60" s="2"/>
      <c r="PPK60" s="2"/>
      <c r="PPL60" s="2"/>
      <c r="PPM60" s="2"/>
      <c r="PPN60" s="2"/>
      <c r="PPO60" s="2"/>
      <c r="PPP60" s="2"/>
      <c r="PPQ60" s="2"/>
      <c r="PPR60" s="2"/>
      <c r="PPS60" s="2"/>
      <c r="PPT60" s="2"/>
      <c r="PPU60" s="2"/>
      <c r="PPV60" s="2"/>
      <c r="PPW60" s="2"/>
      <c r="PPX60" s="2"/>
      <c r="PPY60" s="2"/>
      <c r="PPZ60" s="2"/>
      <c r="PQA60" s="2"/>
      <c r="PQB60" s="2"/>
      <c r="PQC60" s="2"/>
      <c r="PQD60" s="2"/>
      <c r="PQE60" s="2"/>
      <c r="PQF60" s="2"/>
      <c r="PQG60" s="2"/>
      <c r="PQH60" s="2"/>
      <c r="PQI60" s="2"/>
      <c r="PQJ60" s="2"/>
      <c r="PQK60" s="2"/>
      <c r="PQL60" s="2"/>
      <c r="PQM60" s="2"/>
      <c r="PQN60" s="2"/>
      <c r="PQO60" s="2"/>
      <c r="PQP60" s="2"/>
      <c r="PQQ60" s="2"/>
      <c r="PQR60" s="2"/>
      <c r="PQS60" s="2"/>
      <c r="PQT60" s="2"/>
      <c r="PQU60" s="2"/>
      <c r="PQV60" s="2"/>
      <c r="PQW60" s="2"/>
      <c r="PQX60" s="2"/>
      <c r="PQY60" s="2"/>
      <c r="PQZ60" s="2"/>
      <c r="PRA60" s="2"/>
      <c r="PRB60" s="2"/>
      <c r="PRC60" s="2"/>
      <c r="PRD60" s="2"/>
      <c r="PRE60" s="2"/>
      <c r="PRF60" s="2"/>
      <c r="PRG60" s="2"/>
      <c r="PRH60" s="2"/>
      <c r="PRI60" s="2"/>
      <c r="PRJ60" s="2"/>
      <c r="PRK60" s="2"/>
      <c r="PRL60" s="2"/>
      <c r="PRM60" s="2"/>
      <c r="PRN60" s="2"/>
      <c r="PRO60" s="2"/>
      <c r="PRP60" s="2"/>
      <c r="PRQ60" s="2"/>
      <c r="PRR60" s="2"/>
      <c r="PRS60" s="2"/>
      <c r="PRT60" s="2"/>
      <c r="PRU60" s="2"/>
      <c r="PRV60" s="2"/>
      <c r="PRW60" s="2"/>
      <c r="PRX60" s="2"/>
      <c r="PRY60" s="2"/>
      <c r="PRZ60" s="2"/>
      <c r="PSA60" s="2"/>
      <c r="PSB60" s="2"/>
      <c r="PSC60" s="2"/>
      <c r="PSD60" s="2"/>
      <c r="PSE60" s="2"/>
      <c r="PSF60" s="2"/>
      <c r="PSG60" s="2"/>
      <c r="PSH60" s="2"/>
      <c r="PSI60" s="2"/>
      <c r="PSJ60" s="2"/>
      <c r="PSK60" s="2"/>
      <c r="PSL60" s="2"/>
      <c r="PSM60" s="2"/>
      <c r="PSN60" s="2"/>
      <c r="PSO60" s="2"/>
      <c r="PSP60" s="2"/>
      <c r="PSQ60" s="2"/>
      <c r="PSR60" s="2"/>
      <c r="PSS60" s="2"/>
      <c r="PST60" s="2"/>
      <c r="PSU60" s="2"/>
      <c r="PSV60" s="2"/>
      <c r="PSW60" s="2"/>
      <c r="PSX60" s="2"/>
      <c r="PSY60" s="2"/>
      <c r="PSZ60" s="2"/>
      <c r="PTA60" s="2"/>
      <c r="PTB60" s="2"/>
      <c r="PTC60" s="2"/>
      <c r="PTD60" s="2"/>
      <c r="PTE60" s="2"/>
      <c r="PTF60" s="2"/>
      <c r="PTG60" s="2"/>
      <c r="PTH60" s="2"/>
      <c r="PTI60" s="2"/>
      <c r="PTJ60" s="2"/>
      <c r="PTK60" s="2"/>
      <c r="PTL60" s="2"/>
      <c r="PTM60" s="2"/>
      <c r="PTN60" s="2"/>
      <c r="PTO60" s="2"/>
      <c r="PTP60" s="2"/>
      <c r="PTQ60" s="2"/>
      <c r="PTR60" s="2"/>
      <c r="PTS60" s="2"/>
      <c r="PTT60" s="2"/>
      <c r="PTU60" s="2"/>
      <c r="PTV60" s="2"/>
      <c r="PTW60" s="2"/>
      <c r="PTX60" s="2"/>
      <c r="PTY60" s="2"/>
      <c r="PTZ60" s="2"/>
      <c r="PUA60" s="2"/>
      <c r="PUB60" s="2"/>
      <c r="PUC60" s="2"/>
      <c r="PUD60" s="2"/>
      <c r="PUE60" s="2"/>
      <c r="PUF60" s="2"/>
      <c r="PUG60" s="2"/>
      <c r="PUH60" s="2"/>
      <c r="PUI60" s="2"/>
      <c r="PUJ60" s="2"/>
      <c r="PUK60" s="2"/>
      <c r="PUL60" s="2"/>
      <c r="PUM60" s="2"/>
      <c r="PUN60" s="2"/>
      <c r="PUO60" s="2"/>
      <c r="PUP60" s="2"/>
      <c r="PUQ60" s="2"/>
      <c r="PUR60" s="2"/>
      <c r="PUS60" s="2"/>
      <c r="PUT60" s="2"/>
      <c r="PUU60" s="2"/>
      <c r="PUV60" s="2"/>
      <c r="PUW60" s="2"/>
      <c r="PUX60" s="2"/>
      <c r="PUY60" s="2"/>
      <c r="PUZ60" s="2"/>
      <c r="PVA60" s="2"/>
      <c r="PVB60" s="2"/>
      <c r="PVC60" s="2"/>
      <c r="PVD60" s="2"/>
      <c r="PVE60" s="2"/>
      <c r="PVF60" s="2"/>
      <c r="PVG60" s="2"/>
      <c r="PVH60" s="2"/>
      <c r="PVI60" s="2"/>
      <c r="PVJ60" s="2"/>
      <c r="PVK60" s="2"/>
      <c r="PVL60" s="2"/>
      <c r="PVM60" s="2"/>
      <c r="PVN60" s="2"/>
      <c r="PVO60" s="2"/>
      <c r="PVP60" s="2"/>
      <c r="PVQ60" s="2"/>
      <c r="PVR60" s="2"/>
      <c r="PVS60" s="2"/>
      <c r="PVT60" s="2"/>
      <c r="PVU60" s="2"/>
      <c r="PVV60" s="2"/>
      <c r="PVW60" s="2"/>
      <c r="PVX60" s="2"/>
      <c r="PVY60" s="2"/>
      <c r="PVZ60" s="2"/>
      <c r="PWA60" s="2"/>
      <c r="PWB60" s="2"/>
      <c r="PWC60" s="2"/>
      <c r="PWD60" s="2"/>
      <c r="PWE60" s="2"/>
      <c r="PWF60" s="2"/>
      <c r="PWG60" s="2"/>
      <c r="PWH60" s="2"/>
      <c r="PWI60" s="2"/>
      <c r="PWJ60" s="2"/>
      <c r="PWK60" s="2"/>
      <c r="PWL60" s="2"/>
      <c r="PWM60" s="2"/>
      <c r="PWN60" s="2"/>
      <c r="PWO60" s="2"/>
      <c r="PWP60" s="2"/>
      <c r="PWQ60" s="2"/>
      <c r="PWR60" s="2"/>
      <c r="PWS60" s="2"/>
      <c r="PWT60" s="2"/>
      <c r="PWU60" s="2"/>
      <c r="PWV60" s="2"/>
      <c r="PWW60" s="2"/>
      <c r="PWX60" s="2"/>
      <c r="PWY60" s="2"/>
      <c r="PWZ60" s="2"/>
      <c r="PXA60" s="2"/>
      <c r="PXB60" s="2"/>
      <c r="PXC60" s="2"/>
      <c r="PXD60" s="2"/>
      <c r="PXE60" s="2"/>
      <c r="PXF60" s="2"/>
      <c r="PXG60" s="2"/>
      <c r="PXH60" s="2"/>
      <c r="PXI60" s="2"/>
      <c r="PXJ60" s="2"/>
      <c r="PXK60" s="2"/>
      <c r="PXL60" s="2"/>
      <c r="PXM60" s="2"/>
      <c r="PXN60" s="2"/>
      <c r="PXO60" s="2"/>
      <c r="PXP60" s="2"/>
      <c r="PXQ60" s="2"/>
      <c r="PXR60" s="2"/>
      <c r="PXS60" s="2"/>
      <c r="PXT60" s="2"/>
      <c r="PXU60" s="2"/>
      <c r="PXV60" s="2"/>
      <c r="PXW60" s="2"/>
      <c r="PXX60" s="2"/>
      <c r="PXY60" s="2"/>
      <c r="PXZ60" s="2"/>
      <c r="PYA60" s="2"/>
      <c r="PYB60" s="2"/>
      <c r="PYC60" s="2"/>
      <c r="PYD60" s="2"/>
      <c r="PYE60" s="2"/>
      <c r="PYF60" s="2"/>
      <c r="PYG60" s="2"/>
      <c r="PYH60" s="2"/>
      <c r="PYI60" s="2"/>
      <c r="PYJ60" s="2"/>
      <c r="PYK60" s="2"/>
      <c r="PYL60" s="2"/>
      <c r="PYM60" s="2"/>
      <c r="PYN60" s="2"/>
      <c r="PYO60" s="2"/>
      <c r="PYP60" s="2"/>
      <c r="PYQ60" s="2"/>
      <c r="PYR60" s="2"/>
      <c r="PYS60" s="2"/>
      <c r="PYT60" s="2"/>
      <c r="PYU60" s="2"/>
      <c r="PYV60" s="2"/>
      <c r="PYW60" s="2"/>
      <c r="PYX60" s="2"/>
      <c r="PYY60" s="2"/>
      <c r="PYZ60" s="2"/>
      <c r="PZA60" s="2"/>
      <c r="PZB60" s="2"/>
      <c r="PZC60" s="2"/>
      <c r="PZD60" s="2"/>
      <c r="PZE60" s="2"/>
      <c r="PZF60" s="2"/>
      <c r="PZG60" s="2"/>
      <c r="PZH60" s="2"/>
      <c r="PZI60" s="2"/>
      <c r="PZJ60" s="2"/>
      <c r="PZK60" s="2"/>
      <c r="PZL60" s="2"/>
      <c r="PZM60" s="2"/>
      <c r="PZN60" s="2"/>
      <c r="PZO60" s="2"/>
      <c r="PZP60" s="2"/>
      <c r="PZQ60" s="2"/>
      <c r="PZR60" s="2"/>
      <c r="PZS60" s="2"/>
      <c r="PZT60" s="2"/>
      <c r="PZU60" s="2"/>
      <c r="PZV60" s="2"/>
      <c r="PZW60" s="2"/>
      <c r="PZX60" s="2"/>
      <c r="PZY60" s="2"/>
      <c r="PZZ60" s="2"/>
      <c r="QAA60" s="2"/>
      <c r="QAB60" s="2"/>
      <c r="QAC60" s="2"/>
      <c r="QAD60" s="2"/>
      <c r="QAE60" s="2"/>
      <c r="QAF60" s="2"/>
      <c r="QAG60" s="2"/>
      <c r="QAH60" s="2"/>
      <c r="QAI60" s="2"/>
      <c r="QAJ60" s="2"/>
      <c r="QAK60" s="2"/>
      <c r="QAL60" s="2"/>
      <c r="QAM60" s="2"/>
      <c r="QAN60" s="2"/>
      <c r="QAO60" s="2"/>
      <c r="QAP60" s="2"/>
      <c r="QAQ60" s="2"/>
      <c r="QAR60" s="2"/>
      <c r="QAS60" s="2"/>
      <c r="QAT60" s="2"/>
      <c r="QAU60" s="2"/>
      <c r="QAV60" s="2"/>
      <c r="QAW60" s="2"/>
      <c r="QAX60" s="2"/>
      <c r="QAY60" s="2"/>
      <c r="QAZ60" s="2"/>
      <c r="QBA60" s="2"/>
      <c r="QBB60" s="2"/>
      <c r="QBC60" s="2"/>
      <c r="QBD60" s="2"/>
      <c r="QBE60" s="2"/>
      <c r="QBF60" s="2"/>
      <c r="QBG60" s="2"/>
      <c r="QBH60" s="2"/>
      <c r="QBI60" s="2"/>
      <c r="QBJ60" s="2"/>
      <c r="QBK60" s="2"/>
      <c r="QBL60" s="2"/>
      <c r="QBM60" s="2"/>
      <c r="QBN60" s="2"/>
      <c r="QBO60" s="2"/>
      <c r="QBP60" s="2"/>
      <c r="QBQ60" s="2"/>
      <c r="QBR60" s="2"/>
      <c r="QBS60" s="2"/>
      <c r="QBT60" s="2"/>
      <c r="QBU60" s="2"/>
      <c r="QBV60" s="2"/>
      <c r="QBW60" s="2"/>
      <c r="QBX60" s="2"/>
      <c r="QBY60" s="2"/>
      <c r="QBZ60" s="2"/>
      <c r="QCA60" s="2"/>
      <c r="QCB60" s="2"/>
      <c r="QCC60" s="2"/>
      <c r="QCD60" s="2"/>
      <c r="QCE60" s="2"/>
      <c r="QCF60" s="2"/>
      <c r="QCG60" s="2"/>
      <c r="QCH60" s="2"/>
      <c r="QCI60" s="2"/>
      <c r="QCJ60" s="2"/>
      <c r="QCK60" s="2"/>
      <c r="QCL60" s="2"/>
      <c r="QCM60" s="2"/>
      <c r="QCN60" s="2"/>
      <c r="QCO60" s="2"/>
      <c r="QCP60" s="2"/>
      <c r="QCQ60" s="2"/>
      <c r="QCR60" s="2"/>
      <c r="QCS60" s="2"/>
      <c r="QCT60" s="2"/>
      <c r="QCU60" s="2"/>
      <c r="QCV60" s="2"/>
      <c r="QCW60" s="2"/>
      <c r="QCX60" s="2"/>
      <c r="QCY60" s="2"/>
      <c r="QCZ60" s="2"/>
      <c r="QDA60" s="2"/>
      <c r="QDB60" s="2"/>
      <c r="QDC60" s="2"/>
      <c r="QDD60" s="2"/>
      <c r="QDE60" s="2"/>
      <c r="QDF60" s="2"/>
      <c r="QDG60" s="2"/>
      <c r="QDH60" s="2"/>
      <c r="QDI60" s="2"/>
      <c r="QDJ60" s="2"/>
      <c r="QDK60" s="2"/>
      <c r="QDL60" s="2"/>
      <c r="QDM60" s="2"/>
      <c r="QDN60" s="2"/>
      <c r="QDO60" s="2"/>
      <c r="QDP60" s="2"/>
      <c r="QDQ60" s="2"/>
      <c r="QDR60" s="2"/>
      <c r="QDS60" s="2"/>
      <c r="QDT60" s="2"/>
      <c r="QDU60" s="2"/>
      <c r="QDV60" s="2"/>
      <c r="QDW60" s="2"/>
      <c r="QDX60" s="2"/>
      <c r="QDY60" s="2"/>
      <c r="QDZ60" s="2"/>
      <c r="QEA60" s="2"/>
      <c r="QEB60" s="2"/>
      <c r="QEC60" s="2"/>
      <c r="QED60" s="2"/>
      <c r="QEE60" s="2"/>
      <c r="QEF60" s="2"/>
      <c r="QEG60" s="2"/>
      <c r="QEH60" s="2"/>
      <c r="QEI60" s="2"/>
      <c r="QEJ60" s="2"/>
      <c r="QEK60" s="2"/>
      <c r="QEL60" s="2"/>
      <c r="QEM60" s="2"/>
      <c r="QEN60" s="2"/>
      <c r="QEO60" s="2"/>
      <c r="QEP60" s="2"/>
      <c r="QEQ60" s="2"/>
      <c r="QER60" s="2"/>
      <c r="QES60" s="2"/>
      <c r="QET60" s="2"/>
      <c r="QEU60" s="2"/>
      <c r="QEV60" s="2"/>
      <c r="QEW60" s="2"/>
      <c r="QEX60" s="2"/>
      <c r="QEY60" s="2"/>
      <c r="QEZ60" s="2"/>
      <c r="QFA60" s="2"/>
      <c r="QFB60" s="2"/>
      <c r="QFC60" s="2"/>
      <c r="QFD60" s="2"/>
      <c r="QFE60" s="2"/>
      <c r="QFF60" s="2"/>
      <c r="QFG60" s="2"/>
      <c r="QFH60" s="2"/>
      <c r="QFI60" s="2"/>
      <c r="QFJ60" s="2"/>
      <c r="QFK60" s="2"/>
      <c r="QFL60" s="2"/>
      <c r="QFM60" s="2"/>
      <c r="QFN60" s="2"/>
      <c r="QFO60" s="2"/>
      <c r="QFP60" s="2"/>
      <c r="QFQ60" s="2"/>
      <c r="QFR60" s="2"/>
      <c r="QFS60" s="2"/>
      <c r="QFT60" s="2"/>
      <c r="QFU60" s="2"/>
      <c r="QFV60" s="2"/>
      <c r="QFW60" s="2"/>
      <c r="QFX60" s="2"/>
      <c r="QFY60" s="2"/>
      <c r="QFZ60" s="2"/>
      <c r="QGA60" s="2"/>
      <c r="QGB60" s="2"/>
      <c r="QGC60" s="2"/>
      <c r="QGD60" s="2"/>
      <c r="QGE60" s="2"/>
      <c r="QGF60" s="2"/>
      <c r="QGG60" s="2"/>
      <c r="QGH60" s="2"/>
      <c r="QGI60" s="2"/>
      <c r="QGJ60" s="2"/>
      <c r="QGK60" s="2"/>
      <c r="QGL60" s="2"/>
      <c r="QGM60" s="2"/>
      <c r="QGN60" s="2"/>
      <c r="QGO60" s="2"/>
      <c r="QGP60" s="2"/>
      <c r="QGQ60" s="2"/>
      <c r="QGR60" s="2"/>
      <c r="QGS60" s="2"/>
      <c r="QGT60" s="2"/>
      <c r="QGU60" s="2"/>
      <c r="QGV60" s="2"/>
      <c r="QGW60" s="2"/>
      <c r="QGX60" s="2"/>
      <c r="QGY60" s="2"/>
      <c r="QGZ60" s="2"/>
      <c r="QHA60" s="2"/>
      <c r="QHB60" s="2"/>
      <c r="QHC60" s="2"/>
      <c r="QHD60" s="2"/>
      <c r="QHE60" s="2"/>
      <c r="QHF60" s="2"/>
      <c r="QHG60" s="2"/>
      <c r="QHH60" s="2"/>
      <c r="QHI60" s="2"/>
      <c r="QHJ60" s="2"/>
      <c r="QHK60" s="2"/>
      <c r="QHL60" s="2"/>
      <c r="QHM60" s="2"/>
      <c r="QHN60" s="2"/>
      <c r="QHO60" s="2"/>
      <c r="QHP60" s="2"/>
      <c r="QHQ60" s="2"/>
      <c r="QHR60" s="2"/>
      <c r="QHS60" s="2"/>
      <c r="QHT60" s="2"/>
      <c r="QHU60" s="2"/>
      <c r="QHV60" s="2"/>
      <c r="QHW60" s="2"/>
      <c r="QHX60" s="2"/>
      <c r="QHY60" s="2"/>
      <c r="QHZ60" s="2"/>
      <c r="QIA60" s="2"/>
      <c r="QIB60" s="2"/>
      <c r="QIC60" s="2"/>
      <c r="QID60" s="2"/>
      <c r="QIE60" s="2"/>
      <c r="QIF60" s="2"/>
      <c r="QIG60" s="2"/>
      <c r="QIH60" s="2"/>
      <c r="QII60" s="2"/>
      <c r="QIJ60" s="2"/>
      <c r="QIK60" s="2"/>
      <c r="QIL60" s="2"/>
      <c r="QIM60" s="2"/>
      <c r="QIN60" s="2"/>
      <c r="QIO60" s="2"/>
      <c r="QIP60" s="2"/>
      <c r="QIQ60" s="2"/>
      <c r="QIR60" s="2"/>
      <c r="QIS60" s="2"/>
      <c r="QIT60" s="2"/>
      <c r="QIU60" s="2"/>
      <c r="QIV60" s="2"/>
      <c r="QIW60" s="2"/>
      <c r="QIX60" s="2"/>
      <c r="QIY60" s="2"/>
      <c r="QIZ60" s="2"/>
      <c r="QJA60" s="2"/>
      <c r="QJB60" s="2"/>
      <c r="QJC60" s="2"/>
      <c r="QJD60" s="2"/>
      <c r="QJE60" s="2"/>
      <c r="QJF60" s="2"/>
      <c r="QJG60" s="2"/>
      <c r="QJH60" s="2"/>
      <c r="QJI60" s="2"/>
      <c r="QJJ60" s="2"/>
      <c r="QJK60" s="2"/>
      <c r="QJL60" s="2"/>
      <c r="QJM60" s="2"/>
      <c r="QJN60" s="2"/>
      <c r="QJO60" s="2"/>
      <c r="QJP60" s="2"/>
      <c r="QJQ60" s="2"/>
      <c r="QJR60" s="2"/>
      <c r="QJS60" s="2"/>
      <c r="QJT60" s="2"/>
      <c r="QJU60" s="2"/>
      <c r="QJV60" s="2"/>
      <c r="QJW60" s="2"/>
      <c r="QJX60" s="2"/>
      <c r="QJY60" s="2"/>
      <c r="QJZ60" s="2"/>
      <c r="QKA60" s="2"/>
      <c r="QKB60" s="2"/>
      <c r="QKC60" s="2"/>
      <c r="QKD60" s="2"/>
      <c r="QKE60" s="2"/>
      <c r="QKF60" s="2"/>
      <c r="QKG60" s="2"/>
      <c r="QKH60" s="2"/>
      <c r="QKI60" s="2"/>
      <c r="QKJ60" s="2"/>
      <c r="QKK60" s="2"/>
      <c r="QKL60" s="2"/>
      <c r="QKM60" s="2"/>
      <c r="QKN60" s="2"/>
      <c r="QKO60" s="2"/>
      <c r="QKP60" s="2"/>
      <c r="QKQ60" s="2"/>
      <c r="QKR60" s="2"/>
      <c r="QKS60" s="2"/>
      <c r="QKT60" s="2"/>
      <c r="QKU60" s="2"/>
      <c r="QKV60" s="2"/>
      <c r="QKW60" s="2"/>
      <c r="QKX60" s="2"/>
      <c r="QKY60" s="2"/>
      <c r="QKZ60" s="2"/>
      <c r="QLA60" s="2"/>
      <c r="QLB60" s="2"/>
      <c r="QLC60" s="2"/>
      <c r="QLD60" s="2"/>
      <c r="QLE60" s="2"/>
      <c r="QLF60" s="2"/>
      <c r="QLG60" s="2"/>
      <c r="QLH60" s="2"/>
      <c r="QLI60" s="2"/>
      <c r="QLJ60" s="2"/>
      <c r="QLK60" s="2"/>
      <c r="QLL60" s="2"/>
      <c r="QLM60" s="2"/>
      <c r="QLN60" s="2"/>
      <c r="QLO60" s="2"/>
      <c r="QLP60" s="2"/>
      <c r="QLQ60" s="2"/>
      <c r="QLR60" s="2"/>
      <c r="QLS60" s="2"/>
      <c r="QLT60" s="2"/>
      <c r="QLU60" s="2"/>
      <c r="QLV60" s="2"/>
      <c r="QLW60" s="2"/>
      <c r="QLX60" s="2"/>
      <c r="QLY60" s="2"/>
      <c r="QLZ60" s="2"/>
      <c r="QMA60" s="2"/>
      <c r="QMB60" s="2"/>
      <c r="QMC60" s="2"/>
      <c r="QMD60" s="2"/>
      <c r="QME60" s="2"/>
      <c r="QMF60" s="2"/>
      <c r="QMG60" s="2"/>
      <c r="QMH60" s="2"/>
      <c r="QMI60" s="2"/>
      <c r="QMJ60" s="2"/>
      <c r="QMK60" s="2"/>
      <c r="QML60" s="2"/>
      <c r="QMM60" s="2"/>
      <c r="QMN60" s="2"/>
      <c r="QMO60" s="2"/>
      <c r="QMP60" s="2"/>
      <c r="QMQ60" s="2"/>
      <c r="QMR60" s="2"/>
      <c r="QMS60" s="2"/>
      <c r="QMT60" s="2"/>
      <c r="QMU60" s="2"/>
      <c r="QMV60" s="2"/>
      <c r="QMW60" s="2"/>
      <c r="QMX60" s="2"/>
      <c r="QMY60" s="2"/>
      <c r="QMZ60" s="2"/>
      <c r="QNA60" s="2"/>
      <c r="QNB60" s="2"/>
      <c r="QNC60" s="2"/>
      <c r="QND60" s="2"/>
      <c r="QNE60" s="2"/>
      <c r="QNF60" s="2"/>
      <c r="QNG60" s="2"/>
      <c r="QNH60" s="2"/>
      <c r="QNI60" s="2"/>
      <c r="QNJ60" s="2"/>
      <c r="QNK60" s="2"/>
      <c r="QNL60" s="2"/>
      <c r="QNM60" s="2"/>
      <c r="QNN60" s="2"/>
      <c r="QNO60" s="2"/>
      <c r="QNP60" s="2"/>
      <c r="QNQ60" s="2"/>
      <c r="QNR60" s="2"/>
      <c r="QNS60" s="2"/>
      <c r="QNT60" s="2"/>
      <c r="QNU60" s="2"/>
      <c r="QNV60" s="2"/>
      <c r="QNW60" s="2"/>
      <c r="QNX60" s="2"/>
      <c r="QNY60" s="2"/>
      <c r="QNZ60" s="2"/>
      <c r="QOA60" s="2"/>
      <c r="QOB60" s="2"/>
      <c r="QOC60" s="2"/>
      <c r="QOD60" s="2"/>
      <c r="QOE60" s="2"/>
      <c r="QOF60" s="2"/>
      <c r="QOG60" s="2"/>
      <c r="QOH60" s="2"/>
      <c r="QOI60" s="2"/>
      <c r="QOJ60" s="2"/>
      <c r="QOK60" s="2"/>
      <c r="QOL60" s="2"/>
      <c r="QOM60" s="2"/>
      <c r="QON60" s="2"/>
      <c r="QOO60" s="2"/>
      <c r="QOP60" s="2"/>
      <c r="QOQ60" s="2"/>
      <c r="QOR60" s="2"/>
      <c r="QOS60" s="2"/>
      <c r="QOT60" s="2"/>
      <c r="QOU60" s="2"/>
      <c r="QOV60" s="2"/>
      <c r="QOW60" s="2"/>
      <c r="QOX60" s="2"/>
      <c r="QOY60" s="2"/>
      <c r="QOZ60" s="2"/>
      <c r="QPA60" s="2"/>
      <c r="QPB60" s="2"/>
      <c r="QPC60" s="2"/>
      <c r="QPD60" s="2"/>
      <c r="QPE60" s="2"/>
      <c r="QPF60" s="2"/>
      <c r="QPG60" s="2"/>
      <c r="QPH60" s="2"/>
      <c r="QPI60" s="2"/>
      <c r="QPJ60" s="2"/>
      <c r="QPK60" s="2"/>
      <c r="QPL60" s="2"/>
      <c r="QPM60" s="2"/>
      <c r="QPN60" s="2"/>
      <c r="QPO60" s="2"/>
      <c r="QPP60" s="2"/>
      <c r="QPQ60" s="2"/>
      <c r="QPR60" s="2"/>
      <c r="QPS60" s="2"/>
      <c r="QPT60" s="2"/>
      <c r="QPU60" s="2"/>
      <c r="QPV60" s="2"/>
      <c r="QPW60" s="2"/>
      <c r="QPX60" s="2"/>
      <c r="QPY60" s="2"/>
      <c r="QPZ60" s="2"/>
      <c r="QQA60" s="2"/>
      <c r="QQB60" s="2"/>
      <c r="QQC60" s="2"/>
      <c r="QQD60" s="2"/>
      <c r="QQE60" s="2"/>
      <c r="QQF60" s="2"/>
      <c r="QQG60" s="2"/>
      <c r="QQH60" s="2"/>
      <c r="QQI60" s="2"/>
      <c r="QQJ60" s="2"/>
      <c r="QQK60" s="2"/>
      <c r="QQL60" s="2"/>
      <c r="QQM60" s="2"/>
      <c r="QQN60" s="2"/>
      <c r="QQO60" s="2"/>
      <c r="QQP60" s="2"/>
      <c r="QQQ60" s="2"/>
      <c r="QQR60" s="2"/>
      <c r="QQS60" s="2"/>
      <c r="QQT60" s="2"/>
      <c r="QQU60" s="2"/>
      <c r="QQV60" s="2"/>
      <c r="QQW60" s="2"/>
      <c r="QQX60" s="2"/>
      <c r="QQY60" s="2"/>
      <c r="QQZ60" s="2"/>
      <c r="QRA60" s="2"/>
      <c r="QRB60" s="2"/>
      <c r="QRC60" s="2"/>
      <c r="QRD60" s="2"/>
      <c r="QRE60" s="2"/>
      <c r="QRF60" s="2"/>
      <c r="QRG60" s="2"/>
      <c r="QRH60" s="2"/>
      <c r="QRI60" s="2"/>
      <c r="QRJ60" s="2"/>
      <c r="QRK60" s="2"/>
      <c r="QRL60" s="2"/>
      <c r="QRM60" s="2"/>
      <c r="QRN60" s="2"/>
      <c r="QRO60" s="2"/>
      <c r="QRP60" s="2"/>
      <c r="QRQ60" s="2"/>
      <c r="QRR60" s="2"/>
      <c r="QRS60" s="2"/>
      <c r="QRT60" s="2"/>
      <c r="QRU60" s="2"/>
      <c r="QRV60" s="2"/>
      <c r="QRW60" s="2"/>
      <c r="QRX60" s="2"/>
      <c r="QRY60" s="2"/>
      <c r="QRZ60" s="2"/>
      <c r="QSA60" s="2"/>
      <c r="QSB60" s="2"/>
      <c r="QSC60" s="2"/>
      <c r="QSD60" s="2"/>
      <c r="QSE60" s="2"/>
      <c r="QSF60" s="2"/>
      <c r="QSG60" s="2"/>
      <c r="QSH60" s="2"/>
      <c r="QSI60" s="2"/>
      <c r="QSJ60" s="2"/>
      <c r="QSK60" s="2"/>
      <c r="QSL60" s="2"/>
      <c r="QSM60" s="2"/>
      <c r="QSN60" s="2"/>
      <c r="QSO60" s="2"/>
      <c r="QSP60" s="2"/>
      <c r="QSQ60" s="2"/>
      <c r="QSR60" s="2"/>
      <c r="QSS60" s="2"/>
      <c r="QST60" s="2"/>
      <c r="QSU60" s="2"/>
      <c r="QSV60" s="2"/>
      <c r="QSW60" s="2"/>
      <c r="QSX60" s="2"/>
      <c r="QSY60" s="2"/>
      <c r="QSZ60" s="2"/>
      <c r="QTA60" s="2"/>
      <c r="QTB60" s="2"/>
      <c r="QTC60" s="2"/>
      <c r="QTD60" s="2"/>
      <c r="QTE60" s="2"/>
      <c r="QTF60" s="2"/>
      <c r="QTG60" s="2"/>
      <c r="QTH60" s="2"/>
      <c r="QTI60" s="2"/>
      <c r="QTJ60" s="2"/>
      <c r="QTK60" s="2"/>
      <c r="QTL60" s="2"/>
      <c r="QTM60" s="2"/>
      <c r="QTN60" s="2"/>
      <c r="QTO60" s="2"/>
      <c r="QTP60" s="2"/>
      <c r="QTQ60" s="2"/>
      <c r="QTR60" s="2"/>
      <c r="QTS60" s="2"/>
      <c r="QTT60" s="2"/>
      <c r="QTU60" s="2"/>
      <c r="QTV60" s="2"/>
      <c r="QTW60" s="2"/>
      <c r="QTX60" s="2"/>
      <c r="QTY60" s="2"/>
      <c r="QTZ60" s="2"/>
      <c r="QUA60" s="2"/>
      <c r="QUB60" s="2"/>
      <c r="QUC60" s="2"/>
      <c r="QUD60" s="2"/>
      <c r="QUE60" s="2"/>
      <c r="QUF60" s="2"/>
      <c r="QUG60" s="2"/>
      <c r="QUH60" s="2"/>
      <c r="QUI60" s="2"/>
      <c r="QUJ60" s="2"/>
      <c r="QUK60" s="2"/>
      <c r="QUL60" s="2"/>
      <c r="QUM60" s="2"/>
      <c r="QUN60" s="2"/>
      <c r="QUO60" s="2"/>
      <c r="QUP60" s="2"/>
      <c r="QUQ60" s="2"/>
      <c r="QUR60" s="2"/>
      <c r="QUS60" s="2"/>
      <c r="QUT60" s="2"/>
      <c r="QUU60" s="2"/>
      <c r="QUV60" s="2"/>
      <c r="QUW60" s="2"/>
      <c r="QUX60" s="2"/>
      <c r="QUY60" s="2"/>
      <c r="QUZ60" s="2"/>
      <c r="QVA60" s="2"/>
      <c r="QVB60" s="2"/>
      <c r="QVC60" s="2"/>
      <c r="QVD60" s="2"/>
      <c r="QVE60" s="2"/>
      <c r="QVF60" s="2"/>
      <c r="QVG60" s="2"/>
      <c r="QVH60" s="2"/>
      <c r="QVI60" s="2"/>
      <c r="QVJ60" s="2"/>
      <c r="QVK60" s="2"/>
      <c r="QVL60" s="2"/>
      <c r="QVM60" s="2"/>
      <c r="QVN60" s="2"/>
      <c r="QVO60" s="2"/>
      <c r="QVP60" s="2"/>
      <c r="QVQ60" s="2"/>
      <c r="QVR60" s="2"/>
      <c r="QVS60" s="2"/>
      <c r="QVT60" s="2"/>
      <c r="QVU60" s="2"/>
      <c r="QVV60" s="2"/>
      <c r="QVW60" s="2"/>
      <c r="QVX60" s="2"/>
      <c r="QVY60" s="2"/>
      <c r="QVZ60" s="2"/>
      <c r="QWA60" s="2"/>
      <c r="QWB60" s="2"/>
      <c r="QWC60" s="2"/>
      <c r="QWD60" s="2"/>
      <c r="QWE60" s="2"/>
      <c r="QWF60" s="2"/>
      <c r="QWG60" s="2"/>
      <c r="QWH60" s="2"/>
      <c r="QWI60" s="2"/>
      <c r="QWJ60" s="2"/>
      <c r="QWK60" s="2"/>
      <c r="QWL60" s="2"/>
      <c r="QWM60" s="2"/>
      <c r="QWN60" s="2"/>
      <c r="QWO60" s="2"/>
      <c r="QWP60" s="2"/>
      <c r="QWQ60" s="2"/>
      <c r="QWR60" s="2"/>
      <c r="QWS60" s="2"/>
      <c r="QWT60" s="2"/>
      <c r="QWU60" s="2"/>
      <c r="QWV60" s="2"/>
      <c r="QWW60" s="2"/>
      <c r="QWX60" s="2"/>
      <c r="QWY60" s="2"/>
      <c r="QWZ60" s="2"/>
      <c r="QXA60" s="2"/>
      <c r="QXB60" s="2"/>
      <c r="QXC60" s="2"/>
      <c r="QXD60" s="2"/>
      <c r="QXE60" s="2"/>
      <c r="QXF60" s="2"/>
      <c r="QXG60" s="2"/>
      <c r="QXH60" s="2"/>
      <c r="QXI60" s="2"/>
      <c r="QXJ60" s="2"/>
      <c r="QXK60" s="2"/>
      <c r="QXL60" s="2"/>
      <c r="QXM60" s="2"/>
      <c r="QXN60" s="2"/>
      <c r="QXO60" s="2"/>
      <c r="QXP60" s="2"/>
      <c r="QXQ60" s="2"/>
      <c r="QXR60" s="2"/>
      <c r="QXS60" s="2"/>
      <c r="QXT60" s="2"/>
      <c r="QXU60" s="2"/>
      <c r="QXV60" s="2"/>
      <c r="QXW60" s="2"/>
      <c r="QXX60" s="2"/>
      <c r="QXY60" s="2"/>
      <c r="QXZ60" s="2"/>
      <c r="QYA60" s="2"/>
      <c r="QYB60" s="2"/>
      <c r="QYC60" s="2"/>
      <c r="QYD60" s="2"/>
      <c r="QYE60" s="2"/>
      <c r="QYF60" s="2"/>
      <c r="QYG60" s="2"/>
      <c r="QYH60" s="2"/>
      <c r="QYI60" s="2"/>
      <c r="QYJ60" s="2"/>
      <c r="QYK60" s="2"/>
      <c r="QYL60" s="2"/>
      <c r="QYM60" s="2"/>
      <c r="QYN60" s="2"/>
      <c r="QYO60" s="2"/>
      <c r="QYP60" s="2"/>
      <c r="QYQ60" s="2"/>
      <c r="QYR60" s="2"/>
      <c r="QYS60" s="2"/>
      <c r="QYT60" s="2"/>
      <c r="QYU60" s="2"/>
      <c r="QYV60" s="2"/>
      <c r="QYW60" s="2"/>
      <c r="QYX60" s="2"/>
      <c r="QYY60" s="2"/>
      <c r="QYZ60" s="2"/>
      <c r="QZA60" s="2"/>
      <c r="QZB60" s="2"/>
      <c r="QZC60" s="2"/>
      <c r="QZD60" s="2"/>
      <c r="QZE60" s="2"/>
      <c r="QZF60" s="2"/>
      <c r="QZG60" s="2"/>
      <c r="QZH60" s="2"/>
      <c r="QZI60" s="2"/>
      <c r="QZJ60" s="2"/>
      <c r="QZK60" s="2"/>
      <c r="QZL60" s="2"/>
      <c r="QZM60" s="2"/>
      <c r="QZN60" s="2"/>
      <c r="QZO60" s="2"/>
      <c r="QZP60" s="2"/>
      <c r="QZQ60" s="2"/>
      <c r="QZR60" s="2"/>
      <c r="QZS60" s="2"/>
      <c r="QZT60" s="2"/>
      <c r="QZU60" s="2"/>
      <c r="QZV60" s="2"/>
      <c r="QZW60" s="2"/>
      <c r="QZX60" s="2"/>
      <c r="QZY60" s="2"/>
      <c r="QZZ60" s="2"/>
      <c r="RAA60" s="2"/>
      <c r="RAB60" s="2"/>
      <c r="RAC60" s="2"/>
      <c r="RAD60" s="2"/>
      <c r="RAE60" s="2"/>
      <c r="RAF60" s="2"/>
      <c r="RAG60" s="2"/>
      <c r="RAH60" s="2"/>
      <c r="RAI60" s="2"/>
      <c r="RAJ60" s="2"/>
      <c r="RAK60" s="2"/>
      <c r="RAL60" s="2"/>
      <c r="RAM60" s="2"/>
      <c r="RAN60" s="2"/>
      <c r="RAO60" s="2"/>
      <c r="RAP60" s="2"/>
      <c r="RAQ60" s="2"/>
      <c r="RAR60" s="2"/>
      <c r="RAS60" s="2"/>
      <c r="RAT60" s="2"/>
      <c r="RAU60" s="2"/>
      <c r="RAV60" s="2"/>
      <c r="RAW60" s="2"/>
      <c r="RAX60" s="2"/>
      <c r="RAY60" s="2"/>
      <c r="RAZ60" s="2"/>
      <c r="RBA60" s="2"/>
      <c r="RBB60" s="2"/>
      <c r="RBC60" s="2"/>
      <c r="RBD60" s="2"/>
      <c r="RBE60" s="2"/>
      <c r="RBF60" s="2"/>
      <c r="RBG60" s="2"/>
      <c r="RBH60" s="2"/>
      <c r="RBI60" s="2"/>
      <c r="RBJ60" s="2"/>
      <c r="RBK60" s="2"/>
      <c r="RBL60" s="2"/>
      <c r="RBM60" s="2"/>
      <c r="RBN60" s="2"/>
      <c r="RBO60" s="2"/>
      <c r="RBP60" s="2"/>
      <c r="RBQ60" s="2"/>
      <c r="RBR60" s="2"/>
      <c r="RBS60" s="2"/>
      <c r="RBT60" s="2"/>
      <c r="RBU60" s="2"/>
      <c r="RBV60" s="2"/>
      <c r="RBW60" s="2"/>
      <c r="RBX60" s="2"/>
      <c r="RBY60" s="2"/>
      <c r="RBZ60" s="2"/>
      <c r="RCA60" s="2"/>
      <c r="RCB60" s="2"/>
      <c r="RCC60" s="2"/>
      <c r="RCD60" s="2"/>
      <c r="RCE60" s="2"/>
      <c r="RCF60" s="2"/>
      <c r="RCG60" s="2"/>
      <c r="RCH60" s="2"/>
      <c r="RCI60" s="2"/>
      <c r="RCJ60" s="2"/>
      <c r="RCK60" s="2"/>
      <c r="RCL60" s="2"/>
      <c r="RCM60" s="2"/>
      <c r="RCN60" s="2"/>
      <c r="RCO60" s="2"/>
      <c r="RCP60" s="2"/>
      <c r="RCQ60" s="2"/>
      <c r="RCR60" s="2"/>
      <c r="RCS60" s="2"/>
      <c r="RCT60" s="2"/>
      <c r="RCU60" s="2"/>
      <c r="RCV60" s="2"/>
      <c r="RCW60" s="2"/>
      <c r="RCX60" s="2"/>
      <c r="RCY60" s="2"/>
      <c r="RCZ60" s="2"/>
      <c r="RDA60" s="2"/>
      <c r="RDB60" s="2"/>
      <c r="RDC60" s="2"/>
      <c r="RDD60" s="2"/>
      <c r="RDE60" s="2"/>
      <c r="RDF60" s="2"/>
      <c r="RDG60" s="2"/>
      <c r="RDH60" s="2"/>
      <c r="RDI60" s="2"/>
      <c r="RDJ60" s="2"/>
      <c r="RDK60" s="2"/>
      <c r="RDL60" s="2"/>
      <c r="RDM60" s="2"/>
      <c r="RDN60" s="2"/>
      <c r="RDO60" s="2"/>
      <c r="RDP60" s="2"/>
      <c r="RDQ60" s="2"/>
      <c r="RDR60" s="2"/>
      <c r="RDS60" s="2"/>
      <c r="RDT60" s="2"/>
      <c r="RDU60" s="2"/>
      <c r="RDV60" s="2"/>
      <c r="RDW60" s="2"/>
      <c r="RDX60" s="2"/>
      <c r="RDY60" s="2"/>
      <c r="RDZ60" s="2"/>
      <c r="REA60" s="2"/>
      <c r="REB60" s="2"/>
      <c r="REC60" s="2"/>
      <c r="RED60" s="2"/>
      <c r="REE60" s="2"/>
      <c r="REF60" s="2"/>
      <c r="REG60" s="2"/>
      <c r="REH60" s="2"/>
      <c r="REI60" s="2"/>
      <c r="REJ60" s="2"/>
      <c r="REK60" s="2"/>
      <c r="REL60" s="2"/>
      <c r="REM60" s="2"/>
      <c r="REN60" s="2"/>
      <c r="REO60" s="2"/>
      <c r="REP60" s="2"/>
      <c r="REQ60" s="2"/>
      <c r="RER60" s="2"/>
      <c r="RES60" s="2"/>
      <c r="RET60" s="2"/>
      <c r="REU60" s="2"/>
      <c r="REV60" s="2"/>
      <c r="REW60" s="2"/>
      <c r="REX60" s="2"/>
      <c r="REY60" s="2"/>
      <c r="REZ60" s="2"/>
      <c r="RFA60" s="2"/>
      <c r="RFB60" s="2"/>
      <c r="RFC60" s="2"/>
      <c r="RFD60" s="2"/>
      <c r="RFE60" s="2"/>
      <c r="RFF60" s="2"/>
      <c r="RFG60" s="2"/>
      <c r="RFH60" s="2"/>
      <c r="RFI60" s="2"/>
      <c r="RFJ60" s="2"/>
      <c r="RFK60" s="2"/>
      <c r="RFL60" s="2"/>
      <c r="RFM60" s="2"/>
      <c r="RFN60" s="2"/>
      <c r="RFO60" s="2"/>
      <c r="RFP60" s="2"/>
      <c r="RFQ60" s="2"/>
      <c r="RFR60" s="2"/>
      <c r="RFS60" s="2"/>
      <c r="RFT60" s="2"/>
      <c r="RFU60" s="2"/>
      <c r="RFV60" s="2"/>
      <c r="RFW60" s="2"/>
      <c r="RFX60" s="2"/>
      <c r="RFY60" s="2"/>
      <c r="RFZ60" s="2"/>
      <c r="RGA60" s="2"/>
      <c r="RGB60" s="2"/>
      <c r="RGC60" s="2"/>
      <c r="RGD60" s="2"/>
      <c r="RGE60" s="2"/>
      <c r="RGF60" s="2"/>
      <c r="RGG60" s="2"/>
      <c r="RGH60" s="2"/>
      <c r="RGI60" s="2"/>
      <c r="RGJ60" s="2"/>
      <c r="RGK60" s="2"/>
      <c r="RGL60" s="2"/>
      <c r="RGM60" s="2"/>
      <c r="RGN60" s="2"/>
      <c r="RGO60" s="2"/>
      <c r="RGP60" s="2"/>
      <c r="RGQ60" s="2"/>
      <c r="RGR60" s="2"/>
      <c r="RGS60" s="2"/>
      <c r="RGT60" s="2"/>
      <c r="RGU60" s="2"/>
      <c r="RGV60" s="2"/>
      <c r="RGW60" s="2"/>
      <c r="RGX60" s="2"/>
      <c r="RGY60" s="2"/>
      <c r="RGZ60" s="2"/>
      <c r="RHA60" s="2"/>
      <c r="RHB60" s="2"/>
      <c r="RHC60" s="2"/>
      <c r="RHD60" s="2"/>
      <c r="RHE60" s="2"/>
      <c r="RHF60" s="2"/>
      <c r="RHG60" s="2"/>
      <c r="RHH60" s="2"/>
      <c r="RHI60" s="2"/>
      <c r="RHJ60" s="2"/>
      <c r="RHK60" s="2"/>
      <c r="RHL60" s="2"/>
      <c r="RHM60" s="2"/>
      <c r="RHN60" s="2"/>
      <c r="RHO60" s="2"/>
      <c r="RHP60" s="2"/>
      <c r="RHQ60" s="2"/>
      <c r="RHR60" s="2"/>
      <c r="RHS60" s="2"/>
      <c r="RHT60" s="2"/>
      <c r="RHU60" s="2"/>
      <c r="RHV60" s="2"/>
      <c r="RHW60" s="2"/>
      <c r="RHX60" s="2"/>
      <c r="RHY60" s="2"/>
      <c r="RHZ60" s="2"/>
      <c r="RIA60" s="2"/>
      <c r="RIB60" s="2"/>
      <c r="RIC60" s="2"/>
      <c r="RID60" s="2"/>
      <c r="RIE60" s="2"/>
      <c r="RIF60" s="2"/>
      <c r="RIG60" s="2"/>
      <c r="RIH60" s="2"/>
      <c r="RII60" s="2"/>
      <c r="RIJ60" s="2"/>
      <c r="RIK60" s="2"/>
      <c r="RIL60" s="2"/>
      <c r="RIM60" s="2"/>
      <c r="RIN60" s="2"/>
      <c r="RIO60" s="2"/>
      <c r="RIP60" s="2"/>
      <c r="RIQ60" s="2"/>
      <c r="RIR60" s="2"/>
      <c r="RIS60" s="2"/>
      <c r="RIT60" s="2"/>
      <c r="RIU60" s="2"/>
      <c r="RIV60" s="2"/>
      <c r="RIW60" s="2"/>
      <c r="RIX60" s="2"/>
      <c r="RIY60" s="2"/>
      <c r="RIZ60" s="2"/>
      <c r="RJA60" s="2"/>
      <c r="RJB60" s="2"/>
      <c r="RJC60" s="2"/>
      <c r="RJD60" s="2"/>
      <c r="RJE60" s="2"/>
      <c r="RJF60" s="2"/>
      <c r="RJG60" s="2"/>
      <c r="RJH60" s="2"/>
      <c r="RJI60" s="2"/>
      <c r="RJJ60" s="2"/>
      <c r="RJK60" s="2"/>
      <c r="RJL60" s="2"/>
      <c r="RJM60" s="2"/>
      <c r="RJN60" s="2"/>
      <c r="RJO60" s="2"/>
      <c r="RJP60" s="2"/>
      <c r="RJQ60" s="2"/>
      <c r="RJR60" s="2"/>
      <c r="RJS60" s="2"/>
      <c r="RJT60" s="2"/>
      <c r="RJU60" s="2"/>
      <c r="RJV60" s="2"/>
      <c r="RJW60" s="2"/>
      <c r="RJX60" s="2"/>
      <c r="RJY60" s="2"/>
      <c r="RJZ60" s="2"/>
      <c r="RKA60" s="2"/>
      <c r="RKB60" s="2"/>
      <c r="RKC60" s="2"/>
      <c r="RKD60" s="2"/>
      <c r="RKE60" s="2"/>
      <c r="RKF60" s="2"/>
      <c r="RKG60" s="2"/>
      <c r="RKH60" s="2"/>
      <c r="RKI60" s="2"/>
      <c r="RKJ60" s="2"/>
      <c r="RKK60" s="2"/>
      <c r="RKL60" s="2"/>
      <c r="RKM60" s="2"/>
      <c r="RKN60" s="2"/>
      <c r="RKO60" s="2"/>
      <c r="RKP60" s="2"/>
      <c r="RKQ60" s="2"/>
      <c r="RKR60" s="2"/>
      <c r="RKS60" s="2"/>
      <c r="RKT60" s="2"/>
      <c r="RKU60" s="2"/>
      <c r="RKV60" s="2"/>
      <c r="RKW60" s="2"/>
      <c r="RKX60" s="2"/>
      <c r="RKY60" s="2"/>
      <c r="RKZ60" s="2"/>
      <c r="RLA60" s="2"/>
      <c r="RLB60" s="2"/>
      <c r="RLC60" s="2"/>
      <c r="RLD60" s="2"/>
      <c r="RLE60" s="2"/>
      <c r="RLF60" s="2"/>
      <c r="RLG60" s="2"/>
      <c r="RLH60" s="2"/>
      <c r="RLI60" s="2"/>
      <c r="RLJ60" s="2"/>
      <c r="RLK60" s="2"/>
      <c r="RLL60" s="2"/>
      <c r="RLM60" s="2"/>
      <c r="RLN60" s="2"/>
      <c r="RLO60" s="2"/>
      <c r="RLP60" s="2"/>
      <c r="RLQ60" s="2"/>
      <c r="RLR60" s="2"/>
      <c r="RLS60" s="2"/>
      <c r="RLT60" s="2"/>
      <c r="RLU60" s="2"/>
      <c r="RLV60" s="2"/>
      <c r="RLW60" s="2"/>
      <c r="RLX60" s="2"/>
      <c r="RLY60" s="2"/>
      <c r="RLZ60" s="2"/>
      <c r="RMA60" s="2"/>
      <c r="RMB60" s="2"/>
      <c r="RMC60" s="2"/>
      <c r="RMD60" s="2"/>
      <c r="RME60" s="2"/>
      <c r="RMF60" s="2"/>
      <c r="RMG60" s="2"/>
      <c r="RMH60" s="2"/>
      <c r="RMI60" s="2"/>
      <c r="RMJ60" s="2"/>
      <c r="RMK60" s="2"/>
      <c r="RML60" s="2"/>
      <c r="RMM60" s="2"/>
      <c r="RMN60" s="2"/>
      <c r="RMO60" s="2"/>
      <c r="RMP60" s="2"/>
      <c r="RMQ60" s="2"/>
      <c r="RMR60" s="2"/>
      <c r="RMS60" s="2"/>
      <c r="RMT60" s="2"/>
      <c r="RMU60" s="2"/>
      <c r="RMV60" s="2"/>
      <c r="RMW60" s="2"/>
      <c r="RMX60" s="2"/>
      <c r="RMY60" s="2"/>
      <c r="RMZ60" s="2"/>
      <c r="RNA60" s="2"/>
      <c r="RNB60" s="2"/>
      <c r="RNC60" s="2"/>
      <c r="RND60" s="2"/>
      <c r="RNE60" s="2"/>
      <c r="RNF60" s="2"/>
      <c r="RNG60" s="2"/>
      <c r="RNH60" s="2"/>
      <c r="RNI60" s="2"/>
      <c r="RNJ60" s="2"/>
      <c r="RNK60" s="2"/>
      <c r="RNL60" s="2"/>
      <c r="RNM60" s="2"/>
      <c r="RNN60" s="2"/>
      <c r="RNO60" s="2"/>
      <c r="RNP60" s="2"/>
      <c r="RNQ60" s="2"/>
      <c r="RNR60" s="2"/>
      <c r="RNS60" s="2"/>
      <c r="RNT60" s="2"/>
      <c r="RNU60" s="2"/>
      <c r="RNV60" s="2"/>
      <c r="RNW60" s="2"/>
      <c r="RNX60" s="2"/>
      <c r="RNY60" s="2"/>
      <c r="RNZ60" s="2"/>
      <c r="ROA60" s="2"/>
      <c r="ROB60" s="2"/>
      <c r="ROC60" s="2"/>
      <c r="ROD60" s="2"/>
      <c r="ROE60" s="2"/>
      <c r="ROF60" s="2"/>
      <c r="ROG60" s="2"/>
      <c r="ROH60" s="2"/>
      <c r="ROI60" s="2"/>
      <c r="ROJ60" s="2"/>
      <c r="ROK60" s="2"/>
      <c r="ROL60" s="2"/>
      <c r="ROM60" s="2"/>
      <c r="RON60" s="2"/>
      <c r="ROO60" s="2"/>
      <c r="ROP60" s="2"/>
      <c r="ROQ60" s="2"/>
      <c r="ROR60" s="2"/>
      <c r="ROS60" s="2"/>
      <c r="ROT60" s="2"/>
      <c r="ROU60" s="2"/>
      <c r="ROV60" s="2"/>
      <c r="ROW60" s="2"/>
      <c r="ROX60" s="2"/>
      <c r="ROY60" s="2"/>
      <c r="ROZ60" s="2"/>
      <c r="RPA60" s="2"/>
      <c r="RPB60" s="2"/>
      <c r="RPC60" s="2"/>
      <c r="RPD60" s="2"/>
      <c r="RPE60" s="2"/>
      <c r="RPF60" s="2"/>
      <c r="RPG60" s="2"/>
      <c r="RPH60" s="2"/>
      <c r="RPI60" s="2"/>
      <c r="RPJ60" s="2"/>
      <c r="RPK60" s="2"/>
      <c r="RPL60" s="2"/>
      <c r="RPM60" s="2"/>
      <c r="RPN60" s="2"/>
      <c r="RPO60" s="2"/>
      <c r="RPP60" s="2"/>
      <c r="RPQ60" s="2"/>
      <c r="RPR60" s="2"/>
      <c r="RPS60" s="2"/>
      <c r="RPT60" s="2"/>
      <c r="RPU60" s="2"/>
      <c r="RPV60" s="2"/>
      <c r="RPW60" s="2"/>
      <c r="RPX60" s="2"/>
      <c r="RPY60" s="2"/>
      <c r="RPZ60" s="2"/>
      <c r="RQA60" s="2"/>
      <c r="RQB60" s="2"/>
      <c r="RQC60" s="2"/>
      <c r="RQD60" s="2"/>
      <c r="RQE60" s="2"/>
      <c r="RQF60" s="2"/>
      <c r="RQG60" s="2"/>
      <c r="RQH60" s="2"/>
      <c r="RQI60" s="2"/>
      <c r="RQJ60" s="2"/>
      <c r="RQK60" s="2"/>
      <c r="RQL60" s="2"/>
      <c r="RQM60" s="2"/>
      <c r="RQN60" s="2"/>
      <c r="RQO60" s="2"/>
      <c r="RQP60" s="2"/>
      <c r="RQQ60" s="2"/>
      <c r="RQR60" s="2"/>
      <c r="RQS60" s="2"/>
      <c r="RQT60" s="2"/>
      <c r="RQU60" s="2"/>
      <c r="RQV60" s="2"/>
      <c r="RQW60" s="2"/>
      <c r="RQX60" s="2"/>
      <c r="RQY60" s="2"/>
      <c r="RQZ60" s="2"/>
      <c r="RRA60" s="2"/>
      <c r="RRB60" s="2"/>
      <c r="RRC60" s="2"/>
      <c r="RRD60" s="2"/>
      <c r="RRE60" s="2"/>
      <c r="RRF60" s="2"/>
      <c r="RRG60" s="2"/>
      <c r="RRH60" s="2"/>
      <c r="RRI60" s="2"/>
      <c r="RRJ60" s="2"/>
      <c r="RRK60" s="2"/>
      <c r="RRL60" s="2"/>
      <c r="RRM60" s="2"/>
      <c r="RRN60" s="2"/>
      <c r="RRO60" s="2"/>
      <c r="RRP60" s="2"/>
      <c r="RRQ60" s="2"/>
      <c r="RRR60" s="2"/>
      <c r="RRS60" s="2"/>
      <c r="RRT60" s="2"/>
      <c r="RRU60" s="2"/>
      <c r="RRV60" s="2"/>
      <c r="RRW60" s="2"/>
      <c r="RRX60" s="2"/>
      <c r="RRY60" s="2"/>
      <c r="RRZ60" s="2"/>
      <c r="RSA60" s="2"/>
      <c r="RSB60" s="2"/>
      <c r="RSC60" s="2"/>
      <c r="RSD60" s="2"/>
      <c r="RSE60" s="2"/>
      <c r="RSF60" s="2"/>
      <c r="RSG60" s="2"/>
      <c r="RSH60" s="2"/>
      <c r="RSI60" s="2"/>
      <c r="RSJ60" s="2"/>
      <c r="RSK60" s="2"/>
      <c r="RSL60" s="2"/>
      <c r="RSM60" s="2"/>
      <c r="RSN60" s="2"/>
      <c r="RSO60" s="2"/>
      <c r="RSP60" s="2"/>
      <c r="RSQ60" s="2"/>
      <c r="RSR60" s="2"/>
      <c r="RSS60" s="2"/>
      <c r="RST60" s="2"/>
      <c r="RSU60" s="2"/>
      <c r="RSV60" s="2"/>
      <c r="RSW60" s="2"/>
      <c r="RSX60" s="2"/>
      <c r="RSY60" s="2"/>
      <c r="RSZ60" s="2"/>
      <c r="RTA60" s="2"/>
      <c r="RTB60" s="2"/>
      <c r="RTC60" s="2"/>
      <c r="RTD60" s="2"/>
      <c r="RTE60" s="2"/>
      <c r="RTF60" s="2"/>
      <c r="RTG60" s="2"/>
      <c r="RTH60" s="2"/>
      <c r="RTI60" s="2"/>
      <c r="RTJ60" s="2"/>
      <c r="RTK60" s="2"/>
      <c r="RTL60" s="2"/>
      <c r="RTM60" s="2"/>
      <c r="RTN60" s="2"/>
      <c r="RTO60" s="2"/>
      <c r="RTP60" s="2"/>
      <c r="RTQ60" s="2"/>
      <c r="RTR60" s="2"/>
      <c r="RTS60" s="2"/>
      <c r="RTT60" s="2"/>
      <c r="RTU60" s="2"/>
      <c r="RTV60" s="2"/>
      <c r="RTW60" s="2"/>
      <c r="RTX60" s="2"/>
      <c r="RTY60" s="2"/>
      <c r="RTZ60" s="2"/>
      <c r="RUA60" s="2"/>
      <c r="RUB60" s="2"/>
      <c r="RUC60" s="2"/>
      <c r="RUD60" s="2"/>
      <c r="RUE60" s="2"/>
      <c r="RUF60" s="2"/>
      <c r="RUG60" s="2"/>
      <c r="RUH60" s="2"/>
      <c r="RUI60" s="2"/>
      <c r="RUJ60" s="2"/>
      <c r="RUK60" s="2"/>
      <c r="RUL60" s="2"/>
      <c r="RUM60" s="2"/>
      <c r="RUN60" s="2"/>
      <c r="RUO60" s="2"/>
      <c r="RUP60" s="2"/>
      <c r="RUQ60" s="2"/>
      <c r="RUR60" s="2"/>
      <c r="RUS60" s="2"/>
      <c r="RUT60" s="2"/>
      <c r="RUU60" s="2"/>
      <c r="RUV60" s="2"/>
      <c r="RUW60" s="2"/>
      <c r="RUX60" s="2"/>
      <c r="RUY60" s="2"/>
      <c r="RUZ60" s="2"/>
      <c r="RVA60" s="2"/>
      <c r="RVB60" s="2"/>
      <c r="RVC60" s="2"/>
      <c r="RVD60" s="2"/>
      <c r="RVE60" s="2"/>
      <c r="RVF60" s="2"/>
      <c r="RVG60" s="2"/>
      <c r="RVH60" s="2"/>
      <c r="RVI60" s="2"/>
      <c r="RVJ60" s="2"/>
      <c r="RVK60" s="2"/>
      <c r="RVL60" s="2"/>
      <c r="RVM60" s="2"/>
      <c r="RVN60" s="2"/>
      <c r="RVO60" s="2"/>
      <c r="RVP60" s="2"/>
      <c r="RVQ60" s="2"/>
      <c r="RVR60" s="2"/>
      <c r="RVS60" s="2"/>
      <c r="RVT60" s="2"/>
      <c r="RVU60" s="2"/>
      <c r="RVV60" s="2"/>
      <c r="RVW60" s="2"/>
      <c r="RVX60" s="2"/>
      <c r="RVY60" s="2"/>
      <c r="RVZ60" s="2"/>
      <c r="RWA60" s="2"/>
      <c r="RWB60" s="2"/>
      <c r="RWC60" s="2"/>
      <c r="RWD60" s="2"/>
      <c r="RWE60" s="2"/>
      <c r="RWF60" s="2"/>
      <c r="RWG60" s="2"/>
      <c r="RWH60" s="2"/>
      <c r="RWI60" s="2"/>
      <c r="RWJ60" s="2"/>
      <c r="RWK60" s="2"/>
      <c r="RWL60" s="2"/>
      <c r="RWM60" s="2"/>
      <c r="RWN60" s="2"/>
      <c r="RWO60" s="2"/>
      <c r="RWP60" s="2"/>
      <c r="RWQ60" s="2"/>
      <c r="RWR60" s="2"/>
      <c r="RWS60" s="2"/>
      <c r="RWT60" s="2"/>
      <c r="RWU60" s="2"/>
      <c r="RWV60" s="2"/>
      <c r="RWW60" s="2"/>
      <c r="RWX60" s="2"/>
      <c r="RWY60" s="2"/>
      <c r="RWZ60" s="2"/>
      <c r="RXA60" s="2"/>
      <c r="RXB60" s="2"/>
      <c r="RXC60" s="2"/>
      <c r="RXD60" s="2"/>
      <c r="RXE60" s="2"/>
      <c r="RXF60" s="2"/>
      <c r="RXG60" s="2"/>
      <c r="RXH60" s="2"/>
      <c r="RXI60" s="2"/>
      <c r="RXJ60" s="2"/>
      <c r="RXK60" s="2"/>
      <c r="RXL60" s="2"/>
      <c r="RXM60" s="2"/>
      <c r="RXN60" s="2"/>
      <c r="RXO60" s="2"/>
      <c r="RXP60" s="2"/>
      <c r="RXQ60" s="2"/>
      <c r="RXR60" s="2"/>
      <c r="RXS60" s="2"/>
      <c r="RXT60" s="2"/>
      <c r="RXU60" s="2"/>
      <c r="RXV60" s="2"/>
      <c r="RXW60" s="2"/>
      <c r="RXX60" s="2"/>
      <c r="RXY60" s="2"/>
      <c r="RXZ60" s="2"/>
      <c r="RYA60" s="2"/>
      <c r="RYB60" s="2"/>
      <c r="RYC60" s="2"/>
      <c r="RYD60" s="2"/>
      <c r="RYE60" s="2"/>
      <c r="RYF60" s="2"/>
      <c r="RYG60" s="2"/>
      <c r="RYH60" s="2"/>
      <c r="RYI60" s="2"/>
      <c r="RYJ60" s="2"/>
      <c r="RYK60" s="2"/>
      <c r="RYL60" s="2"/>
      <c r="RYM60" s="2"/>
      <c r="RYN60" s="2"/>
      <c r="RYO60" s="2"/>
      <c r="RYP60" s="2"/>
      <c r="RYQ60" s="2"/>
      <c r="RYR60" s="2"/>
      <c r="RYS60" s="2"/>
      <c r="RYT60" s="2"/>
      <c r="RYU60" s="2"/>
      <c r="RYV60" s="2"/>
      <c r="RYW60" s="2"/>
      <c r="RYX60" s="2"/>
      <c r="RYY60" s="2"/>
      <c r="RYZ60" s="2"/>
      <c r="RZA60" s="2"/>
      <c r="RZB60" s="2"/>
      <c r="RZC60" s="2"/>
      <c r="RZD60" s="2"/>
      <c r="RZE60" s="2"/>
      <c r="RZF60" s="2"/>
      <c r="RZG60" s="2"/>
      <c r="RZH60" s="2"/>
      <c r="RZI60" s="2"/>
      <c r="RZJ60" s="2"/>
      <c r="RZK60" s="2"/>
      <c r="RZL60" s="2"/>
      <c r="RZM60" s="2"/>
      <c r="RZN60" s="2"/>
      <c r="RZO60" s="2"/>
      <c r="RZP60" s="2"/>
      <c r="RZQ60" s="2"/>
      <c r="RZR60" s="2"/>
      <c r="RZS60" s="2"/>
      <c r="RZT60" s="2"/>
      <c r="RZU60" s="2"/>
      <c r="RZV60" s="2"/>
      <c r="RZW60" s="2"/>
      <c r="RZX60" s="2"/>
      <c r="RZY60" s="2"/>
      <c r="RZZ60" s="2"/>
      <c r="SAA60" s="2"/>
      <c r="SAB60" s="2"/>
      <c r="SAC60" s="2"/>
      <c r="SAD60" s="2"/>
      <c r="SAE60" s="2"/>
      <c r="SAF60" s="2"/>
      <c r="SAG60" s="2"/>
      <c r="SAH60" s="2"/>
      <c r="SAI60" s="2"/>
      <c r="SAJ60" s="2"/>
      <c r="SAK60" s="2"/>
      <c r="SAL60" s="2"/>
      <c r="SAM60" s="2"/>
      <c r="SAN60" s="2"/>
      <c r="SAO60" s="2"/>
      <c r="SAP60" s="2"/>
      <c r="SAQ60" s="2"/>
      <c r="SAR60" s="2"/>
      <c r="SAS60" s="2"/>
      <c r="SAT60" s="2"/>
      <c r="SAU60" s="2"/>
      <c r="SAV60" s="2"/>
      <c r="SAW60" s="2"/>
      <c r="SAX60" s="2"/>
      <c r="SAY60" s="2"/>
      <c r="SAZ60" s="2"/>
      <c r="SBA60" s="2"/>
      <c r="SBB60" s="2"/>
      <c r="SBC60" s="2"/>
      <c r="SBD60" s="2"/>
      <c r="SBE60" s="2"/>
      <c r="SBF60" s="2"/>
      <c r="SBG60" s="2"/>
      <c r="SBH60" s="2"/>
      <c r="SBI60" s="2"/>
      <c r="SBJ60" s="2"/>
      <c r="SBK60" s="2"/>
      <c r="SBL60" s="2"/>
      <c r="SBM60" s="2"/>
      <c r="SBN60" s="2"/>
      <c r="SBO60" s="2"/>
      <c r="SBP60" s="2"/>
      <c r="SBQ60" s="2"/>
      <c r="SBR60" s="2"/>
      <c r="SBS60" s="2"/>
      <c r="SBT60" s="2"/>
      <c r="SBU60" s="2"/>
      <c r="SBV60" s="2"/>
      <c r="SBW60" s="2"/>
      <c r="SBX60" s="2"/>
      <c r="SBY60" s="2"/>
      <c r="SBZ60" s="2"/>
      <c r="SCA60" s="2"/>
      <c r="SCB60" s="2"/>
      <c r="SCC60" s="2"/>
      <c r="SCD60" s="2"/>
      <c r="SCE60" s="2"/>
      <c r="SCF60" s="2"/>
      <c r="SCG60" s="2"/>
      <c r="SCH60" s="2"/>
      <c r="SCI60" s="2"/>
      <c r="SCJ60" s="2"/>
      <c r="SCK60" s="2"/>
      <c r="SCL60" s="2"/>
      <c r="SCM60" s="2"/>
      <c r="SCN60" s="2"/>
      <c r="SCO60" s="2"/>
      <c r="SCP60" s="2"/>
      <c r="SCQ60" s="2"/>
      <c r="SCR60" s="2"/>
      <c r="SCS60" s="2"/>
      <c r="SCT60" s="2"/>
      <c r="SCU60" s="2"/>
      <c r="SCV60" s="2"/>
      <c r="SCW60" s="2"/>
      <c r="SCX60" s="2"/>
      <c r="SCY60" s="2"/>
      <c r="SCZ60" s="2"/>
      <c r="SDA60" s="2"/>
      <c r="SDB60" s="2"/>
      <c r="SDC60" s="2"/>
      <c r="SDD60" s="2"/>
      <c r="SDE60" s="2"/>
      <c r="SDF60" s="2"/>
      <c r="SDG60" s="2"/>
      <c r="SDH60" s="2"/>
      <c r="SDI60" s="2"/>
      <c r="SDJ60" s="2"/>
      <c r="SDK60" s="2"/>
      <c r="SDL60" s="2"/>
      <c r="SDM60" s="2"/>
      <c r="SDN60" s="2"/>
      <c r="SDO60" s="2"/>
      <c r="SDP60" s="2"/>
      <c r="SDQ60" s="2"/>
      <c r="SDR60" s="2"/>
      <c r="SDS60" s="2"/>
      <c r="SDT60" s="2"/>
      <c r="SDU60" s="2"/>
      <c r="SDV60" s="2"/>
      <c r="SDW60" s="2"/>
      <c r="SDX60" s="2"/>
      <c r="SDY60" s="2"/>
      <c r="SDZ60" s="2"/>
      <c r="SEA60" s="2"/>
      <c r="SEB60" s="2"/>
      <c r="SEC60" s="2"/>
      <c r="SED60" s="2"/>
      <c r="SEE60" s="2"/>
      <c r="SEF60" s="2"/>
      <c r="SEG60" s="2"/>
      <c r="SEH60" s="2"/>
      <c r="SEI60" s="2"/>
      <c r="SEJ60" s="2"/>
      <c r="SEK60" s="2"/>
      <c r="SEL60" s="2"/>
      <c r="SEM60" s="2"/>
      <c r="SEN60" s="2"/>
      <c r="SEO60" s="2"/>
      <c r="SEP60" s="2"/>
      <c r="SEQ60" s="2"/>
      <c r="SER60" s="2"/>
      <c r="SES60" s="2"/>
      <c r="SET60" s="2"/>
      <c r="SEU60" s="2"/>
      <c r="SEV60" s="2"/>
      <c r="SEW60" s="2"/>
      <c r="SEX60" s="2"/>
      <c r="SEY60" s="2"/>
      <c r="SEZ60" s="2"/>
      <c r="SFA60" s="2"/>
      <c r="SFB60" s="2"/>
      <c r="SFC60" s="2"/>
      <c r="SFD60" s="2"/>
      <c r="SFE60" s="2"/>
      <c r="SFF60" s="2"/>
      <c r="SFG60" s="2"/>
      <c r="SFH60" s="2"/>
      <c r="SFI60" s="2"/>
      <c r="SFJ60" s="2"/>
      <c r="SFK60" s="2"/>
      <c r="SFL60" s="2"/>
      <c r="SFM60" s="2"/>
      <c r="SFN60" s="2"/>
      <c r="SFO60" s="2"/>
      <c r="SFP60" s="2"/>
      <c r="SFQ60" s="2"/>
      <c r="SFR60" s="2"/>
      <c r="SFS60" s="2"/>
      <c r="SFT60" s="2"/>
      <c r="SFU60" s="2"/>
      <c r="SFV60" s="2"/>
      <c r="SFW60" s="2"/>
      <c r="SFX60" s="2"/>
      <c r="SFY60" s="2"/>
      <c r="SFZ60" s="2"/>
      <c r="SGA60" s="2"/>
      <c r="SGB60" s="2"/>
      <c r="SGC60" s="2"/>
      <c r="SGD60" s="2"/>
      <c r="SGE60" s="2"/>
      <c r="SGF60" s="2"/>
      <c r="SGG60" s="2"/>
      <c r="SGH60" s="2"/>
      <c r="SGI60" s="2"/>
      <c r="SGJ60" s="2"/>
      <c r="SGK60" s="2"/>
      <c r="SGL60" s="2"/>
      <c r="SGM60" s="2"/>
      <c r="SGN60" s="2"/>
      <c r="SGO60" s="2"/>
      <c r="SGP60" s="2"/>
      <c r="SGQ60" s="2"/>
      <c r="SGR60" s="2"/>
      <c r="SGS60" s="2"/>
      <c r="SGT60" s="2"/>
      <c r="SGU60" s="2"/>
      <c r="SGV60" s="2"/>
      <c r="SGW60" s="2"/>
      <c r="SGX60" s="2"/>
      <c r="SGY60" s="2"/>
      <c r="SGZ60" s="2"/>
      <c r="SHA60" s="2"/>
      <c r="SHB60" s="2"/>
      <c r="SHC60" s="2"/>
      <c r="SHD60" s="2"/>
      <c r="SHE60" s="2"/>
      <c r="SHF60" s="2"/>
      <c r="SHG60" s="2"/>
      <c r="SHH60" s="2"/>
      <c r="SHI60" s="2"/>
      <c r="SHJ60" s="2"/>
      <c r="SHK60" s="2"/>
      <c r="SHL60" s="2"/>
      <c r="SHM60" s="2"/>
      <c r="SHN60" s="2"/>
      <c r="SHO60" s="2"/>
      <c r="SHP60" s="2"/>
      <c r="SHQ60" s="2"/>
      <c r="SHR60" s="2"/>
      <c r="SHS60" s="2"/>
      <c r="SHT60" s="2"/>
      <c r="SHU60" s="2"/>
      <c r="SHV60" s="2"/>
      <c r="SHW60" s="2"/>
      <c r="SHX60" s="2"/>
      <c r="SHY60" s="2"/>
      <c r="SHZ60" s="2"/>
      <c r="SIA60" s="2"/>
      <c r="SIB60" s="2"/>
      <c r="SIC60" s="2"/>
      <c r="SID60" s="2"/>
      <c r="SIE60" s="2"/>
      <c r="SIF60" s="2"/>
      <c r="SIG60" s="2"/>
      <c r="SIH60" s="2"/>
      <c r="SII60" s="2"/>
      <c r="SIJ60" s="2"/>
      <c r="SIK60" s="2"/>
      <c r="SIL60" s="2"/>
      <c r="SIM60" s="2"/>
      <c r="SIN60" s="2"/>
      <c r="SIO60" s="2"/>
      <c r="SIP60" s="2"/>
      <c r="SIQ60" s="2"/>
      <c r="SIR60" s="2"/>
      <c r="SIS60" s="2"/>
      <c r="SIT60" s="2"/>
      <c r="SIU60" s="2"/>
      <c r="SIV60" s="2"/>
      <c r="SIW60" s="2"/>
      <c r="SIX60" s="2"/>
      <c r="SIY60" s="2"/>
      <c r="SIZ60" s="2"/>
      <c r="SJA60" s="2"/>
      <c r="SJB60" s="2"/>
      <c r="SJC60" s="2"/>
      <c r="SJD60" s="2"/>
      <c r="SJE60" s="2"/>
      <c r="SJF60" s="2"/>
      <c r="SJG60" s="2"/>
      <c r="SJH60" s="2"/>
      <c r="SJI60" s="2"/>
      <c r="SJJ60" s="2"/>
      <c r="SJK60" s="2"/>
      <c r="SJL60" s="2"/>
      <c r="SJM60" s="2"/>
      <c r="SJN60" s="2"/>
      <c r="SJO60" s="2"/>
      <c r="SJP60" s="2"/>
      <c r="SJQ60" s="2"/>
      <c r="SJR60" s="2"/>
      <c r="SJS60" s="2"/>
      <c r="SJT60" s="2"/>
      <c r="SJU60" s="2"/>
      <c r="SJV60" s="2"/>
      <c r="SJW60" s="2"/>
      <c r="SJX60" s="2"/>
      <c r="SJY60" s="2"/>
      <c r="SJZ60" s="2"/>
      <c r="SKA60" s="2"/>
      <c r="SKB60" s="2"/>
      <c r="SKC60" s="2"/>
      <c r="SKD60" s="2"/>
      <c r="SKE60" s="2"/>
      <c r="SKF60" s="2"/>
      <c r="SKG60" s="2"/>
      <c r="SKH60" s="2"/>
      <c r="SKI60" s="2"/>
      <c r="SKJ60" s="2"/>
      <c r="SKK60" s="2"/>
      <c r="SKL60" s="2"/>
      <c r="SKM60" s="2"/>
      <c r="SKN60" s="2"/>
      <c r="SKO60" s="2"/>
      <c r="SKP60" s="2"/>
      <c r="SKQ60" s="2"/>
      <c r="SKR60" s="2"/>
      <c r="SKS60" s="2"/>
      <c r="SKT60" s="2"/>
      <c r="SKU60" s="2"/>
      <c r="SKV60" s="2"/>
      <c r="SKW60" s="2"/>
      <c r="SKX60" s="2"/>
      <c r="SKY60" s="2"/>
      <c r="SKZ60" s="2"/>
      <c r="SLA60" s="2"/>
      <c r="SLB60" s="2"/>
      <c r="SLC60" s="2"/>
      <c r="SLD60" s="2"/>
      <c r="SLE60" s="2"/>
      <c r="SLF60" s="2"/>
      <c r="SLG60" s="2"/>
      <c r="SLH60" s="2"/>
      <c r="SLI60" s="2"/>
      <c r="SLJ60" s="2"/>
      <c r="SLK60" s="2"/>
      <c r="SLL60" s="2"/>
      <c r="SLM60" s="2"/>
      <c r="SLN60" s="2"/>
      <c r="SLO60" s="2"/>
      <c r="SLP60" s="2"/>
      <c r="SLQ60" s="2"/>
      <c r="SLR60" s="2"/>
      <c r="SLS60" s="2"/>
      <c r="SLT60" s="2"/>
      <c r="SLU60" s="2"/>
      <c r="SLV60" s="2"/>
      <c r="SLW60" s="2"/>
      <c r="SLX60" s="2"/>
      <c r="SLY60" s="2"/>
      <c r="SLZ60" s="2"/>
      <c r="SMA60" s="2"/>
      <c r="SMB60" s="2"/>
      <c r="SMC60" s="2"/>
      <c r="SMD60" s="2"/>
      <c r="SME60" s="2"/>
      <c r="SMF60" s="2"/>
      <c r="SMG60" s="2"/>
      <c r="SMH60" s="2"/>
      <c r="SMI60" s="2"/>
      <c r="SMJ60" s="2"/>
      <c r="SMK60" s="2"/>
      <c r="SML60" s="2"/>
      <c r="SMM60" s="2"/>
      <c r="SMN60" s="2"/>
      <c r="SMO60" s="2"/>
      <c r="SMP60" s="2"/>
      <c r="SMQ60" s="2"/>
      <c r="SMR60" s="2"/>
      <c r="SMS60" s="2"/>
      <c r="SMT60" s="2"/>
      <c r="SMU60" s="2"/>
      <c r="SMV60" s="2"/>
      <c r="SMW60" s="2"/>
      <c r="SMX60" s="2"/>
      <c r="SMY60" s="2"/>
      <c r="SMZ60" s="2"/>
      <c r="SNA60" s="2"/>
      <c r="SNB60" s="2"/>
      <c r="SNC60" s="2"/>
      <c r="SND60" s="2"/>
      <c r="SNE60" s="2"/>
      <c r="SNF60" s="2"/>
      <c r="SNG60" s="2"/>
      <c r="SNH60" s="2"/>
      <c r="SNI60" s="2"/>
      <c r="SNJ60" s="2"/>
      <c r="SNK60" s="2"/>
      <c r="SNL60" s="2"/>
      <c r="SNM60" s="2"/>
      <c r="SNN60" s="2"/>
      <c r="SNO60" s="2"/>
      <c r="SNP60" s="2"/>
      <c r="SNQ60" s="2"/>
      <c r="SNR60" s="2"/>
      <c r="SNS60" s="2"/>
      <c r="SNT60" s="2"/>
      <c r="SNU60" s="2"/>
      <c r="SNV60" s="2"/>
      <c r="SNW60" s="2"/>
      <c r="SNX60" s="2"/>
      <c r="SNY60" s="2"/>
      <c r="SNZ60" s="2"/>
      <c r="SOA60" s="2"/>
      <c r="SOB60" s="2"/>
      <c r="SOC60" s="2"/>
      <c r="SOD60" s="2"/>
      <c r="SOE60" s="2"/>
      <c r="SOF60" s="2"/>
      <c r="SOG60" s="2"/>
      <c r="SOH60" s="2"/>
      <c r="SOI60" s="2"/>
      <c r="SOJ60" s="2"/>
      <c r="SOK60" s="2"/>
      <c r="SOL60" s="2"/>
      <c r="SOM60" s="2"/>
      <c r="SON60" s="2"/>
      <c r="SOO60" s="2"/>
      <c r="SOP60" s="2"/>
      <c r="SOQ60" s="2"/>
      <c r="SOR60" s="2"/>
      <c r="SOS60" s="2"/>
      <c r="SOT60" s="2"/>
      <c r="SOU60" s="2"/>
      <c r="SOV60" s="2"/>
      <c r="SOW60" s="2"/>
      <c r="SOX60" s="2"/>
      <c r="SOY60" s="2"/>
      <c r="SOZ60" s="2"/>
      <c r="SPA60" s="2"/>
      <c r="SPB60" s="2"/>
      <c r="SPC60" s="2"/>
      <c r="SPD60" s="2"/>
      <c r="SPE60" s="2"/>
      <c r="SPF60" s="2"/>
      <c r="SPG60" s="2"/>
      <c r="SPH60" s="2"/>
      <c r="SPI60" s="2"/>
      <c r="SPJ60" s="2"/>
      <c r="SPK60" s="2"/>
      <c r="SPL60" s="2"/>
      <c r="SPM60" s="2"/>
      <c r="SPN60" s="2"/>
      <c r="SPO60" s="2"/>
      <c r="SPP60" s="2"/>
      <c r="SPQ60" s="2"/>
      <c r="SPR60" s="2"/>
      <c r="SPS60" s="2"/>
      <c r="SPT60" s="2"/>
      <c r="SPU60" s="2"/>
      <c r="SPV60" s="2"/>
      <c r="SPW60" s="2"/>
      <c r="SPX60" s="2"/>
      <c r="SPY60" s="2"/>
      <c r="SPZ60" s="2"/>
      <c r="SQA60" s="2"/>
      <c r="SQB60" s="2"/>
      <c r="SQC60" s="2"/>
      <c r="SQD60" s="2"/>
      <c r="SQE60" s="2"/>
      <c r="SQF60" s="2"/>
      <c r="SQG60" s="2"/>
      <c r="SQH60" s="2"/>
      <c r="SQI60" s="2"/>
      <c r="SQJ60" s="2"/>
      <c r="SQK60" s="2"/>
      <c r="SQL60" s="2"/>
      <c r="SQM60" s="2"/>
      <c r="SQN60" s="2"/>
      <c r="SQO60" s="2"/>
      <c r="SQP60" s="2"/>
      <c r="SQQ60" s="2"/>
      <c r="SQR60" s="2"/>
      <c r="SQS60" s="2"/>
      <c r="SQT60" s="2"/>
      <c r="SQU60" s="2"/>
      <c r="SQV60" s="2"/>
      <c r="SQW60" s="2"/>
      <c r="SQX60" s="2"/>
      <c r="SQY60" s="2"/>
      <c r="SQZ60" s="2"/>
      <c r="SRA60" s="2"/>
      <c r="SRB60" s="2"/>
      <c r="SRC60" s="2"/>
      <c r="SRD60" s="2"/>
      <c r="SRE60" s="2"/>
      <c r="SRF60" s="2"/>
      <c r="SRG60" s="2"/>
      <c r="SRH60" s="2"/>
      <c r="SRI60" s="2"/>
      <c r="SRJ60" s="2"/>
      <c r="SRK60" s="2"/>
      <c r="SRL60" s="2"/>
      <c r="SRM60" s="2"/>
      <c r="SRN60" s="2"/>
      <c r="SRO60" s="2"/>
      <c r="SRP60" s="2"/>
      <c r="SRQ60" s="2"/>
      <c r="SRR60" s="2"/>
      <c r="SRS60" s="2"/>
      <c r="SRT60" s="2"/>
      <c r="SRU60" s="2"/>
      <c r="SRV60" s="2"/>
      <c r="SRW60" s="2"/>
      <c r="SRX60" s="2"/>
      <c r="SRY60" s="2"/>
      <c r="SRZ60" s="2"/>
      <c r="SSA60" s="2"/>
      <c r="SSB60" s="2"/>
      <c r="SSC60" s="2"/>
      <c r="SSD60" s="2"/>
      <c r="SSE60" s="2"/>
      <c r="SSF60" s="2"/>
      <c r="SSG60" s="2"/>
      <c r="SSH60" s="2"/>
      <c r="SSI60" s="2"/>
      <c r="SSJ60" s="2"/>
      <c r="SSK60" s="2"/>
      <c r="SSL60" s="2"/>
      <c r="SSM60" s="2"/>
      <c r="SSN60" s="2"/>
      <c r="SSO60" s="2"/>
      <c r="SSP60" s="2"/>
      <c r="SSQ60" s="2"/>
      <c r="SSR60" s="2"/>
      <c r="SSS60" s="2"/>
      <c r="SST60" s="2"/>
      <c r="SSU60" s="2"/>
      <c r="SSV60" s="2"/>
      <c r="SSW60" s="2"/>
      <c r="SSX60" s="2"/>
      <c r="SSY60" s="2"/>
      <c r="SSZ60" s="2"/>
      <c r="STA60" s="2"/>
      <c r="STB60" s="2"/>
      <c r="STC60" s="2"/>
      <c r="STD60" s="2"/>
      <c r="STE60" s="2"/>
      <c r="STF60" s="2"/>
      <c r="STG60" s="2"/>
      <c r="STH60" s="2"/>
      <c r="STI60" s="2"/>
      <c r="STJ60" s="2"/>
      <c r="STK60" s="2"/>
      <c r="STL60" s="2"/>
      <c r="STM60" s="2"/>
      <c r="STN60" s="2"/>
      <c r="STO60" s="2"/>
      <c r="STP60" s="2"/>
      <c r="STQ60" s="2"/>
      <c r="STR60" s="2"/>
      <c r="STS60" s="2"/>
      <c r="STT60" s="2"/>
      <c r="STU60" s="2"/>
      <c r="STV60" s="2"/>
      <c r="STW60" s="2"/>
      <c r="STX60" s="2"/>
      <c r="STY60" s="2"/>
      <c r="STZ60" s="2"/>
      <c r="SUA60" s="2"/>
      <c r="SUB60" s="2"/>
      <c r="SUC60" s="2"/>
      <c r="SUD60" s="2"/>
      <c r="SUE60" s="2"/>
      <c r="SUF60" s="2"/>
      <c r="SUG60" s="2"/>
      <c r="SUH60" s="2"/>
      <c r="SUI60" s="2"/>
      <c r="SUJ60" s="2"/>
      <c r="SUK60" s="2"/>
      <c r="SUL60" s="2"/>
      <c r="SUM60" s="2"/>
      <c r="SUN60" s="2"/>
      <c r="SUO60" s="2"/>
      <c r="SUP60" s="2"/>
      <c r="SUQ60" s="2"/>
      <c r="SUR60" s="2"/>
      <c r="SUS60" s="2"/>
      <c r="SUT60" s="2"/>
      <c r="SUU60" s="2"/>
      <c r="SUV60" s="2"/>
      <c r="SUW60" s="2"/>
      <c r="SUX60" s="2"/>
      <c r="SUY60" s="2"/>
      <c r="SUZ60" s="2"/>
      <c r="SVA60" s="2"/>
      <c r="SVB60" s="2"/>
      <c r="SVC60" s="2"/>
      <c r="SVD60" s="2"/>
      <c r="SVE60" s="2"/>
      <c r="SVF60" s="2"/>
      <c r="SVG60" s="2"/>
      <c r="SVH60" s="2"/>
      <c r="SVI60" s="2"/>
      <c r="SVJ60" s="2"/>
      <c r="SVK60" s="2"/>
      <c r="SVL60" s="2"/>
      <c r="SVM60" s="2"/>
      <c r="SVN60" s="2"/>
      <c r="SVO60" s="2"/>
      <c r="SVP60" s="2"/>
      <c r="SVQ60" s="2"/>
      <c r="SVR60" s="2"/>
      <c r="SVS60" s="2"/>
      <c r="SVT60" s="2"/>
      <c r="SVU60" s="2"/>
      <c r="SVV60" s="2"/>
      <c r="SVW60" s="2"/>
      <c r="SVX60" s="2"/>
      <c r="SVY60" s="2"/>
      <c r="SVZ60" s="2"/>
      <c r="SWA60" s="2"/>
      <c r="SWB60" s="2"/>
      <c r="SWC60" s="2"/>
      <c r="SWD60" s="2"/>
      <c r="SWE60" s="2"/>
      <c r="SWF60" s="2"/>
      <c r="SWG60" s="2"/>
      <c r="SWH60" s="2"/>
      <c r="SWI60" s="2"/>
      <c r="SWJ60" s="2"/>
      <c r="SWK60" s="2"/>
      <c r="SWL60" s="2"/>
      <c r="SWM60" s="2"/>
      <c r="SWN60" s="2"/>
      <c r="SWO60" s="2"/>
      <c r="SWP60" s="2"/>
      <c r="SWQ60" s="2"/>
      <c r="SWR60" s="2"/>
      <c r="SWS60" s="2"/>
      <c r="SWT60" s="2"/>
      <c r="SWU60" s="2"/>
      <c r="SWV60" s="2"/>
      <c r="SWW60" s="2"/>
      <c r="SWX60" s="2"/>
      <c r="SWY60" s="2"/>
      <c r="SWZ60" s="2"/>
      <c r="SXA60" s="2"/>
      <c r="SXB60" s="2"/>
      <c r="SXC60" s="2"/>
      <c r="SXD60" s="2"/>
      <c r="SXE60" s="2"/>
      <c r="SXF60" s="2"/>
      <c r="SXG60" s="2"/>
      <c r="SXH60" s="2"/>
      <c r="SXI60" s="2"/>
      <c r="SXJ60" s="2"/>
      <c r="SXK60" s="2"/>
      <c r="SXL60" s="2"/>
      <c r="SXM60" s="2"/>
      <c r="SXN60" s="2"/>
      <c r="SXO60" s="2"/>
      <c r="SXP60" s="2"/>
      <c r="SXQ60" s="2"/>
      <c r="SXR60" s="2"/>
      <c r="SXS60" s="2"/>
      <c r="SXT60" s="2"/>
      <c r="SXU60" s="2"/>
      <c r="SXV60" s="2"/>
      <c r="SXW60" s="2"/>
      <c r="SXX60" s="2"/>
      <c r="SXY60" s="2"/>
      <c r="SXZ60" s="2"/>
      <c r="SYA60" s="2"/>
      <c r="SYB60" s="2"/>
      <c r="SYC60" s="2"/>
      <c r="SYD60" s="2"/>
      <c r="SYE60" s="2"/>
      <c r="SYF60" s="2"/>
      <c r="SYG60" s="2"/>
      <c r="SYH60" s="2"/>
      <c r="SYI60" s="2"/>
      <c r="SYJ60" s="2"/>
      <c r="SYK60" s="2"/>
      <c r="SYL60" s="2"/>
      <c r="SYM60" s="2"/>
      <c r="SYN60" s="2"/>
      <c r="SYO60" s="2"/>
      <c r="SYP60" s="2"/>
      <c r="SYQ60" s="2"/>
      <c r="SYR60" s="2"/>
      <c r="SYS60" s="2"/>
      <c r="SYT60" s="2"/>
      <c r="SYU60" s="2"/>
      <c r="SYV60" s="2"/>
      <c r="SYW60" s="2"/>
      <c r="SYX60" s="2"/>
      <c r="SYY60" s="2"/>
      <c r="SYZ60" s="2"/>
      <c r="SZA60" s="2"/>
      <c r="SZB60" s="2"/>
      <c r="SZC60" s="2"/>
      <c r="SZD60" s="2"/>
      <c r="SZE60" s="2"/>
      <c r="SZF60" s="2"/>
      <c r="SZG60" s="2"/>
      <c r="SZH60" s="2"/>
      <c r="SZI60" s="2"/>
      <c r="SZJ60" s="2"/>
      <c r="SZK60" s="2"/>
      <c r="SZL60" s="2"/>
      <c r="SZM60" s="2"/>
      <c r="SZN60" s="2"/>
      <c r="SZO60" s="2"/>
      <c r="SZP60" s="2"/>
      <c r="SZQ60" s="2"/>
      <c r="SZR60" s="2"/>
      <c r="SZS60" s="2"/>
      <c r="SZT60" s="2"/>
      <c r="SZU60" s="2"/>
      <c r="SZV60" s="2"/>
      <c r="SZW60" s="2"/>
      <c r="SZX60" s="2"/>
      <c r="SZY60" s="2"/>
      <c r="SZZ60" s="2"/>
      <c r="TAA60" s="2"/>
      <c r="TAB60" s="2"/>
      <c r="TAC60" s="2"/>
      <c r="TAD60" s="2"/>
      <c r="TAE60" s="2"/>
      <c r="TAF60" s="2"/>
      <c r="TAG60" s="2"/>
      <c r="TAH60" s="2"/>
      <c r="TAI60" s="2"/>
      <c r="TAJ60" s="2"/>
      <c r="TAK60" s="2"/>
      <c r="TAL60" s="2"/>
      <c r="TAM60" s="2"/>
      <c r="TAN60" s="2"/>
      <c r="TAO60" s="2"/>
      <c r="TAP60" s="2"/>
      <c r="TAQ60" s="2"/>
      <c r="TAR60" s="2"/>
      <c r="TAS60" s="2"/>
      <c r="TAT60" s="2"/>
      <c r="TAU60" s="2"/>
      <c r="TAV60" s="2"/>
      <c r="TAW60" s="2"/>
      <c r="TAX60" s="2"/>
      <c r="TAY60" s="2"/>
      <c r="TAZ60" s="2"/>
      <c r="TBA60" s="2"/>
      <c r="TBB60" s="2"/>
      <c r="TBC60" s="2"/>
      <c r="TBD60" s="2"/>
      <c r="TBE60" s="2"/>
      <c r="TBF60" s="2"/>
      <c r="TBG60" s="2"/>
      <c r="TBH60" s="2"/>
      <c r="TBI60" s="2"/>
      <c r="TBJ60" s="2"/>
      <c r="TBK60" s="2"/>
      <c r="TBL60" s="2"/>
      <c r="TBM60" s="2"/>
      <c r="TBN60" s="2"/>
      <c r="TBO60" s="2"/>
      <c r="TBP60" s="2"/>
      <c r="TBQ60" s="2"/>
      <c r="TBR60" s="2"/>
      <c r="TBS60" s="2"/>
      <c r="TBT60" s="2"/>
      <c r="TBU60" s="2"/>
      <c r="TBV60" s="2"/>
      <c r="TBW60" s="2"/>
      <c r="TBX60" s="2"/>
      <c r="TBY60" s="2"/>
      <c r="TBZ60" s="2"/>
      <c r="TCA60" s="2"/>
      <c r="TCB60" s="2"/>
      <c r="TCC60" s="2"/>
      <c r="TCD60" s="2"/>
      <c r="TCE60" s="2"/>
      <c r="TCF60" s="2"/>
      <c r="TCG60" s="2"/>
      <c r="TCH60" s="2"/>
      <c r="TCI60" s="2"/>
      <c r="TCJ60" s="2"/>
      <c r="TCK60" s="2"/>
      <c r="TCL60" s="2"/>
      <c r="TCM60" s="2"/>
      <c r="TCN60" s="2"/>
      <c r="TCO60" s="2"/>
      <c r="TCP60" s="2"/>
      <c r="TCQ60" s="2"/>
      <c r="TCR60" s="2"/>
      <c r="TCS60" s="2"/>
      <c r="TCT60" s="2"/>
      <c r="TCU60" s="2"/>
      <c r="TCV60" s="2"/>
      <c r="TCW60" s="2"/>
      <c r="TCX60" s="2"/>
      <c r="TCY60" s="2"/>
      <c r="TCZ60" s="2"/>
      <c r="TDA60" s="2"/>
      <c r="TDB60" s="2"/>
      <c r="TDC60" s="2"/>
      <c r="TDD60" s="2"/>
      <c r="TDE60" s="2"/>
      <c r="TDF60" s="2"/>
      <c r="TDG60" s="2"/>
      <c r="TDH60" s="2"/>
      <c r="TDI60" s="2"/>
      <c r="TDJ60" s="2"/>
      <c r="TDK60" s="2"/>
      <c r="TDL60" s="2"/>
      <c r="TDM60" s="2"/>
      <c r="TDN60" s="2"/>
      <c r="TDO60" s="2"/>
      <c r="TDP60" s="2"/>
      <c r="TDQ60" s="2"/>
      <c r="TDR60" s="2"/>
      <c r="TDS60" s="2"/>
      <c r="TDT60" s="2"/>
      <c r="TDU60" s="2"/>
      <c r="TDV60" s="2"/>
      <c r="TDW60" s="2"/>
      <c r="TDX60" s="2"/>
      <c r="TDY60" s="2"/>
      <c r="TDZ60" s="2"/>
      <c r="TEA60" s="2"/>
      <c r="TEB60" s="2"/>
      <c r="TEC60" s="2"/>
      <c r="TED60" s="2"/>
      <c r="TEE60" s="2"/>
      <c r="TEF60" s="2"/>
      <c r="TEG60" s="2"/>
      <c r="TEH60" s="2"/>
      <c r="TEI60" s="2"/>
      <c r="TEJ60" s="2"/>
      <c r="TEK60" s="2"/>
      <c r="TEL60" s="2"/>
      <c r="TEM60" s="2"/>
      <c r="TEN60" s="2"/>
      <c r="TEO60" s="2"/>
      <c r="TEP60" s="2"/>
      <c r="TEQ60" s="2"/>
      <c r="TER60" s="2"/>
      <c r="TES60" s="2"/>
      <c r="TET60" s="2"/>
      <c r="TEU60" s="2"/>
      <c r="TEV60" s="2"/>
      <c r="TEW60" s="2"/>
      <c r="TEX60" s="2"/>
      <c r="TEY60" s="2"/>
      <c r="TEZ60" s="2"/>
      <c r="TFA60" s="2"/>
      <c r="TFB60" s="2"/>
      <c r="TFC60" s="2"/>
      <c r="TFD60" s="2"/>
      <c r="TFE60" s="2"/>
      <c r="TFF60" s="2"/>
      <c r="TFG60" s="2"/>
      <c r="TFH60" s="2"/>
      <c r="TFI60" s="2"/>
      <c r="TFJ60" s="2"/>
      <c r="TFK60" s="2"/>
      <c r="TFL60" s="2"/>
      <c r="TFM60" s="2"/>
      <c r="TFN60" s="2"/>
      <c r="TFO60" s="2"/>
      <c r="TFP60" s="2"/>
      <c r="TFQ60" s="2"/>
      <c r="TFR60" s="2"/>
      <c r="TFS60" s="2"/>
      <c r="TFT60" s="2"/>
      <c r="TFU60" s="2"/>
      <c r="TFV60" s="2"/>
      <c r="TFW60" s="2"/>
      <c r="TFX60" s="2"/>
      <c r="TFY60" s="2"/>
      <c r="TFZ60" s="2"/>
      <c r="TGA60" s="2"/>
      <c r="TGB60" s="2"/>
      <c r="TGC60" s="2"/>
      <c r="TGD60" s="2"/>
      <c r="TGE60" s="2"/>
      <c r="TGF60" s="2"/>
      <c r="TGG60" s="2"/>
      <c r="TGH60" s="2"/>
      <c r="TGI60" s="2"/>
      <c r="TGJ60" s="2"/>
      <c r="TGK60" s="2"/>
      <c r="TGL60" s="2"/>
      <c r="TGM60" s="2"/>
      <c r="TGN60" s="2"/>
      <c r="TGO60" s="2"/>
      <c r="TGP60" s="2"/>
      <c r="TGQ60" s="2"/>
      <c r="TGR60" s="2"/>
      <c r="TGS60" s="2"/>
      <c r="TGT60" s="2"/>
      <c r="TGU60" s="2"/>
      <c r="TGV60" s="2"/>
      <c r="TGW60" s="2"/>
      <c r="TGX60" s="2"/>
      <c r="TGY60" s="2"/>
      <c r="TGZ60" s="2"/>
      <c r="THA60" s="2"/>
      <c r="THB60" s="2"/>
      <c r="THC60" s="2"/>
      <c r="THD60" s="2"/>
      <c r="THE60" s="2"/>
      <c r="THF60" s="2"/>
      <c r="THG60" s="2"/>
      <c r="THH60" s="2"/>
      <c r="THI60" s="2"/>
      <c r="THJ60" s="2"/>
      <c r="THK60" s="2"/>
      <c r="THL60" s="2"/>
      <c r="THM60" s="2"/>
      <c r="THN60" s="2"/>
      <c r="THO60" s="2"/>
      <c r="THP60" s="2"/>
      <c r="THQ60" s="2"/>
      <c r="THR60" s="2"/>
      <c r="THS60" s="2"/>
      <c r="THT60" s="2"/>
      <c r="THU60" s="2"/>
      <c r="THV60" s="2"/>
      <c r="THW60" s="2"/>
      <c r="THX60" s="2"/>
      <c r="THY60" s="2"/>
      <c r="THZ60" s="2"/>
      <c r="TIA60" s="2"/>
      <c r="TIB60" s="2"/>
      <c r="TIC60" s="2"/>
      <c r="TID60" s="2"/>
      <c r="TIE60" s="2"/>
      <c r="TIF60" s="2"/>
      <c r="TIG60" s="2"/>
      <c r="TIH60" s="2"/>
      <c r="TII60" s="2"/>
      <c r="TIJ60" s="2"/>
      <c r="TIK60" s="2"/>
      <c r="TIL60" s="2"/>
      <c r="TIM60" s="2"/>
      <c r="TIN60" s="2"/>
      <c r="TIO60" s="2"/>
      <c r="TIP60" s="2"/>
      <c r="TIQ60" s="2"/>
      <c r="TIR60" s="2"/>
      <c r="TIS60" s="2"/>
      <c r="TIT60" s="2"/>
      <c r="TIU60" s="2"/>
      <c r="TIV60" s="2"/>
      <c r="TIW60" s="2"/>
      <c r="TIX60" s="2"/>
      <c r="TIY60" s="2"/>
      <c r="TIZ60" s="2"/>
      <c r="TJA60" s="2"/>
      <c r="TJB60" s="2"/>
      <c r="TJC60" s="2"/>
      <c r="TJD60" s="2"/>
      <c r="TJE60" s="2"/>
      <c r="TJF60" s="2"/>
      <c r="TJG60" s="2"/>
      <c r="TJH60" s="2"/>
      <c r="TJI60" s="2"/>
      <c r="TJJ60" s="2"/>
      <c r="TJK60" s="2"/>
      <c r="TJL60" s="2"/>
      <c r="TJM60" s="2"/>
      <c r="TJN60" s="2"/>
      <c r="TJO60" s="2"/>
      <c r="TJP60" s="2"/>
      <c r="TJQ60" s="2"/>
      <c r="TJR60" s="2"/>
      <c r="TJS60" s="2"/>
      <c r="TJT60" s="2"/>
      <c r="TJU60" s="2"/>
      <c r="TJV60" s="2"/>
      <c r="TJW60" s="2"/>
      <c r="TJX60" s="2"/>
      <c r="TJY60" s="2"/>
      <c r="TJZ60" s="2"/>
      <c r="TKA60" s="2"/>
      <c r="TKB60" s="2"/>
      <c r="TKC60" s="2"/>
      <c r="TKD60" s="2"/>
      <c r="TKE60" s="2"/>
      <c r="TKF60" s="2"/>
      <c r="TKG60" s="2"/>
      <c r="TKH60" s="2"/>
      <c r="TKI60" s="2"/>
      <c r="TKJ60" s="2"/>
      <c r="TKK60" s="2"/>
      <c r="TKL60" s="2"/>
      <c r="TKM60" s="2"/>
      <c r="TKN60" s="2"/>
      <c r="TKO60" s="2"/>
      <c r="TKP60" s="2"/>
      <c r="TKQ60" s="2"/>
      <c r="TKR60" s="2"/>
      <c r="TKS60" s="2"/>
      <c r="TKT60" s="2"/>
      <c r="TKU60" s="2"/>
      <c r="TKV60" s="2"/>
      <c r="TKW60" s="2"/>
      <c r="TKX60" s="2"/>
      <c r="TKY60" s="2"/>
      <c r="TKZ60" s="2"/>
      <c r="TLA60" s="2"/>
      <c r="TLB60" s="2"/>
      <c r="TLC60" s="2"/>
      <c r="TLD60" s="2"/>
      <c r="TLE60" s="2"/>
      <c r="TLF60" s="2"/>
      <c r="TLG60" s="2"/>
      <c r="TLH60" s="2"/>
      <c r="TLI60" s="2"/>
      <c r="TLJ60" s="2"/>
      <c r="TLK60" s="2"/>
      <c r="TLL60" s="2"/>
      <c r="TLM60" s="2"/>
      <c r="TLN60" s="2"/>
      <c r="TLO60" s="2"/>
      <c r="TLP60" s="2"/>
      <c r="TLQ60" s="2"/>
      <c r="TLR60" s="2"/>
      <c r="TLS60" s="2"/>
      <c r="TLT60" s="2"/>
      <c r="TLU60" s="2"/>
      <c r="TLV60" s="2"/>
      <c r="TLW60" s="2"/>
      <c r="TLX60" s="2"/>
      <c r="TLY60" s="2"/>
      <c r="TLZ60" s="2"/>
      <c r="TMA60" s="2"/>
      <c r="TMB60" s="2"/>
      <c r="TMC60" s="2"/>
      <c r="TMD60" s="2"/>
      <c r="TME60" s="2"/>
      <c r="TMF60" s="2"/>
      <c r="TMG60" s="2"/>
      <c r="TMH60" s="2"/>
      <c r="TMI60" s="2"/>
      <c r="TMJ60" s="2"/>
      <c r="TMK60" s="2"/>
      <c r="TML60" s="2"/>
      <c r="TMM60" s="2"/>
      <c r="TMN60" s="2"/>
      <c r="TMO60" s="2"/>
      <c r="TMP60" s="2"/>
      <c r="TMQ60" s="2"/>
      <c r="TMR60" s="2"/>
      <c r="TMS60" s="2"/>
      <c r="TMT60" s="2"/>
      <c r="TMU60" s="2"/>
      <c r="TMV60" s="2"/>
      <c r="TMW60" s="2"/>
      <c r="TMX60" s="2"/>
      <c r="TMY60" s="2"/>
      <c r="TMZ60" s="2"/>
      <c r="TNA60" s="2"/>
      <c r="TNB60" s="2"/>
      <c r="TNC60" s="2"/>
      <c r="TND60" s="2"/>
      <c r="TNE60" s="2"/>
      <c r="TNF60" s="2"/>
      <c r="TNG60" s="2"/>
      <c r="TNH60" s="2"/>
      <c r="TNI60" s="2"/>
      <c r="TNJ60" s="2"/>
      <c r="TNK60" s="2"/>
      <c r="TNL60" s="2"/>
      <c r="TNM60" s="2"/>
      <c r="TNN60" s="2"/>
      <c r="TNO60" s="2"/>
      <c r="TNP60" s="2"/>
      <c r="TNQ60" s="2"/>
      <c r="TNR60" s="2"/>
      <c r="TNS60" s="2"/>
      <c r="TNT60" s="2"/>
      <c r="TNU60" s="2"/>
      <c r="TNV60" s="2"/>
      <c r="TNW60" s="2"/>
      <c r="TNX60" s="2"/>
      <c r="TNY60" s="2"/>
      <c r="TNZ60" s="2"/>
      <c r="TOA60" s="2"/>
      <c r="TOB60" s="2"/>
      <c r="TOC60" s="2"/>
      <c r="TOD60" s="2"/>
      <c r="TOE60" s="2"/>
      <c r="TOF60" s="2"/>
      <c r="TOG60" s="2"/>
      <c r="TOH60" s="2"/>
      <c r="TOI60" s="2"/>
      <c r="TOJ60" s="2"/>
      <c r="TOK60" s="2"/>
      <c r="TOL60" s="2"/>
      <c r="TOM60" s="2"/>
      <c r="TON60" s="2"/>
      <c r="TOO60" s="2"/>
      <c r="TOP60" s="2"/>
      <c r="TOQ60" s="2"/>
      <c r="TOR60" s="2"/>
      <c r="TOS60" s="2"/>
      <c r="TOT60" s="2"/>
      <c r="TOU60" s="2"/>
      <c r="TOV60" s="2"/>
      <c r="TOW60" s="2"/>
      <c r="TOX60" s="2"/>
      <c r="TOY60" s="2"/>
      <c r="TOZ60" s="2"/>
      <c r="TPA60" s="2"/>
      <c r="TPB60" s="2"/>
      <c r="TPC60" s="2"/>
      <c r="TPD60" s="2"/>
      <c r="TPE60" s="2"/>
      <c r="TPF60" s="2"/>
      <c r="TPG60" s="2"/>
      <c r="TPH60" s="2"/>
      <c r="TPI60" s="2"/>
      <c r="TPJ60" s="2"/>
      <c r="TPK60" s="2"/>
      <c r="TPL60" s="2"/>
      <c r="TPM60" s="2"/>
      <c r="TPN60" s="2"/>
      <c r="TPO60" s="2"/>
      <c r="TPP60" s="2"/>
      <c r="TPQ60" s="2"/>
      <c r="TPR60" s="2"/>
      <c r="TPS60" s="2"/>
      <c r="TPT60" s="2"/>
      <c r="TPU60" s="2"/>
      <c r="TPV60" s="2"/>
      <c r="TPW60" s="2"/>
      <c r="TPX60" s="2"/>
      <c r="TPY60" s="2"/>
      <c r="TPZ60" s="2"/>
      <c r="TQA60" s="2"/>
      <c r="TQB60" s="2"/>
      <c r="TQC60" s="2"/>
      <c r="TQD60" s="2"/>
      <c r="TQE60" s="2"/>
      <c r="TQF60" s="2"/>
      <c r="TQG60" s="2"/>
      <c r="TQH60" s="2"/>
      <c r="TQI60" s="2"/>
      <c r="TQJ60" s="2"/>
      <c r="TQK60" s="2"/>
      <c r="TQL60" s="2"/>
      <c r="TQM60" s="2"/>
      <c r="TQN60" s="2"/>
      <c r="TQO60" s="2"/>
      <c r="TQP60" s="2"/>
      <c r="TQQ60" s="2"/>
      <c r="TQR60" s="2"/>
      <c r="TQS60" s="2"/>
      <c r="TQT60" s="2"/>
      <c r="TQU60" s="2"/>
      <c r="TQV60" s="2"/>
      <c r="TQW60" s="2"/>
      <c r="TQX60" s="2"/>
      <c r="TQY60" s="2"/>
      <c r="TQZ60" s="2"/>
      <c r="TRA60" s="2"/>
      <c r="TRB60" s="2"/>
      <c r="TRC60" s="2"/>
      <c r="TRD60" s="2"/>
      <c r="TRE60" s="2"/>
      <c r="TRF60" s="2"/>
      <c r="TRG60" s="2"/>
      <c r="TRH60" s="2"/>
      <c r="TRI60" s="2"/>
      <c r="TRJ60" s="2"/>
      <c r="TRK60" s="2"/>
      <c r="TRL60" s="2"/>
      <c r="TRM60" s="2"/>
      <c r="TRN60" s="2"/>
      <c r="TRO60" s="2"/>
      <c r="TRP60" s="2"/>
      <c r="TRQ60" s="2"/>
      <c r="TRR60" s="2"/>
      <c r="TRS60" s="2"/>
      <c r="TRT60" s="2"/>
      <c r="TRU60" s="2"/>
      <c r="TRV60" s="2"/>
      <c r="TRW60" s="2"/>
      <c r="TRX60" s="2"/>
      <c r="TRY60" s="2"/>
      <c r="TRZ60" s="2"/>
      <c r="TSA60" s="2"/>
      <c r="TSB60" s="2"/>
      <c r="TSC60" s="2"/>
      <c r="TSD60" s="2"/>
      <c r="TSE60" s="2"/>
      <c r="TSF60" s="2"/>
      <c r="TSG60" s="2"/>
      <c r="TSH60" s="2"/>
      <c r="TSI60" s="2"/>
      <c r="TSJ60" s="2"/>
      <c r="TSK60" s="2"/>
      <c r="TSL60" s="2"/>
      <c r="TSM60" s="2"/>
      <c r="TSN60" s="2"/>
      <c r="TSO60" s="2"/>
      <c r="TSP60" s="2"/>
      <c r="TSQ60" s="2"/>
      <c r="TSR60" s="2"/>
      <c r="TSS60" s="2"/>
      <c r="TST60" s="2"/>
      <c r="TSU60" s="2"/>
      <c r="TSV60" s="2"/>
      <c r="TSW60" s="2"/>
      <c r="TSX60" s="2"/>
      <c r="TSY60" s="2"/>
      <c r="TSZ60" s="2"/>
      <c r="TTA60" s="2"/>
      <c r="TTB60" s="2"/>
      <c r="TTC60" s="2"/>
      <c r="TTD60" s="2"/>
      <c r="TTE60" s="2"/>
      <c r="TTF60" s="2"/>
      <c r="TTG60" s="2"/>
      <c r="TTH60" s="2"/>
      <c r="TTI60" s="2"/>
      <c r="TTJ60" s="2"/>
      <c r="TTK60" s="2"/>
      <c r="TTL60" s="2"/>
      <c r="TTM60" s="2"/>
      <c r="TTN60" s="2"/>
      <c r="TTO60" s="2"/>
      <c r="TTP60" s="2"/>
      <c r="TTQ60" s="2"/>
      <c r="TTR60" s="2"/>
      <c r="TTS60" s="2"/>
      <c r="TTT60" s="2"/>
      <c r="TTU60" s="2"/>
      <c r="TTV60" s="2"/>
      <c r="TTW60" s="2"/>
      <c r="TTX60" s="2"/>
      <c r="TTY60" s="2"/>
      <c r="TTZ60" s="2"/>
      <c r="TUA60" s="2"/>
      <c r="TUB60" s="2"/>
      <c r="TUC60" s="2"/>
      <c r="TUD60" s="2"/>
      <c r="TUE60" s="2"/>
      <c r="TUF60" s="2"/>
      <c r="TUG60" s="2"/>
      <c r="TUH60" s="2"/>
      <c r="TUI60" s="2"/>
      <c r="TUJ60" s="2"/>
      <c r="TUK60" s="2"/>
      <c r="TUL60" s="2"/>
      <c r="TUM60" s="2"/>
      <c r="TUN60" s="2"/>
      <c r="TUO60" s="2"/>
      <c r="TUP60" s="2"/>
      <c r="TUQ60" s="2"/>
      <c r="TUR60" s="2"/>
      <c r="TUS60" s="2"/>
      <c r="TUT60" s="2"/>
      <c r="TUU60" s="2"/>
      <c r="TUV60" s="2"/>
      <c r="TUW60" s="2"/>
      <c r="TUX60" s="2"/>
      <c r="TUY60" s="2"/>
      <c r="TUZ60" s="2"/>
      <c r="TVA60" s="2"/>
      <c r="TVB60" s="2"/>
      <c r="TVC60" s="2"/>
      <c r="TVD60" s="2"/>
      <c r="TVE60" s="2"/>
      <c r="TVF60" s="2"/>
      <c r="TVG60" s="2"/>
      <c r="TVH60" s="2"/>
      <c r="TVI60" s="2"/>
      <c r="TVJ60" s="2"/>
      <c r="TVK60" s="2"/>
      <c r="TVL60" s="2"/>
      <c r="TVM60" s="2"/>
      <c r="TVN60" s="2"/>
      <c r="TVO60" s="2"/>
      <c r="TVP60" s="2"/>
      <c r="TVQ60" s="2"/>
      <c r="TVR60" s="2"/>
      <c r="TVS60" s="2"/>
      <c r="TVT60" s="2"/>
      <c r="TVU60" s="2"/>
      <c r="TVV60" s="2"/>
      <c r="TVW60" s="2"/>
      <c r="TVX60" s="2"/>
      <c r="TVY60" s="2"/>
      <c r="TVZ60" s="2"/>
      <c r="TWA60" s="2"/>
      <c r="TWB60" s="2"/>
      <c r="TWC60" s="2"/>
      <c r="TWD60" s="2"/>
      <c r="TWE60" s="2"/>
      <c r="TWF60" s="2"/>
      <c r="TWG60" s="2"/>
      <c r="TWH60" s="2"/>
      <c r="TWI60" s="2"/>
      <c r="TWJ60" s="2"/>
      <c r="TWK60" s="2"/>
      <c r="TWL60" s="2"/>
      <c r="TWM60" s="2"/>
      <c r="TWN60" s="2"/>
      <c r="TWO60" s="2"/>
      <c r="TWP60" s="2"/>
      <c r="TWQ60" s="2"/>
      <c r="TWR60" s="2"/>
      <c r="TWS60" s="2"/>
      <c r="TWT60" s="2"/>
      <c r="TWU60" s="2"/>
      <c r="TWV60" s="2"/>
      <c r="TWW60" s="2"/>
      <c r="TWX60" s="2"/>
      <c r="TWY60" s="2"/>
      <c r="TWZ60" s="2"/>
      <c r="TXA60" s="2"/>
      <c r="TXB60" s="2"/>
      <c r="TXC60" s="2"/>
      <c r="TXD60" s="2"/>
      <c r="TXE60" s="2"/>
      <c r="TXF60" s="2"/>
      <c r="TXG60" s="2"/>
      <c r="TXH60" s="2"/>
      <c r="TXI60" s="2"/>
      <c r="TXJ60" s="2"/>
      <c r="TXK60" s="2"/>
      <c r="TXL60" s="2"/>
      <c r="TXM60" s="2"/>
      <c r="TXN60" s="2"/>
      <c r="TXO60" s="2"/>
      <c r="TXP60" s="2"/>
      <c r="TXQ60" s="2"/>
      <c r="TXR60" s="2"/>
      <c r="TXS60" s="2"/>
      <c r="TXT60" s="2"/>
      <c r="TXU60" s="2"/>
      <c r="TXV60" s="2"/>
      <c r="TXW60" s="2"/>
      <c r="TXX60" s="2"/>
      <c r="TXY60" s="2"/>
      <c r="TXZ60" s="2"/>
      <c r="TYA60" s="2"/>
      <c r="TYB60" s="2"/>
      <c r="TYC60" s="2"/>
      <c r="TYD60" s="2"/>
      <c r="TYE60" s="2"/>
      <c r="TYF60" s="2"/>
      <c r="TYG60" s="2"/>
      <c r="TYH60" s="2"/>
      <c r="TYI60" s="2"/>
      <c r="TYJ60" s="2"/>
      <c r="TYK60" s="2"/>
      <c r="TYL60" s="2"/>
      <c r="TYM60" s="2"/>
      <c r="TYN60" s="2"/>
      <c r="TYO60" s="2"/>
      <c r="TYP60" s="2"/>
      <c r="TYQ60" s="2"/>
      <c r="TYR60" s="2"/>
      <c r="TYS60" s="2"/>
      <c r="TYT60" s="2"/>
      <c r="TYU60" s="2"/>
      <c r="TYV60" s="2"/>
      <c r="TYW60" s="2"/>
      <c r="TYX60" s="2"/>
      <c r="TYY60" s="2"/>
      <c r="TYZ60" s="2"/>
      <c r="TZA60" s="2"/>
      <c r="TZB60" s="2"/>
      <c r="TZC60" s="2"/>
      <c r="TZD60" s="2"/>
      <c r="TZE60" s="2"/>
      <c r="TZF60" s="2"/>
      <c r="TZG60" s="2"/>
      <c r="TZH60" s="2"/>
      <c r="TZI60" s="2"/>
      <c r="TZJ60" s="2"/>
      <c r="TZK60" s="2"/>
      <c r="TZL60" s="2"/>
      <c r="TZM60" s="2"/>
      <c r="TZN60" s="2"/>
      <c r="TZO60" s="2"/>
      <c r="TZP60" s="2"/>
      <c r="TZQ60" s="2"/>
      <c r="TZR60" s="2"/>
      <c r="TZS60" s="2"/>
      <c r="TZT60" s="2"/>
      <c r="TZU60" s="2"/>
      <c r="TZV60" s="2"/>
      <c r="TZW60" s="2"/>
      <c r="TZX60" s="2"/>
      <c r="TZY60" s="2"/>
      <c r="TZZ60" s="2"/>
      <c r="UAA60" s="2"/>
      <c r="UAB60" s="2"/>
      <c r="UAC60" s="2"/>
      <c r="UAD60" s="2"/>
      <c r="UAE60" s="2"/>
      <c r="UAF60" s="2"/>
      <c r="UAG60" s="2"/>
      <c r="UAH60" s="2"/>
      <c r="UAI60" s="2"/>
      <c r="UAJ60" s="2"/>
      <c r="UAK60" s="2"/>
      <c r="UAL60" s="2"/>
      <c r="UAM60" s="2"/>
      <c r="UAN60" s="2"/>
      <c r="UAO60" s="2"/>
      <c r="UAP60" s="2"/>
      <c r="UAQ60" s="2"/>
      <c r="UAR60" s="2"/>
      <c r="UAS60" s="2"/>
      <c r="UAT60" s="2"/>
      <c r="UAU60" s="2"/>
      <c r="UAV60" s="2"/>
      <c r="UAW60" s="2"/>
      <c r="UAX60" s="2"/>
      <c r="UAY60" s="2"/>
      <c r="UAZ60" s="2"/>
      <c r="UBA60" s="2"/>
      <c r="UBB60" s="2"/>
      <c r="UBC60" s="2"/>
      <c r="UBD60" s="2"/>
      <c r="UBE60" s="2"/>
      <c r="UBF60" s="2"/>
      <c r="UBG60" s="2"/>
      <c r="UBH60" s="2"/>
      <c r="UBI60" s="2"/>
      <c r="UBJ60" s="2"/>
      <c r="UBK60" s="2"/>
      <c r="UBL60" s="2"/>
      <c r="UBM60" s="2"/>
      <c r="UBN60" s="2"/>
      <c r="UBO60" s="2"/>
      <c r="UBP60" s="2"/>
      <c r="UBQ60" s="2"/>
      <c r="UBR60" s="2"/>
      <c r="UBS60" s="2"/>
      <c r="UBT60" s="2"/>
      <c r="UBU60" s="2"/>
      <c r="UBV60" s="2"/>
      <c r="UBW60" s="2"/>
      <c r="UBX60" s="2"/>
      <c r="UBY60" s="2"/>
      <c r="UBZ60" s="2"/>
      <c r="UCA60" s="2"/>
      <c r="UCB60" s="2"/>
      <c r="UCC60" s="2"/>
      <c r="UCD60" s="2"/>
      <c r="UCE60" s="2"/>
      <c r="UCF60" s="2"/>
      <c r="UCG60" s="2"/>
      <c r="UCH60" s="2"/>
      <c r="UCI60" s="2"/>
      <c r="UCJ60" s="2"/>
      <c r="UCK60" s="2"/>
      <c r="UCL60" s="2"/>
      <c r="UCM60" s="2"/>
      <c r="UCN60" s="2"/>
      <c r="UCO60" s="2"/>
      <c r="UCP60" s="2"/>
      <c r="UCQ60" s="2"/>
      <c r="UCR60" s="2"/>
      <c r="UCS60" s="2"/>
      <c r="UCT60" s="2"/>
      <c r="UCU60" s="2"/>
      <c r="UCV60" s="2"/>
      <c r="UCW60" s="2"/>
      <c r="UCX60" s="2"/>
      <c r="UCY60" s="2"/>
      <c r="UCZ60" s="2"/>
      <c r="UDA60" s="2"/>
      <c r="UDB60" s="2"/>
      <c r="UDC60" s="2"/>
      <c r="UDD60" s="2"/>
      <c r="UDE60" s="2"/>
      <c r="UDF60" s="2"/>
      <c r="UDG60" s="2"/>
      <c r="UDH60" s="2"/>
      <c r="UDI60" s="2"/>
      <c r="UDJ60" s="2"/>
      <c r="UDK60" s="2"/>
      <c r="UDL60" s="2"/>
      <c r="UDM60" s="2"/>
      <c r="UDN60" s="2"/>
      <c r="UDO60" s="2"/>
      <c r="UDP60" s="2"/>
      <c r="UDQ60" s="2"/>
      <c r="UDR60" s="2"/>
      <c r="UDS60" s="2"/>
      <c r="UDT60" s="2"/>
      <c r="UDU60" s="2"/>
      <c r="UDV60" s="2"/>
      <c r="UDW60" s="2"/>
      <c r="UDX60" s="2"/>
      <c r="UDY60" s="2"/>
      <c r="UDZ60" s="2"/>
      <c r="UEA60" s="2"/>
      <c r="UEB60" s="2"/>
      <c r="UEC60" s="2"/>
      <c r="UED60" s="2"/>
      <c r="UEE60" s="2"/>
      <c r="UEF60" s="2"/>
      <c r="UEG60" s="2"/>
      <c r="UEH60" s="2"/>
      <c r="UEI60" s="2"/>
      <c r="UEJ60" s="2"/>
      <c r="UEK60" s="2"/>
      <c r="UEL60" s="2"/>
      <c r="UEM60" s="2"/>
      <c r="UEN60" s="2"/>
      <c r="UEO60" s="2"/>
      <c r="UEP60" s="2"/>
      <c r="UEQ60" s="2"/>
      <c r="UER60" s="2"/>
      <c r="UES60" s="2"/>
      <c r="UET60" s="2"/>
      <c r="UEU60" s="2"/>
      <c r="UEV60" s="2"/>
      <c r="UEW60" s="2"/>
      <c r="UEX60" s="2"/>
      <c r="UEY60" s="2"/>
      <c r="UEZ60" s="2"/>
      <c r="UFA60" s="2"/>
      <c r="UFB60" s="2"/>
      <c r="UFC60" s="2"/>
      <c r="UFD60" s="2"/>
      <c r="UFE60" s="2"/>
      <c r="UFF60" s="2"/>
      <c r="UFG60" s="2"/>
      <c r="UFH60" s="2"/>
      <c r="UFI60" s="2"/>
      <c r="UFJ60" s="2"/>
      <c r="UFK60" s="2"/>
      <c r="UFL60" s="2"/>
      <c r="UFM60" s="2"/>
      <c r="UFN60" s="2"/>
      <c r="UFO60" s="2"/>
      <c r="UFP60" s="2"/>
      <c r="UFQ60" s="2"/>
      <c r="UFR60" s="2"/>
      <c r="UFS60" s="2"/>
      <c r="UFT60" s="2"/>
      <c r="UFU60" s="2"/>
      <c r="UFV60" s="2"/>
      <c r="UFW60" s="2"/>
      <c r="UFX60" s="2"/>
      <c r="UFY60" s="2"/>
      <c r="UFZ60" s="2"/>
      <c r="UGA60" s="2"/>
      <c r="UGB60" s="2"/>
      <c r="UGC60" s="2"/>
      <c r="UGD60" s="2"/>
      <c r="UGE60" s="2"/>
      <c r="UGF60" s="2"/>
      <c r="UGG60" s="2"/>
      <c r="UGH60" s="2"/>
      <c r="UGI60" s="2"/>
      <c r="UGJ60" s="2"/>
      <c r="UGK60" s="2"/>
      <c r="UGL60" s="2"/>
      <c r="UGM60" s="2"/>
      <c r="UGN60" s="2"/>
      <c r="UGO60" s="2"/>
      <c r="UGP60" s="2"/>
      <c r="UGQ60" s="2"/>
      <c r="UGR60" s="2"/>
      <c r="UGS60" s="2"/>
      <c r="UGT60" s="2"/>
      <c r="UGU60" s="2"/>
      <c r="UGV60" s="2"/>
      <c r="UGW60" s="2"/>
      <c r="UGX60" s="2"/>
      <c r="UGY60" s="2"/>
      <c r="UGZ60" s="2"/>
      <c r="UHA60" s="2"/>
      <c r="UHB60" s="2"/>
      <c r="UHC60" s="2"/>
      <c r="UHD60" s="2"/>
      <c r="UHE60" s="2"/>
      <c r="UHF60" s="2"/>
      <c r="UHG60" s="2"/>
      <c r="UHH60" s="2"/>
      <c r="UHI60" s="2"/>
      <c r="UHJ60" s="2"/>
      <c r="UHK60" s="2"/>
      <c r="UHL60" s="2"/>
      <c r="UHM60" s="2"/>
      <c r="UHN60" s="2"/>
      <c r="UHO60" s="2"/>
      <c r="UHP60" s="2"/>
      <c r="UHQ60" s="2"/>
      <c r="UHR60" s="2"/>
      <c r="UHS60" s="2"/>
      <c r="UHT60" s="2"/>
      <c r="UHU60" s="2"/>
      <c r="UHV60" s="2"/>
      <c r="UHW60" s="2"/>
      <c r="UHX60" s="2"/>
      <c r="UHY60" s="2"/>
      <c r="UHZ60" s="2"/>
      <c r="UIA60" s="2"/>
      <c r="UIB60" s="2"/>
      <c r="UIC60" s="2"/>
      <c r="UID60" s="2"/>
      <c r="UIE60" s="2"/>
      <c r="UIF60" s="2"/>
      <c r="UIG60" s="2"/>
      <c r="UIH60" s="2"/>
      <c r="UII60" s="2"/>
      <c r="UIJ60" s="2"/>
      <c r="UIK60" s="2"/>
      <c r="UIL60" s="2"/>
      <c r="UIM60" s="2"/>
      <c r="UIN60" s="2"/>
      <c r="UIO60" s="2"/>
      <c r="UIP60" s="2"/>
      <c r="UIQ60" s="2"/>
      <c r="UIR60" s="2"/>
      <c r="UIS60" s="2"/>
      <c r="UIT60" s="2"/>
      <c r="UIU60" s="2"/>
      <c r="UIV60" s="2"/>
      <c r="UIW60" s="2"/>
      <c r="UIX60" s="2"/>
      <c r="UIY60" s="2"/>
      <c r="UIZ60" s="2"/>
      <c r="UJA60" s="2"/>
      <c r="UJB60" s="2"/>
      <c r="UJC60" s="2"/>
      <c r="UJD60" s="2"/>
      <c r="UJE60" s="2"/>
      <c r="UJF60" s="2"/>
      <c r="UJG60" s="2"/>
      <c r="UJH60" s="2"/>
      <c r="UJI60" s="2"/>
      <c r="UJJ60" s="2"/>
      <c r="UJK60" s="2"/>
      <c r="UJL60" s="2"/>
      <c r="UJM60" s="2"/>
      <c r="UJN60" s="2"/>
      <c r="UJO60" s="2"/>
      <c r="UJP60" s="2"/>
      <c r="UJQ60" s="2"/>
      <c r="UJR60" s="2"/>
      <c r="UJS60" s="2"/>
      <c r="UJT60" s="2"/>
      <c r="UJU60" s="2"/>
      <c r="UJV60" s="2"/>
      <c r="UJW60" s="2"/>
      <c r="UJX60" s="2"/>
      <c r="UJY60" s="2"/>
      <c r="UJZ60" s="2"/>
      <c r="UKA60" s="2"/>
      <c r="UKB60" s="2"/>
      <c r="UKC60" s="2"/>
      <c r="UKD60" s="2"/>
      <c r="UKE60" s="2"/>
      <c r="UKF60" s="2"/>
      <c r="UKG60" s="2"/>
      <c r="UKH60" s="2"/>
      <c r="UKI60" s="2"/>
      <c r="UKJ60" s="2"/>
      <c r="UKK60" s="2"/>
      <c r="UKL60" s="2"/>
      <c r="UKM60" s="2"/>
      <c r="UKN60" s="2"/>
      <c r="UKO60" s="2"/>
      <c r="UKP60" s="2"/>
      <c r="UKQ60" s="2"/>
      <c r="UKR60" s="2"/>
      <c r="UKS60" s="2"/>
      <c r="UKT60" s="2"/>
      <c r="UKU60" s="2"/>
      <c r="UKV60" s="2"/>
      <c r="UKW60" s="2"/>
      <c r="UKX60" s="2"/>
      <c r="UKY60" s="2"/>
      <c r="UKZ60" s="2"/>
      <c r="ULA60" s="2"/>
      <c r="ULB60" s="2"/>
      <c r="ULC60" s="2"/>
      <c r="ULD60" s="2"/>
      <c r="ULE60" s="2"/>
      <c r="ULF60" s="2"/>
      <c r="ULG60" s="2"/>
      <c r="ULH60" s="2"/>
      <c r="ULI60" s="2"/>
      <c r="ULJ60" s="2"/>
      <c r="ULK60" s="2"/>
      <c r="ULL60" s="2"/>
      <c r="ULM60" s="2"/>
      <c r="ULN60" s="2"/>
      <c r="ULO60" s="2"/>
      <c r="ULP60" s="2"/>
      <c r="ULQ60" s="2"/>
      <c r="ULR60" s="2"/>
      <c r="ULS60" s="2"/>
      <c r="ULT60" s="2"/>
      <c r="ULU60" s="2"/>
      <c r="ULV60" s="2"/>
      <c r="ULW60" s="2"/>
      <c r="ULX60" s="2"/>
      <c r="ULY60" s="2"/>
      <c r="ULZ60" s="2"/>
      <c r="UMA60" s="2"/>
      <c r="UMB60" s="2"/>
      <c r="UMC60" s="2"/>
      <c r="UMD60" s="2"/>
      <c r="UME60" s="2"/>
      <c r="UMF60" s="2"/>
      <c r="UMG60" s="2"/>
      <c r="UMH60" s="2"/>
      <c r="UMI60" s="2"/>
      <c r="UMJ60" s="2"/>
      <c r="UMK60" s="2"/>
      <c r="UML60" s="2"/>
      <c r="UMM60" s="2"/>
      <c r="UMN60" s="2"/>
      <c r="UMO60" s="2"/>
      <c r="UMP60" s="2"/>
      <c r="UMQ60" s="2"/>
      <c r="UMR60" s="2"/>
      <c r="UMS60" s="2"/>
      <c r="UMT60" s="2"/>
      <c r="UMU60" s="2"/>
      <c r="UMV60" s="2"/>
      <c r="UMW60" s="2"/>
      <c r="UMX60" s="2"/>
      <c r="UMY60" s="2"/>
      <c r="UMZ60" s="2"/>
      <c r="UNA60" s="2"/>
      <c r="UNB60" s="2"/>
      <c r="UNC60" s="2"/>
      <c r="UND60" s="2"/>
      <c r="UNE60" s="2"/>
      <c r="UNF60" s="2"/>
      <c r="UNG60" s="2"/>
      <c r="UNH60" s="2"/>
      <c r="UNI60" s="2"/>
      <c r="UNJ60" s="2"/>
      <c r="UNK60" s="2"/>
      <c r="UNL60" s="2"/>
      <c r="UNM60" s="2"/>
      <c r="UNN60" s="2"/>
      <c r="UNO60" s="2"/>
      <c r="UNP60" s="2"/>
      <c r="UNQ60" s="2"/>
      <c r="UNR60" s="2"/>
      <c r="UNS60" s="2"/>
      <c r="UNT60" s="2"/>
      <c r="UNU60" s="2"/>
      <c r="UNV60" s="2"/>
      <c r="UNW60" s="2"/>
      <c r="UNX60" s="2"/>
      <c r="UNY60" s="2"/>
      <c r="UNZ60" s="2"/>
      <c r="UOA60" s="2"/>
      <c r="UOB60" s="2"/>
      <c r="UOC60" s="2"/>
      <c r="UOD60" s="2"/>
      <c r="UOE60" s="2"/>
      <c r="UOF60" s="2"/>
      <c r="UOG60" s="2"/>
      <c r="UOH60" s="2"/>
      <c r="UOI60" s="2"/>
      <c r="UOJ60" s="2"/>
      <c r="UOK60" s="2"/>
      <c r="UOL60" s="2"/>
      <c r="UOM60" s="2"/>
      <c r="UON60" s="2"/>
      <c r="UOO60" s="2"/>
      <c r="UOP60" s="2"/>
      <c r="UOQ60" s="2"/>
      <c r="UOR60" s="2"/>
      <c r="UOS60" s="2"/>
      <c r="UOT60" s="2"/>
      <c r="UOU60" s="2"/>
      <c r="UOV60" s="2"/>
      <c r="UOW60" s="2"/>
      <c r="UOX60" s="2"/>
      <c r="UOY60" s="2"/>
      <c r="UOZ60" s="2"/>
      <c r="UPA60" s="2"/>
      <c r="UPB60" s="2"/>
      <c r="UPC60" s="2"/>
      <c r="UPD60" s="2"/>
      <c r="UPE60" s="2"/>
      <c r="UPF60" s="2"/>
      <c r="UPG60" s="2"/>
      <c r="UPH60" s="2"/>
      <c r="UPI60" s="2"/>
      <c r="UPJ60" s="2"/>
      <c r="UPK60" s="2"/>
      <c r="UPL60" s="2"/>
      <c r="UPM60" s="2"/>
      <c r="UPN60" s="2"/>
      <c r="UPO60" s="2"/>
      <c r="UPP60" s="2"/>
      <c r="UPQ60" s="2"/>
      <c r="UPR60" s="2"/>
      <c r="UPS60" s="2"/>
      <c r="UPT60" s="2"/>
      <c r="UPU60" s="2"/>
      <c r="UPV60" s="2"/>
      <c r="UPW60" s="2"/>
      <c r="UPX60" s="2"/>
      <c r="UPY60" s="2"/>
      <c r="UPZ60" s="2"/>
      <c r="UQA60" s="2"/>
      <c r="UQB60" s="2"/>
      <c r="UQC60" s="2"/>
      <c r="UQD60" s="2"/>
      <c r="UQE60" s="2"/>
      <c r="UQF60" s="2"/>
      <c r="UQG60" s="2"/>
      <c r="UQH60" s="2"/>
      <c r="UQI60" s="2"/>
      <c r="UQJ60" s="2"/>
      <c r="UQK60" s="2"/>
      <c r="UQL60" s="2"/>
      <c r="UQM60" s="2"/>
      <c r="UQN60" s="2"/>
      <c r="UQO60" s="2"/>
      <c r="UQP60" s="2"/>
      <c r="UQQ60" s="2"/>
      <c r="UQR60" s="2"/>
      <c r="UQS60" s="2"/>
      <c r="UQT60" s="2"/>
      <c r="UQU60" s="2"/>
      <c r="UQV60" s="2"/>
      <c r="UQW60" s="2"/>
      <c r="UQX60" s="2"/>
      <c r="UQY60" s="2"/>
      <c r="UQZ60" s="2"/>
      <c r="URA60" s="2"/>
      <c r="URB60" s="2"/>
      <c r="URC60" s="2"/>
      <c r="URD60" s="2"/>
      <c r="URE60" s="2"/>
      <c r="URF60" s="2"/>
      <c r="URG60" s="2"/>
      <c r="URH60" s="2"/>
      <c r="URI60" s="2"/>
      <c r="URJ60" s="2"/>
      <c r="URK60" s="2"/>
      <c r="URL60" s="2"/>
      <c r="URM60" s="2"/>
      <c r="URN60" s="2"/>
      <c r="URO60" s="2"/>
      <c r="URP60" s="2"/>
      <c r="URQ60" s="2"/>
      <c r="URR60" s="2"/>
      <c r="URS60" s="2"/>
      <c r="URT60" s="2"/>
      <c r="URU60" s="2"/>
      <c r="URV60" s="2"/>
      <c r="URW60" s="2"/>
      <c r="URX60" s="2"/>
      <c r="URY60" s="2"/>
      <c r="URZ60" s="2"/>
      <c r="USA60" s="2"/>
      <c r="USB60" s="2"/>
      <c r="USC60" s="2"/>
      <c r="USD60" s="2"/>
      <c r="USE60" s="2"/>
      <c r="USF60" s="2"/>
      <c r="USG60" s="2"/>
      <c r="USH60" s="2"/>
      <c r="USI60" s="2"/>
      <c r="USJ60" s="2"/>
      <c r="USK60" s="2"/>
      <c r="USL60" s="2"/>
      <c r="USM60" s="2"/>
      <c r="USN60" s="2"/>
      <c r="USO60" s="2"/>
      <c r="USP60" s="2"/>
      <c r="USQ60" s="2"/>
      <c r="USR60" s="2"/>
      <c r="USS60" s="2"/>
      <c r="UST60" s="2"/>
      <c r="USU60" s="2"/>
      <c r="USV60" s="2"/>
      <c r="USW60" s="2"/>
      <c r="USX60" s="2"/>
      <c r="USY60" s="2"/>
      <c r="USZ60" s="2"/>
      <c r="UTA60" s="2"/>
      <c r="UTB60" s="2"/>
      <c r="UTC60" s="2"/>
      <c r="UTD60" s="2"/>
      <c r="UTE60" s="2"/>
      <c r="UTF60" s="2"/>
      <c r="UTG60" s="2"/>
      <c r="UTH60" s="2"/>
      <c r="UTI60" s="2"/>
      <c r="UTJ60" s="2"/>
      <c r="UTK60" s="2"/>
      <c r="UTL60" s="2"/>
      <c r="UTM60" s="2"/>
      <c r="UTN60" s="2"/>
      <c r="UTO60" s="2"/>
      <c r="UTP60" s="2"/>
      <c r="UTQ60" s="2"/>
      <c r="UTR60" s="2"/>
      <c r="UTS60" s="2"/>
      <c r="UTT60" s="2"/>
      <c r="UTU60" s="2"/>
      <c r="UTV60" s="2"/>
      <c r="UTW60" s="2"/>
      <c r="UTX60" s="2"/>
      <c r="UTY60" s="2"/>
      <c r="UTZ60" s="2"/>
      <c r="UUA60" s="2"/>
      <c r="UUB60" s="2"/>
      <c r="UUC60" s="2"/>
      <c r="UUD60" s="2"/>
      <c r="UUE60" s="2"/>
      <c r="UUF60" s="2"/>
      <c r="UUG60" s="2"/>
      <c r="UUH60" s="2"/>
      <c r="UUI60" s="2"/>
      <c r="UUJ60" s="2"/>
      <c r="UUK60" s="2"/>
      <c r="UUL60" s="2"/>
      <c r="UUM60" s="2"/>
      <c r="UUN60" s="2"/>
      <c r="UUO60" s="2"/>
      <c r="UUP60" s="2"/>
      <c r="UUQ60" s="2"/>
      <c r="UUR60" s="2"/>
      <c r="UUS60" s="2"/>
      <c r="UUT60" s="2"/>
      <c r="UUU60" s="2"/>
      <c r="UUV60" s="2"/>
      <c r="UUW60" s="2"/>
      <c r="UUX60" s="2"/>
      <c r="UUY60" s="2"/>
      <c r="UUZ60" s="2"/>
      <c r="UVA60" s="2"/>
      <c r="UVB60" s="2"/>
      <c r="UVC60" s="2"/>
      <c r="UVD60" s="2"/>
      <c r="UVE60" s="2"/>
      <c r="UVF60" s="2"/>
      <c r="UVG60" s="2"/>
      <c r="UVH60" s="2"/>
      <c r="UVI60" s="2"/>
      <c r="UVJ60" s="2"/>
      <c r="UVK60" s="2"/>
      <c r="UVL60" s="2"/>
      <c r="UVM60" s="2"/>
      <c r="UVN60" s="2"/>
      <c r="UVO60" s="2"/>
      <c r="UVP60" s="2"/>
      <c r="UVQ60" s="2"/>
      <c r="UVR60" s="2"/>
      <c r="UVS60" s="2"/>
      <c r="UVT60" s="2"/>
      <c r="UVU60" s="2"/>
      <c r="UVV60" s="2"/>
      <c r="UVW60" s="2"/>
      <c r="UVX60" s="2"/>
      <c r="UVY60" s="2"/>
      <c r="UVZ60" s="2"/>
      <c r="UWA60" s="2"/>
      <c r="UWB60" s="2"/>
      <c r="UWC60" s="2"/>
      <c r="UWD60" s="2"/>
      <c r="UWE60" s="2"/>
      <c r="UWF60" s="2"/>
      <c r="UWG60" s="2"/>
      <c r="UWH60" s="2"/>
      <c r="UWI60" s="2"/>
      <c r="UWJ60" s="2"/>
      <c r="UWK60" s="2"/>
      <c r="UWL60" s="2"/>
      <c r="UWM60" s="2"/>
      <c r="UWN60" s="2"/>
      <c r="UWO60" s="2"/>
      <c r="UWP60" s="2"/>
      <c r="UWQ60" s="2"/>
      <c r="UWR60" s="2"/>
      <c r="UWS60" s="2"/>
      <c r="UWT60" s="2"/>
      <c r="UWU60" s="2"/>
      <c r="UWV60" s="2"/>
      <c r="UWW60" s="2"/>
      <c r="UWX60" s="2"/>
      <c r="UWY60" s="2"/>
      <c r="UWZ60" s="2"/>
      <c r="UXA60" s="2"/>
      <c r="UXB60" s="2"/>
      <c r="UXC60" s="2"/>
      <c r="UXD60" s="2"/>
      <c r="UXE60" s="2"/>
      <c r="UXF60" s="2"/>
      <c r="UXG60" s="2"/>
      <c r="UXH60" s="2"/>
      <c r="UXI60" s="2"/>
      <c r="UXJ60" s="2"/>
      <c r="UXK60" s="2"/>
      <c r="UXL60" s="2"/>
      <c r="UXM60" s="2"/>
      <c r="UXN60" s="2"/>
      <c r="UXO60" s="2"/>
      <c r="UXP60" s="2"/>
      <c r="UXQ60" s="2"/>
      <c r="UXR60" s="2"/>
      <c r="UXS60" s="2"/>
      <c r="UXT60" s="2"/>
      <c r="UXU60" s="2"/>
      <c r="UXV60" s="2"/>
      <c r="UXW60" s="2"/>
      <c r="UXX60" s="2"/>
      <c r="UXY60" s="2"/>
      <c r="UXZ60" s="2"/>
      <c r="UYA60" s="2"/>
      <c r="UYB60" s="2"/>
      <c r="UYC60" s="2"/>
      <c r="UYD60" s="2"/>
      <c r="UYE60" s="2"/>
      <c r="UYF60" s="2"/>
      <c r="UYG60" s="2"/>
      <c r="UYH60" s="2"/>
      <c r="UYI60" s="2"/>
      <c r="UYJ60" s="2"/>
      <c r="UYK60" s="2"/>
      <c r="UYL60" s="2"/>
      <c r="UYM60" s="2"/>
      <c r="UYN60" s="2"/>
      <c r="UYO60" s="2"/>
      <c r="UYP60" s="2"/>
      <c r="UYQ60" s="2"/>
      <c r="UYR60" s="2"/>
      <c r="UYS60" s="2"/>
      <c r="UYT60" s="2"/>
      <c r="UYU60" s="2"/>
      <c r="UYV60" s="2"/>
      <c r="UYW60" s="2"/>
      <c r="UYX60" s="2"/>
      <c r="UYY60" s="2"/>
      <c r="UYZ60" s="2"/>
      <c r="UZA60" s="2"/>
      <c r="UZB60" s="2"/>
      <c r="UZC60" s="2"/>
      <c r="UZD60" s="2"/>
      <c r="UZE60" s="2"/>
      <c r="UZF60" s="2"/>
      <c r="UZG60" s="2"/>
      <c r="UZH60" s="2"/>
      <c r="UZI60" s="2"/>
      <c r="UZJ60" s="2"/>
      <c r="UZK60" s="2"/>
      <c r="UZL60" s="2"/>
      <c r="UZM60" s="2"/>
      <c r="UZN60" s="2"/>
      <c r="UZO60" s="2"/>
      <c r="UZP60" s="2"/>
      <c r="UZQ60" s="2"/>
      <c r="UZR60" s="2"/>
      <c r="UZS60" s="2"/>
      <c r="UZT60" s="2"/>
      <c r="UZU60" s="2"/>
      <c r="UZV60" s="2"/>
      <c r="UZW60" s="2"/>
      <c r="UZX60" s="2"/>
      <c r="UZY60" s="2"/>
      <c r="UZZ60" s="2"/>
      <c r="VAA60" s="2"/>
      <c r="VAB60" s="2"/>
      <c r="VAC60" s="2"/>
      <c r="VAD60" s="2"/>
      <c r="VAE60" s="2"/>
      <c r="VAF60" s="2"/>
      <c r="VAG60" s="2"/>
      <c r="VAH60" s="2"/>
      <c r="VAI60" s="2"/>
      <c r="VAJ60" s="2"/>
      <c r="VAK60" s="2"/>
      <c r="VAL60" s="2"/>
      <c r="VAM60" s="2"/>
      <c r="VAN60" s="2"/>
      <c r="VAO60" s="2"/>
      <c r="VAP60" s="2"/>
      <c r="VAQ60" s="2"/>
      <c r="VAR60" s="2"/>
      <c r="VAS60" s="2"/>
      <c r="VAT60" s="2"/>
      <c r="VAU60" s="2"/>
      <c r="VAV60" s="2"/>
      <c r="VAW60" s="2"/>
      <c r="VAX60" s="2"/>
      <c r="VAY60" s="2"/>
      <c r="VAZ60" s="2"/>
      <c r="VBA60" s="2"/>
      <c r="VBB60" s="2"/>
      <c r="VBC60" s="2"/>
      <c r="VBD60" s="2"/>
      <c r="VBE60" s="2"/>
      <c r="VBF60" s="2"/>
      <c r="VBG60" s="2"/>
      <c r="VBH60" s="2"/>
      <c r="VBI60" s="2"/>
      <c r="VBJ60" s="2"/>
      <c r="VBK60" s="2"/>
      <c r="VBL60" s="2"/>
      <c r="VBM60" s="2"/>
      <c r="VBN60" s="2"/>
      <c r="VBO60" s="2"/>
      <c r="VBP60" s="2"/>
      <c r="VBQ60" s="2"/>
      <c r="VBR60" s="2"/>
      <c r="VBS60" s="2"/>
      <c r="VBT60" s="2"/>
      <c r="VBU60" s="2"/>
      <c r="VBV60" s="2"/>
      <c r="VBW60" s="2"/>
      <c r="VBX60" s="2"/>
      <c r="VBY60" s="2"/>
      <c r="VBZ60" s="2"/>
      <c r="VCA60" s="2"/>
      <c r="VCB60" s="2"/>
      <c r="VCC60" s="2"/>
      <c r="VCD60" s="2"/>
      <c r="VCE60" s="2"/>
      <c r="VCF60" s="2"/>
      <c r="VCG60" s="2"/>
      <c r="VCH60" s="2"/>
      <c r="VCI60" s="2"/>
      <c r="VCJ60" s="2"/>
      <c r="VCK60" s="2"/>
      <c r="VCL60" s="2"/>
      <c r="VCM60" s="2"/>
      <c r="VCN60" s="2"/>
      <c r="VCO60" s="2"/>
      <c r="VCP60" s="2"/>
      <c r="VCQ60" s="2"/>
      <c r="VCR60" s="2"/>
      <c r="VCS60" s="2"/>
      <c r="VCT60" s="2"/>
      <c r="VCU60" s="2"/>
      <c r="VCV60" s="2"/>
      <c r="VCW60" s="2"/>
      <c r="VCX60" s="2"/>
      <c r="VCY60" s="2"/>
      <c r="VCZ60" s="2"/>
      <c r="VDA60" s="2"/>
      <c r="VDB60" s="2"/>
      <c r="VDC60" s="2"/>
      <c r="VDD60" s="2"/>
      <c r="VDE60" s="2"/>
      <c r="VDF60" s="2"/>
      <c r="VDG60" s="2"/>
      <c r="VDH60" s="2"/>
      <c r="VDI60" s="2"/>
      <c r="VDJ60" s="2"/>
      <c r="VDK60" s="2"/>
      <c r="VDL60" s="2"/>
      <c r="VDM60" s="2"/>
      <c r="VDN60" s="2"/>
      <c r="VDO60" s="2"/>
      <c r="VDP60" s="2"/>
      <c r="VDQ60" s="2"/>
      <c r="VDR60" s="2"/>
      <c r="VDS60" s="2"/>
      <c r="VDT60" s="2"/>
      <c r="VDU60" s="2"/>
      <c r="VDV60" s="2"/>
      <c r="VDW60" s="2"/>
      <c r="VDX60" s="2"/>
      <c r="VDY60" s="2"/>
      <c r="VDZ60" s="2"/>
      <c r="VEA60" s="2"/>
      <c r="VEB60" s="2"/>
      <c r="VEC60" s="2"/>
      <c r="VED60" s="2"/>
      <c r="VEE60" s="2"/>
      <c r="VEF60" s="2"/>
      <c r="VEG60" s="2"/>
      <c r="VEH60" s="2"/>
      <c r="VEI60" s="2"/>
      <c r="VEJ60" s="2"/>
      <c r="VEK60" s="2"/>
      <c r="VEL60" s="2"/>
      <c r="VEM60" s="2"/>
      <c r="VEN60" s="2"/>
      <c r="VEO60" s="2"/>
      <c r="VEP60" s="2"/>
      <c r="VEQ60" s="2"/>
      <c r="VER60" s="2"/>
      <c r="VES60" s="2"/>
      <c r="VET60" s="2"/>
      <c r="VEU60" s="2"/>
      <c r="VEV60" s="2"/>
      <c r="VEW60" s="2"/>
      <c r="VEX60" s="2"/>
      <c r="VEY60" s="2"/>
      <c r="VEZ60" s="2"/>
      <c r="VFA60" s="2"/>
      <c r="VFB60" s="2"/>
      <c r="VFC60" s="2"/>
      <c r="VFD60" s="2"/>
      <c r="VFE60" s="2"/>
      <c r="VFF60" s="2"/>
      <c r="VFG60" s="2"/>
      <c r="VFH60" s="2"/>
      <c r="VFI60" s="2"/>
      <c r="VFJ60" s="2"/>
      <c r="VFK60" s="2"/>
      <c r="VFL60" s="2"/>
      <c r="VFM60" s="2"/>
      <c r="VFN60" s="2"/>
      <c r="VFO60" s="2"/>
      <c r="VFP60" s="2"/>
      <c r="VFQ60" s="2"/>
      <c r="VFR60" s="2"/>
      <c r="VFS60" s="2"/>
      <c r="VFT60" s="2"/>
      <c r="VFU60" s="2"/>
      <c r="VFV60" s="2"/>
      <c r="VFW60" s="2"/>
      <c r="VFX60" s="2"/>
      <c r="VFY60" s="2"/>
      <c r="VFZ60" s="2"/>
      <c r="VGA60" s="2"/>
      <c r="VGB60" s="2"/>
      <c r="VGC60" s="2"/>
      <c r="VGD60" s="2"/>
      <c r="VGE60" s="2"/>
      <c r="VGF60" s="2"/>
      <c r="VGG60" s="2"/>
      <c r="VGH60" s="2"/>
      <c r="VGI60" s="2"/>
      <c r="VGJ60" s="2"/>
      <c r="VGK60" s="2"/>
      <c r="VGL60" s="2"/>
      <c r="VGM60" s="2"/>
      <c r="VGN60" s="2"/>
      <c r="VGO60" s="2"/>
      <c r="VGP60" s="2"/>
      <c r="VGQ60" s="2"/>
      <c r="VGR60" s="2"/>
      <c r="VGS60" s="2"/>
      <c r="VGT60" s="2"/>
      <c r="VGU60" s="2"/>
      <c r="VGV60" s="2"/>
      <c r="VGW60" s="2"/>
      <c r="VGX60" s="2"/>
      <c r="VGY60" s="2"/>
      <c r="VGZ60" s="2"/>
      <c r="VHA60" s="2"/>
      <c r="VHB60" s="2"/>
      <c r="VHC60" s="2"/>
      <c r="VHD60" s="2"/>
      <c r="VHE60" s="2"/>
      <c r="VHF60" s="2"/>
      <c r="VHG60" s="2"/>
      <c r="VHH60" s="2"/>
      <c r="VHI60" s="2"/>
      <c r="VHJ60" s="2"/>
      <c r="VHK60" s="2"/>
      <c r="VHL60" s="2"/>
      <c r="VHM60" s="2"/>
      <c r="VHN60" s="2"/>
      <c r="VHO60" s="2"/>
      <c r="VHP60" s="2"/>
      <c r="VHQ60" s="2"/>
      <c r="VHR60" s="2"/>
      <c r="VHS60" s="2"/>
      <c r="VHT60" s="2"/>
      <c r="VHU60" s="2"/>
      <c r="VHV60" s="2"/>
      <c r="VHW60" s="2"/>
      <c r="VHX60" s="2"/>
      <c r="VHY60" s="2"/>
      <c r="VHZ60" s="2"/>
      <c r="VIA60" s="2"/>
      <c r="VIB60" s="2"/>
      <c r="VIC60" s="2"/>
      <c r="VID60" s="2"/>
      <c r="VIE60" s="2"/>
      <c r="VIF60" s="2"/>
      <c r="VIG60" s="2"/>
      <c r="VIH60" s="2"/>
      <c r="VII60" s="2"/>
      <c r="VIJ60" s="2"/>
      <c r="VIK60" s="2"/>
      <c r="VIL60" s="2"/>
      <c r="VIM60" s="2"/>
      <c r="VIN60" s="2"/>
      <c r="VIO60" s="2"/>
      <c r="VIP60" s="2"/>
      <c r="VIQ60" s="2"/>
      <c r="VIR60" s="2"/>
      <c r="VIS60" s="2"/>
      <c r="VIT60" s="2"/>
      <c r="VIU60" s="2"/>
      <c r="VIV60" s="2"/>
      <c r="VIW60" s="2"/>
      <c r="VIX60" s="2"/>
      <c r="VIY60" s="2"/>
      <c r="VIZ60" s="2"/>
      <c r="VJA60" s="2"/>
      <c r="VJB60" s="2"/>
      <c r="VJC60" s="2"/>
      <c r="VJD60" s="2"/>
      <c r="VJE60" s="2"/>
      <c r="VJF60" s="2"/>
      <c r="VJG60" s="2"/>
      <c r="VJH60" s="2"/>
      <c r="VJI60" s="2"/>
      <c r="VJJ60" s="2"/>
      <c r="VJK60" s="2"/>
      <c r="VJL60" s="2"/>
      <c r="VJM60" s="2"/>
      <c r="VJN60" s="2"/>
      <c r="VJO60" s="2"/>
      <c r="VJP60" s="2"/>
      <c r="VJQ60" s="2"/>
      <c r="VJR60" s="2"/>
      <c r="VJS60" s="2"/>
      <c r="VJT60" s="2"/>
      <c r="VJU60" s="2"/>
      <c r="VJV60" s="2"/>
      <c r="VJW60" s="2"/>
      <c r="VJX60" s="2"/>
      <c r="VJY60" s="2"/>
      <c r="VJZ60" s="2"/>
      <c r="VKA60" s="2"/>
      <c r="VKB60" s="2"/>
      <c r="VKC60" s="2"/>
      <c r="VKD60" s="2"/>
      <c r="VKE60" s="2"/>
      <c r="VKF60" s="2"/>
      <c r="VKG60" s="2"/>
      <c r="VKH60" s="2"/>
      <c r="VKI60" s="2"/>
      <c r="VKJ60" s="2"/>
      <c r="VKK60" s="2"/>
      <c r="VKL60" s="2"/>
      <c r="VKM60" s="2"/>
      <c r="VKN60" s="2"/>
      <c r="VKO60" s="2"/>
      <c r="VKP60" s="2"/>
      <c r="VKQ60" s="2"/>
      <c r="VKR60" s="2"/>
      <c r="VKS60" s="2"/>
      <c r="VKT60" s="2"/>
      <c r="VKU60" s="2"/>
      <c r="VKV60" s="2"/>
      <c r="VKW60" s="2"/>
      <c r="VKX60" s="2"/>
      <c r="VKY60" s="2"/>
      <c r="VKZ60" s="2"/>
      <c r="VLA60" s="2"/>
      <c r="VLB60" s="2"/>
      <c r="VLC60" s="2"/>
      <c r="VLD60" s="2"/>
      <c r="VLE60" s="2"/>
      <c r="VLF60" s="2"/>
      <c r="VLG60" s="2"/>
      <c r="VLH60" s="2"/>
      <c r="VLI60" s="2"/>
      <c r="VLJ60" s="2"/>
      <c r="VLK60" s="2"/>
      <c r="VLL60" s="2"/>
      <c r="VLM60" s="2"/>
      <c r="VLN60" s="2"/>
      <c r="VLO60" s="2"/>
      <c r="VLP60" s="2"/>
      <c r="VLQ60" s="2"/>
      <c r="VLR60" s="2"/>
      <c r="VLS60" s="2"/>
      <c r="VLT60" s="2"/>
      <c r="VLU60" s="2"/>
      <c r="VLV60" s="2"/>
      <c r="VLW60" s="2"/>
      <c r="VLX60" s="2"/>
      <c r="VLY60" s="2"/>
      <c r="VLZ60" s="2"/>
      <c r="VMA60" s="2"/>
      <c r="VMB60" s="2"/>
      <c r="VMC60" s="2"/>
      <c r="VMD60" s="2"/>
      <c r="VME60" s="2"/>
      <c r="VMF60" s="2"/>
      <c r="VMG60" s="2"/>
      <c r="VMH60" s="2"/>
      <c r="VMI60" s="2"/>
      <c r="VMJ60" s="2"/>
      <c r="VMK60" s="2"/>
      <c r="VML60" s="2"/>
      <c r="VMM60" s="2"/>
      <c r="VMN60" s="2"/>
      <c r="VMO60" s="2"/>
      <c r="VMP60" s="2"/>
      <c r="VMQ60" s="2"/>
      <c r="VMR60" s="2"/>
      <c r="VMS60" s="2"/>
      <c r="VMT60" s="2"/>
      <c r="VMU60" s="2"/>
      <c r="VMV60" s="2"/>
      <c r="VMW60" s="2"/>
      <c r="VMX60" s="2"/>
      <c r="VMY60" s="2"/>
      <c r="VMZ60" s="2"/>
      <c r="VNA60" s="2"/>
      <c r="VNB60" s="2"/>
      <c r="VNC60" s="2"/>
      <c r="VND60" s="2"/>
      <c r="VNE60" s="2"/>
      <c r="VNF60" s="2"/>
      <c r="VNG60" s="2"/>
      <c r="VNH60" s="2"/>
      <c r="VNI60" s="2"/>
      <c r="VNJ60" s="2"/>
      <c r="VNK60" s="2"/>
      <c r="VNL60" s="2"/>
      <c r="VNM60" s="2"/>
      <c r="VNN60" s="2"/>
      <c r="VNO60" s="2"/>
      <c r="VNP60" s="2"/>
      <c r="VNQ60" s="2"/>
      <c r="VNR60" s="2"/>
      <c r="VNS60" s="2"/>
      <c r="VNT60" s="2"/>
      <c r="VNU60" s="2"/>
      <c r="VNV60" s="2"/>
      <c r="VNW60" s="2"/>
      <c r="VNX60" s="2"/>
      <c r="VNY60" s="2"/>
      <c r="VNZ60" s="2"/>
      <c r="VOA60" s="2"/>
      <c r="VOB60" s="2"/>
      <c r="VOC60" s="2"/>
      <c r="VOD60" s="2"/>
      <c r="VOE60" s="2"/>
      <c r="VOF60" s="2"/>
      <c r="VOG60" s="2"/>
      <c r="VOH60" s="2"/>
      <c r="VOI60" s="2"/>
      <c r="VOJ60" s="2"/>
      <c r="VOK60" s="2"/>
      <c r="VOL60" s="2"/>
      <c r="VOM60" s="2"/>
      <c r="VON60" s="2"/>
      <c r="VOO60" s="2"/>
      <c r="VOP60" s="2"/>
      <c r="VOQ60" s="2"/>
      <c r="VOR60" s="2"/>
      <c r="VOS60" s="2"/>
      <c r="VOT60" s="2"/>
      <c r="VOU60" s="2"/>
      <c r="VOV60" s="2"/>
      <c r="VOW60" s="2"/>
      <c r="VOX60" s="2"/>
      <c r="VOY60" s="2"/>
      <c r="VOZ60" s="2"/>
      <c r="VPA60" s="2"/>
      <c r="VPB60" s="2"/>
      <c r="VPC60" s="2"/>
      <c r="VPD60" s="2"/>
      <c r="VPE60" s="2"/>
      <c r="VPF60" s="2"/>
      <c r="VPG60" s="2"/>
      <c r="VPH60" s="2"/>
      <c r="VPI60" s="2"/>
      <c r="VPJ60" s="2"/>
      <c r="VPK60" s="2"/>
      <c r="VPL60" s="2"/>
      <c r="VPM60" s="2"/>
      <c r="VPN60" s="2"/>
      <c r="VPO60" s="2"/>
      <c r="VPP60" s="2"/>
      <c r="VPQ60" s="2"/>
      <c r="VPR60" s="2"/>
      <c r="VPS60" s="2"/>
      <c r="VPT60" s="2"/>
      <c r="VPU60" s="2"/>
      <c r="VPV60" s="2"/>
      <c r="VPW60" s="2"/>
      <c r="VPX60" s="2"/>
      <c r="VPY60" s="2"/>
      <c r="VPZ60" s="2"/>
      <c r="VQA60" s="2"/>
      <c r="VQB60" s="2"/>
      <c r="VQC60" s="2"/>
      <c r="VQD60" s="2"/>
      <c r="VQE60" s="2"/>
      <c r="VQF60" s="2"/>
      <c r="VQG60" s="2"/>
      <c r="VQH60" s="2"/>
      <c r="VQI60" s="2"/>
      <c r="VQJ60" s="2"/>
      <c r="VQK60" s="2"/>
      <c r="VQL60" s="2"/>
      <c r="VQM60" s="2"/>
      <c r="VQN60" s="2"/>
      <c r="VQO60" s="2"/>
      <c r="VQP60" s="2"/>
      <c r="VQQ60" s="2"/>
      <c r="VQR60" s="2"/>
      <c r="VQS60" s="2"/>
      <c r="VQT60" s="2"/>
      <c r="VQU60" s="2"/>
      <c r="VQV60" s="2"/>
      <c r="VQW60" s="2"/>
      <c r="VQX60" s="2"/>
      <c r="VQY60" s="2"/>
      <c r="VQZ60" s="2"/>
      <c r="VRA60" s="2"/>
      <c r="VRB60" s="2"/>
      <c r="VRC60" s="2"/>
      <c r="VRD60" s="2"/>
      <c r="VRE60" s="2"/>
      <c r="VRF60" s="2"/>
      <c r="VRG60" s="2"/>
      <c r="VRH60" s="2"/>
      <c r="VRI60" s="2"/>
      <c r="VRJ60" s="2"/>
      <c r="VRK60" s="2"/>
      <c r="VRL60" s="2"/>
      <c r="VRM60" s="2"/>
      <c r="VRN60" s="2"/>
      <c r="VRO60" s="2"/>
      <c r="VRP60" s="2"/>
      <c r="VRQ60" s="2"/>
      <c r="VRR60" s="2"/>
      <c r="VRS60" s="2"/>
      <c r="VRT60" s="2"/>
      <c r="VRU60" s="2"/>
      <c r="VRV60" s="2"/>
      <c r="VRW60" s="2"/>
      <c r="VRX60" s="2"/>
      <c r="VRY60" s="2"/>
      <c r="VRZ60" s="2"/>
      <c r="VSA60" s="2"/>
      <c r="VSB60" s="2"/>
      <c r="VSC60" s="2"/>
      <c r="VSD60" s="2"/>
      <c r="VSE60" s="2"/>
      <c r="VSF60" s="2"/>
      <c r="VSG60" s="2"/>
      <c r="VSH60" s="2"/>
      <c r="VSI60" s="2"/>
      <c r="VSJ60" s="2"/>
      <c r="VSK60" s="2"/>
      <c r="VSL60" s="2"/>
      <c r="VSM60" s="2"/>
      <c r="VSN60" s="2"/>
      <c r="VSO60" s="2"/>
      <c r="VSP60" s="2"/>
      <c r="VSQ60" s="2"/>
      <c r="VSR60" s="2"/>
      <c r="VSS60" s="2"/>
      <c r="VST60" s="2"/>
      <c r="VSU60" s="2"/>
      <c r="VSV60" s="2"/>
      <c r="VSW60" s="2"/>
      <c r="VSX60" s="2"/>
      <c r="VSY60" s="2"/>
      <c r="VSZ60" s="2"/>
      <c r="VTA60" s="2"/>
      <c r="VTB60" s="2"/>
      <c r="VTC60" s="2"/>
      <c r="VTD60" s="2"/>
      <c r="VTE60" s="2"/>
      <c r="VTF60" s="2"/>
      <c r="VTG60" s="2"/>
      <c r="VTH60" s="2"/>
      <c r="VTI60" s="2"/>
      <c r="VTJ60" s="2"/>
      <c r="VTK60" s="2"/>
      <c r="VTL60" s="2"/>
      <c r="VTM60" s="2"/>
      <c r="VTN60" s="2"/>
      <c r="VTO60" s="2"/>
      <c r="VTP60" s="2"/>
      <c r="VTQ60" s="2"/>
      <c r="VTR60" s="2"/>
      <c r="VTS60" s="2"/>
      <c r="VTT60" s="2"/>
      <c r="VTU60" s="2"/>
      <c r="VTV60" s="2"/>
      <c r="VTW60" s="2"/>
      <c r="VTX60" s="2"/>
      <c r="VTY60" s="2"/>
      <c r="VTZ60" s="2"/>
      <c r="VUA60" s="2"/>
      <c r="VUB60" s="2"/>
      <c r="VUC60" s="2"/>
      <c r="VUD60" s="2"/>
      <c r="VUE60" s="2"/>
      <c r="VUF60" s="2"/>
      <c r="VUG60" s="2"/>
      <c r="VUH60" s="2"/>
      <c r="VUI60" s="2"/>
      <c r="VUJ60" s="2"/>
      <c r="VUK60" s="2"/>
      <c r="VUL60" s="2"/>
      <c r="VUM60" s="2"/>
      <c r="VUN60" s="2"/>
      <c r="VUO60" s="2"/>
      <c r="VUP60" s="2"/>
      <c r="VUQ60" s="2"/>
      <c r="VUR60" s="2"/>
      <c r="VUS60" s="2"/>
      <c r="VUT60" s="2"/>
      <c r="VUU60" s="2"/>
      <c r="VUV60" s="2"/>
      <c r="VUW60" s="2"/>
      <c r="VUX60" s="2"/>
      <c r="VUY60" s="2"/>
      <c r="VUZ60" s="2"/>
      <c r="VVA60" s="2"/>
      <c r="VVB60" s="2"/>
      <c r="VVC60" s="2"/>
      <c r="VVD60" s="2"/>
      <c r="VVE60" s="2"/>
      <c r="VVF60" s="2"/>
      <c r="VVG60" s="2"/>
      <c r="VVH60" s="2"/>
      <c r="VVI60" s="2"/>
      <c r="VVJ60" s="2"/>
      <c r="VVK60" s="2"/>
      <c r="VVL60" s="2"/>
      <c r="VVM60" s="2"/>
      <c r="VVN60" s="2"/>
      <c r="VVO60" s="2"/>
      <c r="VVP60" s="2"/>
      <c r="VVQ60" s="2"/>
      <c r="VVR60" s="2"/>
      <c r="VVS60" s="2"/>
      <c r="VVT60" s="2"/>
      <c r="VVU60" s="2"/>
      <c r="VVV60" s="2"/>
      <c r="VVW60" s="2"/>
      <c r="VVX60" s="2"/>
      <c r="VVY60" s="2"/>
      <c r="VVZ60" s="2"/>
      <c r="VWA60" s="2"/>
      <c r="VWB60" s="2"/>
      <c r="VWC60" s="2"/>
      <c r="VWD60" s="2"/>
      <c r="VWE60" s="2"/>
      <c r="VWF60" s="2"/>
      <c r="VWG60" s="2"/>
      <c r="VWH60" s="2"/>
      <c r="VWI60" s="2"/>
      <c r="VWJ60" s="2"/>
      <c r="VWK60" s="2"/>
      <c r="VWL60" s="2"/>
      <c r="VWM60" s="2"/>
      <c r="VWN60" s="2"/>
      <c r="VWO60" s="2"/>
      <c r="VWP60" s="2"/>
      <c r="VWQ60" s="2"/>
      <c r="VWR60" s="2"/>
      <c r="VWS60" s="2"/>
      <c r="VWT60" s="2"/>
      <c r="VWU60" s="2"/>
      <c r="VWV60" s="2"/>
      <c r="VWW60" s="2"/>
      <c r="VWX60" s="2"/>
      <c r="VWY60" s="2"/>
      <c r="VWZ60" s="2"/>
      <c r="VXA60" s="2"/>
      <c r="VXB60" s="2"/>
      <c r="VXC60" s="2"/>
      <c r="VXD60" s="2"/>
      <c r="VXE60" s="2"/>
      <c r="VXF60" s="2"/>
      <c r="VXG60" s="2"/>
      <c r="VXH60" s="2"/>
      <c r="VXI60" s="2"/>
      <c r="VXJ60" s="2"/>
      <c r="VXK60" s="2"/>
      <c r="VXL60" s="2"/>
      <c r="VXM60" s="2"/>
      <c r="VXN60" s="2"/>
      <c r="VXO60" s="2"/>
      <c r="VXP60" s="2"/>
      <c r="VXQ60" s="2"/>
      <c r="VXR60" s="2"/>
      <c r="VXS60" s="2"/>
      <c r="VXT60" s="2"/>
      <c r="VXU60" s="2"/>
      <c r="VXV60" s="2"/>
      <c r="VXW60" s="2"/>
      <c r="VXX60" s="2"/>
      <c r="VXY60" s="2"/>
      <c r="VXZ60" s="2"/>
      <c r="VYA60" s="2"/>
      <c r="VYB60" s="2"/>
      <c r="VYC60" s="2"/>
      <c r="VYD60" s="2"/>
      <c r="VYE60" s="2"/>
      <c r="VYF60" s="2"/>
      <c r="VYG60" s="2"/>
      <c r="VYH60" s="2"/>
      <c r="VYI60" s="2"/>
      <c r="VYJ60" s="2"/>
      <c r="VYK60" s="2"/>
      <c r="VYL60" s="2"/>
      <c r="VYM60" s="2"/>
      <c r="VYN60" s="2"/>
      <c r="VYO60" s="2"/>
      <c r="VYP60" s="2"/>
      <c r="VYQ60" s="2"/>
      <c r="VYR60" s="2"/>
      <c r="VYS60" s="2"/>
      <c r="VYT60" s="2"/>
      <c r="VYU60" s="2"/>
      <c r="VYV60" s="2"/>
      <c r="VYW60" s="2"/>
      <c r="VYX60" s="2"/>
      <c r="VYY60" s="2"/>
      <c r="VYZ60" s="2"/>
      <c r="VZA60" s="2"/>
      <c r="VZB60" s="2"/>
      <c r="VZC60" s="2"/>
      <c r="VZD60" s="2"/>
      <c r="VZE60" s="2"/>
      <c r="VZF60" s="2"/>
      <c r="VZG60" s="2"/>
      <c r="VZH60" s="2"/>
      <c r="VZI60" s="2"/>
      <c r="VZJ60" s="2"/>
      <c r="VZK60" s="2"/>
      <c r="VZL60" s="2"/>
      <c r="VZM60" s="2"/>
      <c r="VZN60" s="2"/>
      <c r="VZO60" s="2"/>
      <c r="VZP60" s="2"/>
      <c r="VZQ60" s="2"/>
      <c r="VZR60" s="2"/>
      <c r="VZS60" s="2"/>
      <c r="VZT60" s="2"/>
      <c r="VZU60" s="2"/>
      <c r="VZV60" s="2"/>
      <c r="VZW60" s="2"/>
      <c r="VZX60" s="2"/>
      <c r="VZY60" s="2"/>
      <c r="VZZ60" s="2"/>
      <c r="WAA60" s="2"/>
      <c r="WAB60" s="2"/>
      <c r="WAC60" s="2"/>
      <c r="WAD60" s="2"/>
      <c r="WAE60" s="2"/>
      <c r="WAF60" s="2"/>
      <c r="WAG60" s="2"/>
      <c r="WAH60" s="2"/>
      <c r="WAI60" s="2"/>
      <c r="WAJ60" s="2"/>
      <c r="WAK60" s="2"/>
      <c r="WAL60" s="2"/>
      <c r="WAM60" s="2"/>
      <c r="WAN60" s="2"/>
      <c r="WAO60" s="2"/>
      <c r="WAP60" s="2"/>
      <c r="WAQ60" s="2"/>
      <c r="WAR60" s="2"/>
      <c r="WAS60" s="2"/>
      <c r="WAT60" s="2"/>
      <c r="WAU60" s="2"/>
      <c r="WAV60" s="2"/>
      <c r="WAW60" s="2"/>
      <c r="WAX60" s="2"/>
      <c r="WAY60" s="2"/>
      <c r="WAZ60" s="2"/>
      <c r="WBA60" s="2"/>
      <c r="WBB60" s="2"/>
      <c r="WBC60" s="2"/>
      <c r="WBD60" s="2"/>
      <c r="WBE60" s="2"/>
      <c r="WBF60" s="2"/>
      <c r="WBG60" s="2"/>
      <c r="WBH60" s="2"/>
      <c r="WBI60" s="2"/>
      <c r="WBJ60" s="2"/>
      <c r="WBK60" s="2"/>
      <c r="WBL60" s="2"/>
      <c r="WBM60" s="2"/>
      <c r="WBN60" s="2"/>
      <c r="WBO60" s="2"/>
      <c r="WBP60" s="2"/>
      <c r="WBQ60" s="2"/>
      <c r="WBR60" s="2"/>
      <c r="WBS60" s="2"/>
      <c r="WBT60" s="2"/>
      <c r="WBU60" s="2"/>
      <c r="WBV60" s="2"/>
      <c r="WBW60" s="2"/>
      <c r="WBX60" s="2"/>
      <c r="WBY60" s="2"/>
      <c r="WBZ60" s="2"/>
      <c r="WCA60" s="2"/>
      <c r="WCB60" s="2"/>
      <c r="WCC60" s="2"/>
      <c r="WCD60" s="2"/>
      <c r="WCE60" s="2"/>
      <c r="WCF60" s="2"/>
      <c r="WCG60" s="2"/>
      <c r="WCH60" s="2"/>
      <c r="WCI60" s="2"/>
      <c r="WCJ60" s="2"/>
      <c r="WCK60" s="2"/>
      <c r="WCL60" s="2"/>
      <c r="WCM60" s="2"/>
      <c r="WCN60" s="2"/>
      <c r="WCO60" s="2"/>
      <c r="WCP60" s="2"/>
      <c r="WCQ60" s="2"/>
      <c r="WCR60" s="2"/>
      <c r="WCS60" s="2"/>
      <c r="WCT60" s="2"/>
      <c r="WCU60" s="2"/>
      <c r="WCV60" s="2"/>
      <c r="WCW60" s="2"/>
      <c r="WCX60" s="2"/>
      <c r="WCY60" s="2"/>
      <c r="WCZ60" s="2"/>
      <c r="WDA60" s="2"/>
      <c r="WDB60" s="2"/>
      <c r="WDC60" s="2"/>
      <c r="WDD60" s="2"/>
      <c r="WDE60" s="2"/>
      <c r="WDF60" s="2"/>
      <c r="WDG60" s="2"/>
      <c r="WDH60" s="2"/>
      <c r="WDI60" s="2"/>
      <c r="WDJ60" s="2"/>
      <c r="WDK60" s="2"/>
      <c r="WDL60" s="2"/>
      <c r="WDM60" s="2"/>
      <c r="WDN60" s="2"/>
      <c r="WDO60" s="2"/>
      <c r="WDP60" s="2"/>
      <c r="WDQ60" s="2"/>
      <c r="WDR60" s="2"/>
      <c r="WDS60" s="2"/>
      <c r="WDT60" s="2"/>
      <c r="WDU60" s="2"/>
      <c r="WDV60" s="2"/>
      <c r="WDW60" s="2"/>
      <c r="WDX60" s="2"/>
      <c r="WDY60" s="2"/>
      <c r="WDZ60" s="2"/>
      <c r="WEA60" s="2"/>
      <c r="WEB60" s="2"/>
      <c r="WEC60" s="2"/>
      <c r="WED60" s="2"/>
      <c r="WEE60" s="2"/>
      <c r="WEF60" s="2"/>
      <c r="WEG60" s="2"/>
      <c r="WEH60" s="2"/>
      <c r="WEI60" s="2"/>
      <c r="WEJ60" s="2"/>
      <c r="WEK60" s="2"/>
      <c r="WEL60" s="2"/>
      <c r="WEM60" s="2"/>
      <c r="WEN60" s="2"/>
      <c r="WEO60" s="2"/>
      <c r="WEP60" s="2"/>
      <c r="WEQ60" s="2"/>
      <c r="WER60" s="2"/>
      <c r="WES60" s="2"/>
      <c r="WET60" s="2"/>
      <c r="WEU60" s="2"/>
      <c r="WEV60" s="2"/>
      <c r="WEW60" s="2"/>
      <c r="WEX60" s="2"/>
      <c r="WEY60" s="2"/>
      <c r="WEZ60" s="2"/>
      <c r="WFA60" s="2"/>
      <c r="WFB60" s="2"/>
      <c r="WFC60" s="2"/>
      <c r="WFD60" s="2"/>
      <c r="WFE60" s="2"/>
      <c r="WFF60" s="2"/>
      <c r="WFG60" s="2"/>
      <c r="WFH60" s="2"/>
      <c r="WFI60" s="2"/>
      <c r="WFJ60" s="2"/>
      <c r="WFK60" s="2"/>
      <c r="WFL60" s="2"/>
      <c r="WFM60" s="2"/>
      <c r="WFN60" s="2"/>
      <c r="WFO60" s="2"/>
      <c r="WFP60" s="2"/>
      <c r="WFQ60" s="2"/>
      <c r="WFR60" s="2"/>
      <c r="WFS60" s="2"/>
      <c r="WFT60" s="2"/>
      <c r="WFU60" s="2"/>
      <c r="WFV60" s="2"/>
      <c r="WFW60" s="2"/>
      <c r="WFX60" s="2"/>
      <c r="WFY60" s="2"/>
      <c r="WFZ60" s="2"/>
      <c r="WGA60" s="2"/>
      <c r="WGB60" s="2"/>
      <c r="WGC60" s="2"/>
      <c r="WGD60" s="2"/>
      <c r="WGE60" s="2"/>
      <c r="WGF60" s="2"/>
      <c r="WGG60" s="2"/>
      <c r="WGH60" s="2"/>
      <c r="WGI60" s="2"/>
      <c r="WGJ60" s="2"/>
      <c r="WGK60" s="2"/>
      <c r="WGL60" s="2"/>
      <c r="WGM60" s="2"/>
      <c r="WGN60" s="2"/>
      <c r="WGO60" s="2"/>
      <c r="WGP60" s="2"/>
      <c r="WGQ60" s="2"/>
      <c r="WGR60" s="2"/>
      <c r="WGS60" s="2"/>
      <c r="WGT60" s="2"/>
      <c r="WGU60" s="2"/>
      <c r="WGV60" s="2"/>
      <c r="WGW60" s="2"/>
      <c r="WGX60" s="2"/>
      <c r="WGY60" s="2"/>
      <c r="WGZ60" s="2"/>
      <c r="WHA60" s="2"/>
      <c r="WHB60" s="2"/>
      <c r="WHC60" s="2"/>
      <c r="WHD60" s="2"/>
      <c r="WHE60" s="2"/>
      <c r="WHF60" s="2"/>
      <c r="WHG60" s="2"/>
      <c r="WHH60" s="2"/>
      <c r="WHI60" s="2"/>
      <c r="WHJ60" s="2"/>
      <c r="WHK60" s="2"/>
      <c r="WHL60" s="2"/>
      <c r="WHM60" s="2"/>
      <c r="WHN60" s="2"/>
      <c r="WHO60" s="2"/>
      <c r="WHP60" s="2"/>
      <c r="WHQ60" s="2"/>
      <c r="WHR60" s="2"/>
      <c r="WHS60" s="2"/>
      <c r="WHT60" s="2"/>
      <c r="WHU60" s="2"/>
      <c r="WHV60" s="2"/>
      <c r="WHW60" s="2"/>
      <c r="WHX60" s="2"/>
      <c r="WHY60" s="2"/>
      <c r="WHZ60" s="2"/>
      <c r="WIA60" s="2"/>
      <c r="WIB60" s="2"/>
      <c r="WIC60" s="2"/>
      <c r="WID60" s="2"/>
      <c r="WIE60" s="2"/>
      <c r="WIF60" s="2"/>
      <c r="WIG60" s="2"/>
      <c r="WIH60" s="2"/>
      <c r="WII60" s="2"/>
      <c r="WIJ60" s="2"/>
      <c r="WIK60" s="2"/>
      <c r="WIL60" s="2"/>
      <c r="WIM60" s="2"/>
      <c r="WIN60" s="2"/>
      <c r="WIO60" s="2"/>
      <c r="WIP60" s="2"/>
      <c r="WIQ60" s="2"/>
      <c r="WIR60" s="2"/>
      <c r="WIS60" s="2"/>
      <c r="WIT60" s="2"/>
      <c r="WIU60" s="2"/>
      <c r="WIV60" s="2"/>
      <c r="WIW60" s="2"/>
      <c r="WIX60" s="2"/>
      <c r="WIY60" s="2"/>
      <c r="WIZ60" s="2"/>
      <c r="WJA60" s="2"/>
      <c r="WJB60" s="2"/>
      <c r="WJC60" s="2"/>
      <c r="WJD60" s="2"/>
      <c r="WJE60" s="2"/>
      <c r="WJF60" s="2"/>
      <c r="WJG60" s="2"/>
      <c r="WJH60" s="2"/>
      <c r="WJI60" s="2"/>
      <c r="WJJ60" s="2"/>
      <c r="WJK60" s="2"/>
      <c r="WJL60" s="2"/>
      <c r="WJM60" s="2"/>
      <c r="WJN60" s="2"/>
      <c r="WJO60" s="2"/>
      <c r="WJP60" s="2"/>
      <c r="WJQ60" s="2"/>
      <c r="WJR60" s="2"/>
      <c r="WJS60" s="2"/>
      <c r="WJT60" s="2"/>
      <c r="WJU60" s="2"/>
      <c r="WJV60" s="2"/>
      <c r="WJW60" s="2"/>
      <c r="WJX60" s="2"/>
      <c r="WJY60" s="2"/>
      <c r="WJZ60" s="2"/>
      <c r="WKA60" s="2"/>
      <c r="WKB60" s="2"/>
      <c r="WKC60" s="2"/>
      <c r="WKD60" s="2"/>
      <c r="WKE60" s="2"/>
      <c r="WKF60" s="2"/>
      <c r="WKG60" s="2"/>
      <c r="WKH60" s="2"/>
      <c r="WKI60" s="2"/>
      <c r="WKJ60" s="2"/>
      <c r="WKK60" s="2"/>
      <c r="WKL60" s="2"/>
      <c r="WKM60" s="2"/>
      <c r="WKN60" s="2"/>
      <c r="WKO60" s="2"/>
      <c r="WKP60" s="2"/>
      <c r="WKQ60" s="2"/>
      <c r="WKR60" s="2"/>
      <c r="WKS60" s="2"/>
      <c r="WKT60" s="2"/>
      <c r="WKU60" s="2"/>
      <c r="WKV60" s="2"/>
      <c r="WKW60" s="2"/>
      <c r="WKX60" s="2"/>
      <c r="WKY60" s="2"/>
      <c r="WKZ60" s="2"/>
      <c r="WLA60" s="2"/>
      <c r="WLB60" s="2"/>
      <c r="WLC60" s="2"/>
      <c r="WLD60" s="2"/>
      <c r="WLE60" s="2"/>
      <c r="WLF60" s="2"/>
      <c r="WLG60" s="2"/>
      <c r="WLH60" s="2"/>
      <c r="WLI60" s="2"/>
      <c r="WLJ60" s="2"/>
      <c r="WLK60" s="2"/>
      <c r="WLL60" s="2"/>
      <c r="WLM60" s="2"/>
      <c r="WLN60" s="2"/>
      <c r="WLO60" s="2"/>
      <c r="WLP60" s="2"/>
      <c r="WLQ60" s="2"/>
      <c r="WLR60" s="2"/>
      <c r="WLS60" s="2"/>
      <c r="WLT60" s="2"/>
      <c r="WLU60" s="2"/>
      <c r="WLV60" s="2"/>
      <c r="WLW60" s="2"/>
      <c r="WLX60" s="2"/>
      <c r="WLY60" s="2"/>
      <c r="WLZ60" s="2"/>
      <c r="WMA60" s="2"/>
      <c r="WMB60" s="2"/>
      <c r="WMC60" s="2"/>
      <c r="WMD60" s="2"/>
      <c r="WME60" s="2"/>
      <c r="WMF60" s="2"/>
      <c r="WMG60" s="2"/>
      <c r="WMH60" s="2"/>
      <c r="WMI60" s="2"/>
      <c r="WMJ60" s="2"/>
      <c r="WMK60" s="2"/>
      <c r="WML60" s="2"/>
      <c r="WMM60" s="2"/>
      <c r="WMN60" s="2"/>
      <c r="WMO60" s="2"/>
      <c r="WMP60" s="2"/>
      <c r="WMQ60" s="2"/>
      <c r="WMR60" s="2"/>
      <c r="WMS60" s="2"/>
      <c r="WMT60" s="2"/>
      <c r="WMU60" s="2"/>
      <c r="WMV60" s="2"/>
      <c r="WMW60" s="2"/>
      <c r="WMX60" s="2"/>
      <c r="WMY60" s="2"/>
      <c r="WMZ60" s="2"/>
      <c r="WNA60" s="2"/>
      <c r="WNB60" s="2"/>
      <c r="WNC60" s="2"/>
      <c r="WND60" s="2"/>
      <c r="WNE60" s="2"/>
      <c r="WNF60" s="2"/>
      <c r="WNG60" s="2"/>
      <c r="WNH60" s="2"/>
      <c r="WNI60" s="2"/>
      <c r="WNJ60" s="2"/>
      <c r="WNK60" s="2"/>
      <c r="WNL60" s="2"/>
      <c r="WNM60" s="2"/>
      <c r="WNN60" s="2"/>
      <c r="WNO60" s="2"/>
      <c r="WNP60" s="2"/>
      <c r="WNQ60" s="2"/>
      <c r="WNR60" s="2"/>
      <c r="WNS60" s="2"/>
      <c r="WNT60" s="2"/>
      <c r="WNU60" s="2"/>
      <c r="WNV60" s="2"/>
      <c r="WNW60" s="2"/>
      <c r="WNX60" s="2"/>
      <c r="WNY60" s="2"/>
      <c r="WNZ60" s="2"/>
      <c r="WOA60" s="2"/>
      <c r="WOB60" s="2"/>
      <c r="WOC60" s="2"/>
      <c r="WOD60" s="2"/>
      <c r="WOE60" s="2"/>
      <c r="WOF60" s="2"/>
      <c r="WOG60" s="2"/>
      <c r="WOH60" s="2"/>
      <c r="WOI60" s="2"/>
      <c r="WOJ60" s="2"/>
      <c r="WOK60" s="2"/>
      <c r="WOL60" s="2"/>
      <c r="WOM60" s="2"/>
      <c r="WON60" s="2"/>
      <c r="WOO60" s="2"/>
      <c r="WOP60" s="2"/>
      <c r="WOQ60" s="2"/>
      <c r="WOR60" s="2"/>
      <c r="WOS60" s="2"/>
      <c r="WOT60" s="2"/>
      <c r="WOU60" s="2"/>
      <c r="WOV60" s="2"/>
      <c r="WOW60" s="2"/>
      <c r="WOX60" s="2"/>
      <c r="WOY60" s="2"/>
      <c r="WOZ60" s="2"/>
      <c r="WPA60" s="2"/>
      <c r="WPB60" s="2"/>
      <c r="WPC60" s="2"/>
      <c r="WPD60" s="2"/>
      <c r="WPE60" s="2"/>
      <c r="WPF60" s="2"/>
      <c r="WPG60" s="2"/>
      <c r="WPH60" s="2"/>
      <c r="WPI60" s="2"/>
      <c r="WPJ60" s="2"/>
      <c r="WPK60" s="2"/>
      <c r="WPL60" s="2"/>
      <c r="WPM60" s="2"/>
      <c r="WPN60" s="2"/>
      <c r="WPO60" s="2"/>
      <c r="WPP60" s="2"/>
      <c r="WPQ60" s="2"/>
      <c r="WPR60" s="2"/>
      <c r="WPS60" s="2"/>
      <c r="WPT60" s="2"/>
      <c r="WPU60" s="2"/>
      <c r="WPV60" s="2"/>
      <c r="WPW60" s="2"/>
      <c r="WPX60" s="2"/>
      <c r="WPY60" s="2"/>
      <c r="WPZ60" s="2"/>
      <c r="WQA60" s="2"/>
      <c r="WQB60" s="2"/>
      <c r="WQC60" s="2"/>
      <c r="WQD60" s="2"/>
      <c r="WQE60" s="2"/>
      <c r="WQF60" s="2"/>
      <c r="WQG60" s="2"/>
      <c r="WQH60" s="2"/>
      <c r="WQI60" s="2"/>
      <c r="WQJ60" s="2"/>
      <c r="WQK60" s="2"/>
      <c r="WQL60" s="2"/>
      <c r="WQM60" s="2"/>
      <c r="WQN60" s="2"/>
      <c r="WQO60" s="2"/>
      <c r="WQP60" s="2"/>
      <c r="WQQ60" s="2"/>
      <c r="WQR60" s="2"/>
      <c r="WQS60" s="2"/>
      <c r="WQT60" s="2"/>
      <c r="WQU60" s="2"/>
      <c r="WQV60" s="2"/>
      <c r="WQW60" s="2"/>
      <c r="WQX60" s="2"/>
      <c r="WQY60" s="2"/>
      <c r="WQZ60" s="2"/>
      <c r="WRA60" s="2"/>
      <c r="WRB60" s="2"/>
      <c r="WRC60" s="2"/>
      <c r="WRD60" s="2"/>
      <c r="WRE60" s="2"/>
      <c r="WRF60" s="2"/>
      <c r="WRG60" s="2"/>
      <c r="WRH60" s="2"/>
      <c r="WRI60" s="2"/>
      <c r="WRJ60" s="2"/>
      <c r="WRK60" s="2"/>
      <c r="WRL60" s="2"/>
      <c r="WRM60" s="2"/>
      <c r="WRN60" s="2"/>
      <c r="WRO60" s="2"/>
      <c r="WRP60" s="2"/>
      <c r="WRQ60" s="2"/>
      <c r="WRR60" s="2"/>
      <c r="WRS60" s="2"/>
      <c r="WRT60" s="2"/>
      <c r="WRU60" s="2"/>
      <c r="WRV60" s="2"/>
      <c r="WRW60" s="2"/>
      <c r="WRX60" s="2"/>
      <c r="WRY60" s="2"/>
      <c r="WRZ60" s="2"/>
      <c r="WSA60" s="2"/>
      <c r="WSB60" s="2"/>
      <c r="WSC60" s="2"/>
      <c r="WSD60" s="2"/>
      <c r="WSE60" s="2"/>
      <c r="WSF60" s="2"/>
      <c r="WSG60" s="2"/>
      <c r="WSH60" s="2"/>
      <c r="WSI60" s="2"/>
      <c r="WSJ60" s="2"/>
      <c r="WSK60" s="2"/>
      <c r="WSL60" s="2"/>
      <c r="WSM60" s="2"/>
      <c r="WSN60" s="2"/>
      <c r="WSO60" s="2"/>
      <c r="WSP60" s="2"/>
      <c r="WSQ60" s="2"/>
      <c r="WSR60" s="2"/>
      <c r="WSS60" s="2"/>
      <c r="WST60" s="2"/>
      <c r="WSU60" s="2"/>
      <c r="WSV60" s="2"/>
      <c r="WSW60" s="2"/>
      <c r="WSX60" s="2"/>
      <c r="WSY60" s="2"/>
      <c r="WSZ60" s="2"/>
      <c r="WTA60" s="2"/>
      <c r="WTB60" s="2"/>
      <c r="WTC60" s="2"/>
      <c r="WTD60" s="2"/>
      <c r="WTE60" s="2"/>
      <c r="WTF60" s="2"/>
      <c r="WTG60" s="2"/>
      <c r="WTH60" s="2"/>
      <c r="WTI60" s="2"/>
      <c r="WTJ60" s="2"/>
      <c r="WTK60" s="2"/>
      <c r="WTL60" s="2"/>
      <c r="WTM60" s="2"/>
      <c r="WTN60" s="2"/>
      <c r="WTO60" s="2"/>
      <c r="WTP60" s="2"/>
      <c r="WTQ60" s="2"/>
      <c r="WTR60" s="2"/>
      <c r="WTS60" s="2"/>
      <c r="WTT60" s="2"/>
      <c r="WTU60" s="2"/>
      <c r="WTV60" s="2"/>
      <c r="WTW60" s="2"/>
      <c r="WTX60" s="2"/>
      <c r="WTY60" s="2"/>
      <c r="WTZ60" s="2"/>
      <c r="WUA60" s="2"/>
      <c r="WUB60" s="2"/>
      <c r="WUC60" s="2"/>
      <c r="WUD60" s="2"/>
      <c r="WUE60" s="2"/>
      <c r="WUF60" s="2"/>
      <c r="WUG60" s="2"/>
      <c r="WUH60" s="2"/>
      <c r="WUI60" s="2"/>
      <c r="WUJ60" s="2"/>
      <c r="WUK60" s="2"/>
      <c r="WUL60" s="2"/>
      <c r="WUM60" s="2"/>
      <c r="WUN60" s="2"/>
      <c r="WUO60" s="2"/>
      <c r="WUP60" s="2"/>
      <c r="WUQ60" s="2"/>
      <c r="WUR60" s="2"/>
      <c r="WUS60" s="2"/>
      <c r="WUT60" s="2"/>
      <c r="WUU60" s="2"/>
      <c r="WUV60" s="2"/>
      <c r="WUW60" s="2"/>
      <c r="WUX60" s="2"/>
      <c r="WUY60" s="2"/>
      <c r="WUZ60" s="2"/>
      <c r="WVA60" s="2"/>
      <c r="WVB60" s="2"/>
      <c r="WVC60" s="2"/>
      <c r="WVD60" s="2"/>
      <c r="WVE60" s="2"/>
      <c r="WVF60" s="2"/>
      <c r="WVG60" s="2"/>
      <c r="WVH60" s="2"/>
      <c r="WVI60" s="2"/>
      <c r="WVJ60" s="2"/>
      <c r="WVK60" s="2"/>
      <c r="WVL60" s="2"/>
      <c r="WVM60" s="2"/>
      <c r="WVN60" s="2"/>
      <c r="WVO60" s="2"/>
      <c r="WVP60" s="2"/>
      <c r="WVQ60" s="2"/>
      <c r="WVR60" s="2"/>
      <c r="WVS60" s="2"/>
      <c r="WVT60" s="2"/>
      <c r="WVU60" s="2"/>
      <c r="WVV60" s="2"/>
      <c r="WVW60" s="2"/>
      <c r="WVX60" s="2"/>
      <c r="WVY60" s="2"/>
      <c r="WVZ60" s="2"/>
      <c r="WWA60" s="2"/>
      <c r="WWB60" s="2"/>
      <c r="WWC60" s="2"/>
      <c r="WWD60" s="2"/>
      <c r="WWE60" s="2"/>
      <c r="WWF60" s="2"/>
      <c r="WWG60" s="2"/>
      <c r="WWH60" s="2"/>
      <c r="WWI60" s="2"/>
      <c r="WWJ60" s="2"/>
      <c r="WWK60" s="2"/>
      <c r="WWL60" s="2"/>
      <c r="WWM60" s="2"/>
      <c r="WWN60" s="2"/>
      <c r="WWO60" s="2"/>
      <c r="WWP60" s="2"/>
      <c r="WWQ60" s="2"/>
      <c r="WWR60" s="2"/>
      <c r="WWS60" s="2"/>
      <c r="WWT60" s="2"/>
      <c r="WWU60" s="2"/>
      <c r="WWV60" s="2"/>
      <c r="WWW60" s="2"/>
      <c r="WWX60" s="2"/>
      <c r="WWY60" s="2"/>
      <c r="WWZ60" s="2"/>
      <c r="WXA60" s="2"/>
      <c r="WXB60" s="2"/>
      <c r="WXC60" s="2"/>
      <c r="WXD60" s="2"/>
      <c r="WXE60" s="2"/>
      <c r="WXF60" s="2"/>
      <c r="WXG60" s="2"/>
      <c r="WXH60" s="2"/>
      <c r="WXI60" s="2"/>
      <c r="WXJ60" s="2"/>
      <c r="WXK60" s="2"/>
      <c r="WXL60" s="2"/>
      <c r="WXM60" s="2"/>
      <c r="WXN60" s="2"/>
      <c r="WXO60" s="2"/>
      <c r="WXP60" s="2"/>
      <c r="WXQ60" s="2"/>
      <c r="WXR60" s="2"/>
      <c r="WXS60" s="2"/>
      <c r="WXT60" s="2"/>
      <c r="WXU60" s="2"/>
      <c r="WXV60" s="2"/>
      <c r="WXW60" s="2"/>
      <c r="WXX60" s="2"/>
      <c r="WXY60" s="2"/>
      <c r="WXZ60" s="2"/>
      <c r="WYA60" s="2"/>
      <c r="WYB60" s="2"/>
      <c r="WYC60" s="2"/>
      <c r="WYD60" s="2"/>
      <c r="WYE60" s="2"/>
      <c r="WYF60" s="2"/>
      <c r="WYG60" s="2"/>
      <c r="WYH60" s="2"/>
      <c r="WYI60" s="2"/>
      <c r="WYJ60" s="2"/>
      <c r="WYK60" s="2"/>
      <c r="WYL60" s="2"/>
      <c r="WYM60" s="2"/>
      <c r="WYN60" s="2"/>
      <c r="WYO60" s="2"/>
      <c r="WYP60" s="2"/>
      <c r="WYQ60" s="2"/>
      <c r="WYR60" s="2"/>
      <c r="WYS60" s="2"/>
      <c r="WYT60" s="2"/>
      <c r="WYU60" s="2"/>
      <c r="WYV60" s="2"/>
      <c r="WYW60" s="2"/>
      <c r="WYX60" s="2"/>
      <c r="WYY60" s="2"/>
      <c r="WYZ60" s="2"/>
      <c r="WZA60" s="2"/>
      <c r="WZB60" s="2"/>
      <c r="WZC60" s="2"/>
      <c r="WZD60" s="2"/>
      <c r="WZE60" s="2"/>
      <c r="WZF60" s="2"/>
      <c r="WZG60" s="2"/>
      <c r="WZH60" s="2"/>
      <c r="WZI60" s="2"/>
      <c r="WZJ60" s="2"/>
      <c r="WZK60" s="2"/>
      <c r="WZL60" s="2"/>
      <c r="WZM60" s="2"/>
      <c r="WZN60" s="2"/>
      <c r="WZO60" s="2"/>
      <c r="WZP60" s="2"/>
      <c r="WZQ60" s="2"/>
      <c r="WZR60" s="2"/>
      <c r="WZS60" s="2"/>
      <c r="WZT60" s="2"/>
      <c r="WZU60" s="2"/>
      <c r="WZV60" s="2"/>
      <c r="WZW60" s="2"/>
      <c r="WZX60" s="2"/>
      <c r="WZY60" s="2"/>
      <c r="WZZ60" s="2"/>
      <c r="XAA60" s="2"/>
      <c r="XAB60" s="2"/>
      <c r="XAC60" s="2"/>
      <c r="XAD60" s="2"/>
      <c r="XAE60" s="2"/>
      <c r="XAF60" s="2"/>
      <c r="XAG60" s="2"/>
      <c r="XAH60" s="2"/>
      <c r="XAI60" s="2"/>
      <c r="XAJ60" s="2"/>
      <c r="XAK60" s="2"/>
      <c r="XAL60" s="2"/>
      <c r="XAM60" s="2"/>
      <c r="XAN60" s="2"/>
      <c r="XAO60" s="2"/>
      <c r="XAP60" s="2"/>
      <c r="XAQ60" s="2"/>
      <c r="XAR60" s="2"/>
      <c r="XAS60" s="2"/>
      <c r="XAT60" s="2"/>
      <c r="XAU60" s="2"/>
      <c r="XAV60" s="2"/>
      <c r="XAW60" s="2"/>
      <c r="XAX60" s="2"/>
      <c r="XAY60" s="2"/>
      <c r="XAZ60" s="2"/>
      <c r="XBA60" s="2"/>
      <c r="XBB60" s="2"/>
      <c r="XBC60" s="2"/>
      <c r="XBD60" s="2"/>
      <c r="XBE60" s="2"/>
      <c r="XBF60" s="2"/>
      <c r="XBG60" s="2"/>
      <c r="XBH60" s="2"/>
      <c r="XBI60" s="2"/>
      <c r="XBJ60" s="2"/>
      <c r="XBK60" s="2"/>
      <c r="XBL60" s="2"/>
      <c r="XBM60" s="2"/>
      <c r="XBN60" s="2"/>
      <c r="XBO60" s="2"/>
      <c r="XBP60" s="2"/>
      <c r="XBQ60" s="2"/>
      <c r="XBR60" s="2"/>
      <c r="XBS60" s="2"/>
      <c r="XBT60" s="2"/>
      <c r="XBU60" s="2"/>
      <c r="XBV60" s="2"/>
      <c r="XBW60" s="2"/>
      <c r="XBX60" s="2"/>
      <c r="XBY60" s="2"/>
      <c r="XBZ60" s="2"/>
      <c r="XCA60" s="2"/>
      <c r="XCB60" s="2"/>
      <c r="XCC60" s="2"/>
      <c r="XCD60" s="2"/>
      <c r="XCE60" s="2"/>
      <c r="XCF60" s="2"/>
      <c r="XCG60" s="2"/>
      <c r="XCH60" s="2"/>
      <c r="XCI60" s="2"/>
      <c r="XCJ60" s="2"/>
      <c r="XCK60" s="2"/>
      <c r="XCL60" s="2"/>
      <c r="XCM60" s="2"/>
      <c r="XCN60" s="2"/>
      <c r="XCO60" s="2"/>
      <c r="XCP60" s="2"/>
      <c r="XCQ60" s="2"/>
      <c r="XCR60" s="2"/>
      <c r="XCS60" s="2"/>
      <c r="XCT60" s="2"/>
      <c r="XCU60" s="2"/>
      <c r="XCV60" s="2"/>
      <c r="XCW60" s="2"/>
      <c r="XCX60" s="2"/>
      <c r="XCY60" s="2"/>
      <c r="XCZ60" s="2"/>
      <c r="XDA60" s="2"/>
      <c r="XDB60" s="2"/>
      <c r="XDC60" s="2"/>
      <c r="XDD60" s="2"/>
      <c r="XDE60" s="2"/>
      <c r="XDF60" s="2"/>
      <c r="XDG60" s="2"/>
      <c r="XDH60" s="2"/>
      <c r="XDI60" s="2"/>
      <c r="XDJ60" s="2"/>
      <c r="XDK60" s="2"/>
      <c r="XDL60" s="2"/>
      <c r="XDM60" s="2"/>
      <c r="XDN60" s="2"/>
      <c r="XDO60" s="2"/>
      <c r="XDP60" s="2"/>
      <c r="XDQ60" s="2"/>
      <c r="XDR60" s="2"/>
      <c r="XDS60" s="2"/>
      <c r="XDT60" s="2"/>
      <c r="XDU60" s="2"/>
      <c r="XDV60" s="2"/>
      <c r="XDW60" s="2"/>
      <c r="XDX60" s="2"/>
      <c r="XDY60" s="2"/>
      <c r="XDZ60" s="2"/>
      <c r="XEA60" s="2"/>
      <c r="XEB60" s="2"/>
      <c r="XEC60" s="2"/>
      <c r="XED60" s="2"/>
      <c r="XEE60" s="2"/>
      <c r="XEF60" s="2"/>
      <c r="XEG60" s="2"/>
      <c r="XEH60" s="2"/>
      <c r="XEI60" s="2"/>
      <c r="XEJ60" s="2"/>
      <c r="XEK60" s="2"/>
      <c r="XEL60" s="2"/>
      <c r="XEM60" s="2"/>
      <c r="XEN60" s="2"/>
      <c r="XEO60" s="2"/>
      <c r="XEP60" s="2"/>
      <c r="XEQ60" s="2"/>
      <c r="XER60" s="2"/>
      <c r="XES60" s="2"/>
      <c r="XET60" s="2"/>
      <c r="XEU60" s="2"/>
      <c r="XEV60" s="2"/>
      <c r="XEW60" s="2"/>
      <c r="XEX60" s="2"/>
      <c r="XEY60" s="2"/>
      <c r="XEZ60" s="2"/>
      <c r="XFA60" s="2"/>
      <c r="XFB60" s="2"/>
    </row>
    <row r="61" spans="1:16383" x14ac:dyDescent="0.35">
      <c r="A61" s="5" t="s">
        <v>204</v>
      </c>
      <c r="C61" s="22"/>
      <c r="D61" s="22"/>
      <c r="E61" s="22"/>
      <c r="F61" s="22"/>
      <c r="G61" s="22">
        <f>G57+G58-G59-G60</f>
        <v>8753503645.5977955</v>
      </c>
      <c r="H61" s="22">
        <f>H57+H58-H59-H60</f>
        <v>8325556447.1651039</v>
      </c>
      <c r="I61" s="22">
        <f>I57+I58-I59-I60</f>
        <v>7669376517.6191673</v>
      </c>
      <c r="J61" s="22"/>
      <c r="K61" s="22"/>
      <c r="L61" s="22"/>
      <c r="M61" s="22"/>
      <c r="N61" s="22"/>
      <c r="O61" s="22"/>
    </row>
    <row r="62" spans="1:16383" x14ac:dyDescent="0.35">
      <c r="A62" t="s">
        <v>205</v>
      </c>
      <c r="G62" s="50">
        <f>YEARFRAC($B$7,$B$8)</f>
        <v>0.11388888888888889</v>
      </c>
      <c r="H62" s="50">
        <f>G62+1</f>
        <v>1.1138888888888889</v>
      </c>
      <c r="I62" s="50">
        <f>H62+1</f>
        <v>2.1138888888888889</v>
      </c>
    </row>
    <row r="63" spans="1:16383" x14ac:dyDescent="0.35">
      <c r="A63" t="s">
        <v>206</v>
      </c>
      <c r="G63" s="22">
        <f>G61/(1+$B$18)^G62</f>
        <v>8709518318.9366512</v>
      </c>
      <c r="H63" s="22">
        <f>H61/(1+$B$18)^H62</f>
        <v>7925300061.3579636</v>
      </c>
      <c r="I63" s="22">
        <f>I61/(1+$B$18)^I62</f>
        <v>6984779945.3269482</v>
      </c>
      <c r="J63" s="22"/>
      <c r="K63" s="22"/>
      <c r="L63" s="22"/>
      <c r="M63" s="22"/>
      <c r="N63" s="22"/>
      <c r="O63" s="22"/>
    </row>
    <row r="64" spans="1:16383" x14ac:dyDescent="0.35">
      <c r="A64" t="s">
        <v>207</v>
      </c>
      <c r="I64" s="22">
        <f>(I63*(1+B19))/(B18-B19)</f>
        <v>282437443675.21765</v>
      </c>
      <c r="O64" s="22"/>
    </row>
    <row r="65" spans="1:16383" ht="15" thickBot="1" x14ac:dyDescent="0.4">
      <c r="A65" s="2" t="s">
        <v>208</v>
      </c>
      <c r="B65" s="2"/>
      <c r="C65" s="2"/>
      <c r="D65" s="2"/>
      <c r="E65" s="2"/>
      <c r="F65" s="2"/>
      <c r="G65" s="2"/>
      <c r="H65" s="2"/>
      <c r="I65" s="27">
        <f>I64/(1+B18)^I62</f>
        <v>257226045410.59641</v>
      </c>
      <c r="J65" s="2"/>
      <c r="K65" s="2"/>
      <c r="L65" s="2"/>
      <c r="M65" s="2"/>
      <c r="N65" s="2"/>
      <c r="O65" s="27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  <c r="DP65" s="2"/>
      <c r="DQ65" s="2"/>
      <c r="DR65" s="2"/>
      <c r="DS65" s="2"/>
      <c r="DT65" s="2"/>
      <c r="DU65" s="2"/>
      <c r="DV65" s="2"/>
      <c r="DW65" s="2"/>
      <c r="DX65" s="2"/>
      <c r="DY65" s="2"/>
      <c r="DZ65" s="2"/>
      <c r="EA65" s="2"/>
      <c r="EB65" s="2"/>
      <c r="EC65" s="2"/>
      <c r="ED65" s="2"/>
      <c r="EE65" s="2"/>
      <c r="EF65" s="2"/>
      <c r="EG65" s="2"/>
      <c r="EH65" s="2"/>
      <c r="EI65" s="2"/>
      <c r="EJ65" s="2"/>
      <c r="EK65" s="2"/>
      <c r="EL65" s="2"/>
      <c r="EM65" s="2"/>
      <c r="EN65" s="2"/>
      <c r="EO65" s="2"/>
      <c r="EP65" s="2"/>
      <c r="EQ65" s="2"/>
      <c r="ER65" s="2"/>
      <c r="ES65" s="2"/>
      <c r="ET65" s="2"/>
      <c r="EU65" s="2"/>
      <c r="EV65" s="2"/>
      <c r="EW65" s="2"/>
      <c r="EX65" s="2"/>
      <c r="EY65" s="2"/>
      <c r="EZ65" s="2"/>
      <c r="FA65" s="2"/>
      <c r="FB65" s="2"/>
      <c r="FC65" s="2"/>
      <c r="FD65" s="2"/>
      <c r="FE65" s="2"/>
      <c r="FF65" s="2"/>
      <c r="FG65" s="2"/>
      <c r="FH65" s="2"/>
      <c r="FI65" s="2"/>
      <c r="FJ65" s="2"/>
      <c r="FK65" s="2"/>
      <c r="FL65" s="2"/>
      <c r="FM65" s="2"/>
      <c r="FN65" s="2"/>
      <c r="FO65" s="2"/>
      <c r="FP65" s="2"/>
      <c r="FQ65" s="2"/>
      <c r="FR65" s="2"/>
      <c r="FS65" s="2"/>
      <c r="FT65" s="2"/>
      <c r="FU65" s="2"/>
      <c r="FV65" s="2"/>
      <c r="FW65" s="2"/>
      <c r="FX65" s="2"/>
      <c r="FY65" s="2"/>
      <c r="FZ65" s="2"/>
      <c r="GA65" s="2"/>
      <c r="GB65" s="2"/>
      <c r="GC65" s="2"/>
      <c r="GD65" s="2"/>
      <c r="GE65" s="2"/>
      <c r="GF65" s="2"/>
      <c r="GG65" s="2"/>
      <c r="GH65" s="2"/>
      <c r="GI65" s="2"/>
      <c r="GJ65" s="2"/>
      <c r="GK65" s="2"/>
      <c r="GL65" s="2"/>
      <c r="GM65" s="2"/>
      <c r="GN65" s="2"/>
      <c r="GO65" s="2"/>
      <c r="GP65" s="2"/>
      <c r="GQ65" s="2"/>
      <c r="GR65" s="2"/>
      <c r="GS65" s="2"/>
      <c r="GT65" s="2"/>
      <c r="GU65" s="2"/>
      <c r="GV65" s="2"/>
      <c r="GW65" s="2"/>
      <c r="GX65" s="2"/>
      <c r="GY65" s="2"/>
      <c r="GZ65" s="2"/>
      <c r="HA65" s="2"/>
      <c r="HB65" s="2"/>
      <c r="HC65" s="2"/>
      <c r="HD65" s="2"/>
      <c r="HE65" s="2"/>
      <c r="HF65" s="2"/>
      <c r="HG65" s="2"/>
      <c r="HH65" s="2"/>
      <c r="HI65" s="2"/>
      <c r="HJ65" s="2"/>
      <c r="HK65" s="2"/>
      <c r="HL65" s="2"/>
      <c r="HM65" s="2"/>
      <c r="HN65" s="2"/>
      <c r="HO65" s="2"/>
      <c r="HP65" s="2"/>
      <c r="HQ65" s="2"/>
      <c r="HR65" s="2"/>
      <c r="HS65" s="2"/>
      <c r="HT65" s="2"/>
      <c r="HU65" s="2"/>
      <c r="HV65" s="2"/>
      <c r="HW65" s="2"/>
      <c r="HX65" s="2"/>
      <c r="HY65" s="2"/>
      <c r="HZ65" s="2"/>
      <c r="IA65" s="2"/>
      <c r="IB65" s="2"/>
      <c r="IC65" s="2"/>
      <c r="ID65" s="2"/>
      <c r="IE65" s="2"/>
      <c r="IF65" s="2"/>
      <c r="IG65" s="2"/>
      <c r="IH65" s="2"/>
      <c r="II65" s="2"/>
      <c r="IJ65" s="2"/>
      <c r="IK65" s="2"/>
      <c r="IL65" s="2"/>
      <c r="IM65" s="2"/>
      <c r="IN65" s="2"/>
      <c r="IO65" s="2"/>
      <c r="IP65" s="2"/>
      <c r="IQ65" s="2"/>
      <c r="IR65" s="2"/>
      <c r="IS65" s="2"/>
      <c r="IT65" s="2"/>
      <c r="IU65" s="2"/>
      <c r="IV65" s="2"/>
      <c r="IW65" s="2"/>
      <c r="IX65" s="2"/>
      <c r="IY65" s="2"/>
      <c r="IZ65" s="2"/>
      <c r="JA65" s="2"/>
      <c r="JB65" s="2"/>
      <c r="JC65" s="2"/>
      <c r="JD65" s="2"/>
      <c r="JE65" s="2"/>
      <c r="JF65" s="2"/>
      <c r="JG65" s="2"/>
      <c r="JH65" s="2"/>
      <c r="JI65" s="2"/>
      <c r="JJ65" s="2"/>
      <c r="JK65" s="2"/>
      <c r="JL65" s="2"/>
      <c r="JM65" s="2"/>
      <c r="JN65" s="2"/>
      <c r="JO65" s="2"/>
      <c r="JP65" s="2"/>
      <c r="JQ65" s="2"/>
      <c r="JR65" s="2"/>
      <c r="JS65" s="2"/>
      <c r="JT65" s="2"/>
      <c r="JU65" s="2"/>
      <c r="JV65" s="2"/>
      <c r="JW65" s="2"/>
      <c r="JX65" s="2"/>
      <c r="JY65" s="2"/>
      <c r="JZ65" s="2"/>
      <c r="KA65" s="2"/>
      <c r="KB65" s="2"/>
      <c r="KC65" s="2"/>
      <c r="KD65" s="2"/>
      <c r="KE65" s="2"/>
      <c r="KF65" s="2"/>
      <c r="KG65" s="2"/>
      <c r="KH65" s="2"/>
      <c r="KI65" s="2"/>
      <c r="KJ65" s="2"/>
      <c r="KK65" s="2"/>
      <c r="KL65" s="2"/>
      <c r="KM65" s="2"/>
      <c r="KN65" s="2"/>
      <c r="KO65" s="2"/>
      <c r="KP65" s="2"/>
      <c r="KQ65" s="2"/>
      <c r="KR65" s="2"/>
      <c r="KS65" s="2"/>
      <c r="KT65" s="2"/>
      <c r="KU65" s="2"/>
      <c r="KV65" s="2"/>
      <c r="KW65" s="2"/>
      <c r="KX65" s="2"/>
      <c r="KY65" s="2"/>
      <c r="KZ65" s="2"/>
      <c r="LA65" s="2"/>
      <c r="LB65" s="2"/>
      <c r="LC65" s="2"/>
      <c r="LD65" s="2"/>
      <c r="LE65" s="2"/>
      <c r="LF65" s="2"/>
      <c r="LG65" s="2"/>
      <c r="LH65" s="2"/>
      <c r="LI65" s="2"/>
      <c r="LJ65" s="2"/>
      <c r="LK65" s="2"/>
      <c r="LL65" s="2"/>
      <c r="LM65" s="2"/>
      <c r="LN65" s="2"/>
      <c r="LO65" s="2"/>
      <c r="LP65" s="2"/>
      <c r="LQ65" s="2"/>
      <c r="LR65" s="2"/>
      <c r="LS65" s="2"/>
      <c r="LT65" s="2"/>
      <c r="LU65" s="2"/>
      <c r="LV65" s="2"/>
      <c r="LW65" s="2"/>
      <c r="LX65" s="2"/>
      <c r="LY65" s="2"/>
      <c r="LZ65" s="2"/>
      <c r="MA65" s="2"/>
      <c r="MB65" s="2"/>
      <c r="MC65" s="2"/>
      <c r="MD65" s="2"/>
      <c r="ME65" s="2"/>
      <c r="MF65" s="2"/>
      <c r="MG65" s="2"/>
      <c r="MH65" s="2"/>
      <c r="MI65" s="2"/>
      <c r="MJ65" s="2"/>
      <c r="MK65" s="2"/>
      <c r="ML65" s="2"/>
      <c r="MM65" s="2"/>
      <c r="MN65" s="2"/>
      <c r="MO65" s="2"/>
      <c r="MP65" s="2"/>
      <c r="MQ65" s="2"/>
      <c r="MR65" s="2"/>
      <c r="MS65" s="2"/>
      <c r="MT65" s="2"/>
      <c r="MU65" s="2"/>
      <c r="MV65" s="2"/>
      <c r="MW65" s="2"/>
      <c r="MX65" s="2"/>
      <c r="MY65" s="2"/>
      <c r="MZ65" s="2"/>
      <c r="NA65" s="2"/>
      <c r="NB65" s="2"/>
      <c r="NC65" s="2"/>
      <c r="ND65" s="2"/>
      <c r="NE65" s="2"/>
      <c r="NF65" s="2"/>
      <c r="NG65" s="2"/>
      <c r="NH65" s="2"/>
      <c r="NI65" s="2"/>
      <c r="NJ65" s="2"/>
      <c r="NK65" s="2"/>
      <c r="NL65" s="2"/>
      <c r="NM65" s="2"/>
      <c r="NN65" s="2"/>
      <c r="NO65" s="2"/>
      <c r="NP65" s="2"/>
      <c r="NQ65" s="2"/>
      <c r="NR65" s="2"/>
      <c r="NS65" s="2"/>
      <c r="NT65" s="2"/>
      <c r="NU65" s="2"/>
      <c r="NV65" s="2"/>
      <c r="NW65" s="2"/>
      <c r="NX65" s="2"/>
      <c r="NY65" s="2"/>
      <c r="NZ65" s="2"/>
      <c r="OA65" s="2"/>
      <c r="OB65" s="2"/>
      <c r="OC65" s="2"/>
      <c r="OD65" s="2"/>
      <c r="OE65" s="2"/>
      <c r="OF65" s="2"/>
      <c r="OG65" s="2"/>
      <c r="OH65" s="2"/>
      <c r="OI65" s="2"/>
      <c r="OJ65" s="2"/>
      <c r="OK65" s="2"/>
      <c r="OL65" s="2"/>
      <c r="OM65" s="2"/>
      <c r="ON65" s="2"/>
      <c r="OO65" s="2"/>
      <c r="OP65" s="2"/>
      <c r="OQ65" s="2"/>
      <c r="OR65" s="2"/>
      <c r="OS65" s="2"/>
      <c r="OT65" s="2"/>
      <c r="OU65" s="2"/>
      <c r="OV65" s="2"/>
      <c r="OW65" s="2"/>
      <c r="OX65" s="2"/>
      <c r="OY65" s="2"/>
      <c r="OZ65" s="2"/>
      <c r="PA65" s="2"/>
      <c r="PB65" s="2"/>
      <c r="PC65" s="2"/>
      <c r="PD65" s="2"/>
      <c r="PE65" s="2"/>
      <c r="PF65" s="2"/>
      <c r="PG65" s="2"/>
      <c r="PH65" s="2"/>
      <c r="PI65" s="2"/>
      <c r="PJ65" s="2"/>
      <c r="PK65" s="2"/>
      <c r="PL65" s="2"/>
      <c r="PM65" s="2"/>
      <c r="PN65" s="2"/>
      <c r="PO65" s="2"/>
      <c r="PP65" s="2"/>
      <c r="PQ65" s="2"/>
      <c r="PR65" s="2"/>
      <c r="PS65" s="2"/>
      <c r="PT65" s="2"/>
      <c r="PU65" s="2"/>
      <c r="PV65" s="2"/>
      <c r="PW65" s="2"/>
      <c r="PX65" s="2"/>
      <c r="PY65" s="2"/>
      <c r="PZ65" s="2"/>
      <c r="QA65" s="2"/>
      <c r="QB65" s="2"/>
      <c r="QC65" s="2"/>
      <c r="QD65" s="2"/>
      <c r="QE65" s="2"/>
      <c r="QF65" s="2"/>
      <c r="QG65" s="2"/>
      <c r="QH65" s="2"/>
      <c r="QI65" s="2"/>
      <c r="QJ65" s="2"/>
      <c r="QK65" s="2"/>
      <c r="QL65" s="2"/>
      <c r="QM65" s="2"/>
      <c r="QN65" s="2"/>
      <c r="QO65" s="2"/>
      <c r="QP65" s="2"/>
      <c r="QQ65" s="2"/>
      <c r="QR65" s="2"/>
      <c r="QS65" s="2"/>
      <c r="QT65" s="2"/>
      <c r="QU65" s="2"/>
      <c r="QV65" s="2"/>
      <c r="QW65" s="2"/>
      <c r="QX65" s="2"/>
      <c r="QY65" s="2"/>
      <c r="QZ65" s="2"/>
      <c r="RA65" s="2"/>
      <c r="RB65" s="2"/>
      <c r="RC65" s="2"/>
      <c r="RD65" s="2"/>
      <c r="RE65" s="2"/>
      <c r="RF65" s="2"/>
      <c r="RG65" s="2"/>
      <c r="RH65" s="2"/>
      <c r="RI65" s="2"/>
      <c r="RJ65" s="2"/>
      <c r="RK65" s="2"/>
      <c r="RL65" s="2"/>
      <c r="RM65" s="2"/>
      <c r="RN65" s="2"/>
      <c r="RO65" s="2"/>
      <c r="RP65" s="2"/>
      <c r="RQ65" s="2"/>
      <c r="RR65" s="2"/>
      <c r="RS65" s="2"/>
      <c r="RT65" s="2"/>
      <c r="RU65" s="2"/>
      <c r="RV65" s="2"/>
      <c r="RW65" s="2"/>
      <c r="RX65" s="2"/>
      <c r="RY65" s="2"/>
      <c r="RZ65" s="2"/>
      <c r="SA65" s="2"/>
      <c r="SB65" s="2"/>
      <c r="SC65" s="2"/>
      <c r="SD65" s="2"/>
      <c r="SE65" s="2"/>
      <c r="SF65" s="2"/>
      <c r="SG65" s="2"/>
      <c r="SH65" s="2"/>
      <c r="SI65" s="2"/>
      <c r="SJ65" s="2"/>
      <c r="SK65" s="2"/>
      <c r="SL65" s="2"/>
      <c r="SM65" s="2"/>
      <c r="SN65" s="2"/>
      <c r="SO65" s="2"/>
      <c r="SP65" s="2"/>
      <c r="SQ65" s="2"/>
      <c r="SR65" s="2"/>
      <c r="SS65" s="2"/>
      <c r="ST65" s="2"/>
      <c r="SU65" s="2"/>
      <c r="SV65" s="2"/>
      <c r="SW65" s="2"/>
      <c r="SX65" s="2"/>
      <c r="SY65" s="2"/>
      <c r="SZ65" s="2"/>
      <c r="TA65" s="2"/>
      <c r="TB65" s="2"/>
      <c r="TC65" s="2"/>
      <c r="TD65" s="2"/>
      <c r="TE65" s="2"/>
      <c r="TF65" s="2"/>
      <c r="TG65" s="2"/>
      <c r="TH65" s="2"/>
      <c r="TI65" s="2"/>
      <c r="TJ65" s="2"/>
      <c r="TK65" s="2"/>
      <c r="TL65" s="2"/>
      <c r="TM65" s="2"/>
      <c r="TN65" s="2"/>
      <c r="TO65" s="2"/>
      <c r="TP65" s="2"/>
      <c r="TQ65" s="2"/>
      <c r="TR65" s="2"/>
      <c r="TS65" s="2"/>
      <c r="TT65" s="2"/>
      <c r="TU65" s="2"/>
      <c r="TV65" s="2"/>
      <c r="TW65" s="2"/>
      <c r="TX65" s="2"/>
      <c r="TY65" s="2"/>
      <c r="TZ65" s="2"/>
      <c r="UA65" s="2"/>
      <c r="UB65" s="2"/>
      <c r="UC65" s="2"/>
      <c r="UD65" s="2"/>
      <c r="UE65" s="2"/>
      <c r="UF65" s="2"/>
      <c r="UG65" s="2"/>
      <c r="UH65" s="2"/>
      <c r="UI65" s="2"/>
      <c r="UJ65" s="2"/>
      <c r="UK65" s="2"/>
      <c r="UL65" s="2"/>
      <c r="UM65" s="2"/>
      <c r="UN65" s="2"/>
      <c r="UO65" s="2"/>
      <c r="UP65" s="2"/>
      <c r="UQ65" s="2"/>
      <c r="UR65" s="2"/>
      <c r="US65" s="2"/>
      <c r="UT65" s="2"/>
      <c r="UU65" s="2"/>
      <c r="UV65" s="2"/>
      <c r="UW65" s="2"/>
      <c r="UX65" s="2"/>
      <c r="UY65" s="2"/>
      <c r="UZ65" s="2"/>
      <c r="VA65" s="2"/>
      <c r="VB65" s="2"/>
      <c r="VC65" s="2"/>
      <c r="VD65" s="2"/>
      <c r="VE65" s="2"/>
      <c r="VF65" s="2"/>
      <c r="VG65" s="2"/>
      <c r="VH65" s="2"/>
      <c r="VI65" s="2"/>
      <c r="VJ65" s="2"/>
      <c r="VK65" s="2"/>
      <c r="VL65" s="2"/>
      <c r="VM65" s="2"/>
      <c r="VN65" s="2"/>
      <c r="VO65" s="2"/>
      <c r="VP65" s="2"/>
      <c r="VQ65" s="2"/>
      <c r="VR65" s="2"/>
      <c r="VS65" s="2"/>
      <c r="VT65" s="2"/>
      <c r="VU65" s="2"/>
      <c r="VV65" s="2"/>
      <c r="VW65" s="2"/>
      <c r="VX65" s="2"/>
      <c r="VY65" s="2"/>
      <c r="VZ65" s="2"/>
      <c r="WA65" s="2"/>
      <c r="WB65" s="2"/>
      <c r="WC65" s="2"/>
      <c r="WD65" s="2"/>
      <c r="WE65" s="2"/>
      <c r="WF65" s="2"/>
      <c r="WG65" s="2"/>
      <c r="WH65" s="2"/>
      <c r="WI65" s="2"/>
      <c r="WJ65" s="2"/>
      <c r="WK65" s="2"/>
      <c r="WL65" s="2"/>
      <c r="WM65" s="2"/>
      <c r="WN65" s="2"/>
      <c r="WO65" s="2"/>
      <c r="WP65" s="2"/>
      <c r="WQ65" s="2"/>
      <c r="WR65" s="2"/>
      <c r="WS65" s="2"/>
      <c r="WT65" s="2"/>
      <c r="WU65" s="2"/>
      <c r="WV65" s="2"/>
      <c r="WW65" s="2"/>
      <c r="WX65" s="2"/>
      <c r="WY65" s="2"/>
      <c r="WZ65" s="2"/>
      <c r="XA65" s="2"/>
      <c r="XB65" s="2"/>
      <c r="XC65" s="2"/>
      <c r="XD65" s="2"/>
      <c r="XE65" s="2"/>
      <c r="XF65" s="2"/>
      <c r="XG65" s="2"/>
      <c r="XH65" s="2"/>
      <c r="XI65" s="2"/>
      <c r="XJ65" s="2"/>
      <c r="XK65" s="2"/>
      <c r="XL65" s="2"/>
      <c r="XM65" s="2"/>
      <c r="XN65" s="2"/>
      <c r="XO65" s="2"/>
      <c r="XP65" s="2"/>
      <c r="XQ65" s="2"/>
      <c r="XR65" s="2"/>
      <c r="XS65" s="2"/>
      <c r="XT65" s="2"/>
      <c r="XU65" s="2"/>
      <c r="XV65" s="2"/>
      <c r="XW65" s="2"/>
      <c r="XX65" s="2"/>
      <c r="XY65" s="2"/>
      <c r="XZ65" s="2"/>
      <c r="YA65" s="2"/>
      <c r="YB65" s="2"/>
      <c r="YC65" s="2"/>
      <c r="YD65" s="2"/>
      <c r="YE65" s="2"/>
      <c r="YF65" s="2"/>
      <c r="YG65" s="2"/>
      <c r="YH65" s="2"/>
      <c r="YI65" s="2"/>
      <c r="YJ65" s="2"/>
      <c r="YK65" s="2"/>
      <c r="YL65" s="2"/>
      <c r="YM65" s="2"/>
      <c r="YN65" s="2"/>
      <c r="YO65" s="2"/>
      <c r="YP65" s="2"/>
      <c r="YQ65" s="2"/>
      <c r="YR65" s="2"/>
      <c r="YS65" s="2"/>
      <c r="YT65" s="2"/>
      <c r="YU65" s="2"/>
      <c r="YV65" s="2"/>
      <c r="YW65" s="2"/>
      <c r="YX65" s="2"/>
      <c r="YY65" s="2"/>
      <c r="YZ65" s="2"/>
      <c r="ZA65" s="2"/>
      <c r="ZB65" s="2"/>
      <c r="ZC65" s="2"/>
      <c r="ZD65" s="2"/>
      <c r="ZE65" s="2"/>
      <c r="ZF65" s="2"/>
      <c r="ZG65" s="2"/>
      <c r="ZH65" s="2"/>
      <c r="ZI65" s="2"/>
      <c r="ZJ65" s="2"/>
      <c r="ZK65" s="2"/>
      <c r="ZL65" s="2"/>
      <c r="ZM65" s="2"/>
      <c r="ZN65" s="2"/>
      <c r="ZO65" s="2"/>
      <c r="ZP65" s="2"/>
      <c r="ZQ65" s="2"/>
      <c r="ZR65" s="2"/>
      <c r="ZS65" s="2"/>
      <c r="ZT65" s="2"/>
      <c r="ZU65" s="2"/>
      <c r="ZV65" s="2"/>
      <c r="ZW65" s="2"/>
      <c r="ZX65" s="2"/>
      <c r="ZY65" s="2"/>
      <c r="ZZ65" s="2"/>
      <c r="AAA65" s="2"/>
      <c r="AAB65" s="2"/>
      <c r="AAC65" s="2"/>
      <c r="AAD65" s="2"/>
      <c r="AAE65" s="2"/>
      <c r="AAF65" s="2"/>
      <c r="AAG65" s="2"/>
      <c r="AAH65" s="2"/>
      <c r="AAI65" s="2"/>
      <c r="AAJ65" s="2"/>
      <c r="AAK65" s="2"/>
      <c r="AAL65" s="2"/>
      <c r="AAM65" s="2"/>
      <c r="AAN65" s="2"/>
      <c r="AAO65" s="2"/>
      <c r="AAP65" s="2"/>
      <c r="AAQ65" s="2"/>
      <c r="AAR65" s="2"/>
      <c r="AAS65" s="2"/>
      <c r="AAT65" s="2"/>
      <c r="AAU65" s="2"/>
      <c r="AAV65" s="2"/>
      <c r="AAW65" s="2"/>
      <c r="AAX65" s="2"/>
      <c r="AAY65" s="2"/>
      <c r="AAZ65" s="2"/>
      <c r="ABA65" s="2"/>
      <c r="ABB65" s="2"/>
      <c r="ABC65" s="2"/>
      <c r="ABD65" s="2"/>
      <c r="ABE65" s="2"/>
      <c r="ABF65" s="2"/>
      <c r="ABG65" s="2"/>
      <c r="ABH65" s="2"/>
      <c r="ABI65" s="2"/>
      <c r="ABJ65" s="2"/>
      <c r="ABK65" s="2"/>
      <c r="ABL65" s="2"/>
      <c r="ABM65" s="2"/>
      <c r="ABN65" s="2"/>
      <c r="ABO65" s="2"/>
      <c r="ABP65" s="2"/>
      <c r="ABQ65" s="2"/>
      <c r="ABR65" s="2"/>
      <c r="ABS65" s="2"/>
      <c r="ABT65" s="2"/>
      <c r="ABU65" s="2"/>
      <c r="ABV65" s="2"/>
      <c r="ABW65" s="2"/>
      <c r="ABX65" s="2"/>
      <c r="ABY65" s="2"/>
      <c r="ABZ65" s="2"/>
      <c r="ACA65" s="2"/>
      <c r="ACB65" s="2"/>
      <c r="ACC65" s="2"/>
      <c r="ACD65" s="2"/>
      <c r="ACE65" s="2"/>
      <c r="ACF65" s="2"/>
      <c r="ACG65" s="2"/>
      <c r="ACH65" s="2"/>
      <c r="ACI65" s="2"/>
      <c r="ACJ65" s="2"/>
      <c r="ACK65" s="2"/>
      <c r="ACL65" s="2"/>
      <c r="ACM65" s="2"/>
      <c r="ACN65" s="2"/>
      <c r="ACO65" s="2"/>
      <c r="ACP65" s="2"/>
      <c r="ACQ65" s="2"/>
      <c r="ACR65" s="2"/>
      <c r="ACS65" s="2"/>
      <c r="ACT65" s="2"/>
      <c r="ACU65" s="2"/>
      <c r="ACV65" s="2"/>
      <c r="ACW65" s="2"/>
      <c r="ACX65" s="2"/>
      <c r="ACY65" s="2"/>
      <c r="ACZ65" s="2"/>
      <c r="ADA65" s="2"/>
      <c r="ADB65" s="2"/>
      <c r="ADC65" s="2"/>
      <c r="ADD65" s="2"/>
      <c r="ADE65" s="2"/>
      <c r="ADF65" s="2"/>
      <c r="ADG65" s="2"/>
      <c r="ADH65" s="2"/>
      <c r="ADI65" s="2"/>
      <c r="ADJ65" s="2"/>
      <c r="ADK65" s="2"/>
      <c r="ADL65" s="2"/>
      <c r="ADM65" s="2"/>
      <c r="ADN65" s="2"/>
      <c r="ADO65" s="2"/>
      <c r="ADP65" s="2"/>
      <c r="ADQ65" s="2"/>
      <c r="ADR65" s="2"/>
      <c r="ADS65" s="2"/>
      <c r="ADT65" s="2"/>
      <c r="ADU65" s="2"/>
      <c r="ADV65" s="2"/>
      <c r="ADW65" s="2"/>
      <c r="ADX65" s="2"/>
      <c r="ADY65" s="2"/>
      <c r="ADZ65" s="2"/>
      <c r="AEA65" s="2"/>
      <c r="AEB65" s="2"/>
      <c r="AEC65" s="2"/>
      <c r="AED65" s="2"/>
      <c r="AEE65" s="2"/>
      <c r="AEF65" s="2"/>
      <c r="AEG65" s="2"/>
      <c r="AEH65" s="2"/>
      <c r="AEI65" s="2"/>
      <c r="AEJ65" s="2"/>
      <c r="AEK65" s="2"/>
      <c r="AEL65" s="2"/>
      <c r="AEM65" s="2"/>
      <c r="AEN65" s="2"/>
      <c r="AEO65" s="2"/>
      <c r="AEP65" s="2"/>
      <c r="AEQ65" s="2"/>
      <c r="AER65" s="2"/>
      <c r="AES65" s="2"/>
      <c r="AET65" s="2"/>
      <c r="AEU65" s="2"/>
      <c r="AEV65" s="2"/>
      <c r="AEW65" s="2"/>
      <c r="AEX65" s="2"/>
      <c r="AEY65" s="2"/>
      <c r="AEZ65" s="2"/>
      <c r="AFA65" s="2"/>
      <c r="AFB65" s="2"/>
      <c r="AFC65" s="2"/>
      <c r="AFD65" s="2"/>
      <c r="AFE65" s="2"/>
      <c r="AFF65" s="2"/>
      <c r="AFG65" s="2"/>
      <c r="AFH65" s="2"/>
      <c r="AFI65" s="2"/>
      <c r="AFJ65" s="2"/>
      <c r="AFK65" s="2"/>
      <c r="AFL65" s="2"/>
      <c r="AFM65" s="2"/>
      <c r="AFN65" s="2"/>
      <c r="AFO65" s="2"/>
      <c r="AFP65" s="2"/>
      <c r="AFQ65" s="2"/>
      <c r="AFR65" s="2"/>
      <c r="AFS65" s="2"/>
      <c r="AFT65" s="2"/>
      <c r="AFU65" s="2"/>
      <c r="AFV65" s="2"/>
      <c r="AFW65" s="2"/>
      <c r="AFX65" s="2"/>
      <c r="AFY65" s="2"/>
      <c r="AFZ65" s="2"/>
      <c r="AGA65" s="2"/>
      <c r="AGB65" s="2"/>
      <c r="AGC65" s="2"/>
      <c r="AGD65" s="2"/>
      <c r="AGE65" s="2"/>
      <c r="AGF65" s="2"/>
      <c r="AGG65" s="2"/>
      <c r="AGH65" s="2"/>
      <c r="AGI65" s="2"/>
      <c r="AGJ65" s="2"/>
      <c r="AGK65" s="2"/>
      <c r="AGL65" s="2"/>
      <c r="AGM65" s="2"/>
      <c r="AGN65" s="2"/>
      <c r="AGO65" s="2"/>
      <c r="AGP65" s="2"/>
      <c r="AGQ65" s="2"/>
      <c r="AGR65" s="2"/>
      <c r="AGS65" s="2"/>
      <c r="AGT65" s="2"/>
      <c r="AGU65" s="2"/>
      <c r="AGV65" s="2"/>
      <c r="AGW65" s="2"/>
      <c r="AGX65" s="2"/>
      <c r="AGY65" s="2"/>
      <c r="AGZ65" s="2"/>
      <c r="AHA65" s="2"/>
      <c r="AHB65" s="2"/>
      <c r="AHC65" s="2"/>
      <c r="AHD65" s="2"/>
      <c r="AHE65" s="2"/>
      <c r="AHF65" s="2"/>
      <c r="AHG65" s="2"/>
      <c r="AHH65" s="2"/>
      <c r="AHI65" s="2"/>
      <c r="AHJ65" s="2"/>
      <c r="AHK65" s="2"/>
      <c r="AHL65" s="2"/>
      <c r="AHM65" s="2"/>
      <c r="AHN65" s="2"/>
      <c r="AHO65" s="2"/>
      <c r="AHP65" s="2"/>
      <c r="AHQ65" s="2"/>
      <c r="AHR65" s="2"/>
      <c r="AHS65" s="2"/>
      <c r="AHT65" s="2"/>
      <c r="AHU65" s="2"/>
      <c r="AHV65" s="2"/>
      <c r="AHW65" s="2"/>
      <c r="AHX65" s="2"/>
      <c r="AHY65" s="2"/>
      <c r="AHZ65" s="2"/>
      <c r="AIA65" s="2"/>
      <c r="AIB65" s="2"/>
      <c r="AIC65" s="2"/>
      <c r="AID65" s="2"/>
      <c r="AIE65" s="2"/>
      <c r="AIF65" s="2"/>
      <c r="AIG65" s="2"/>
      <c r="AIH65" s="2"/>
      <c r="AII65" s="2"/>
      <c r="AIJ65" s="2"/>
      <c r="AIK65" s="2"/>
      <c r="AIL65" s="2"/>
      <c r="AIM65" s="2"/>
      <c r="AIN65" s="2"/>
      <c r="AIO65" s="2"/>
      <c r="AIP65" s="2"/>
      <c r="AIQ65" s="2"/>
      <c r="AIR65" s="2"/>
      <c r="AIS65" s="2"/>
      <c r="AIT65" s="2"/>
      <c r="AIU65" s="2"/>
      <c r="AIV65" s="2"/>
      <c r="AIW65" s="2"/>
      <c r="AIX65" s="2"/>
      <c r="AIY65" s="2"/>
      <c r="AIZ65" s="2"/>
      <c r="AJA65" s="2"/>
      <c r="AJB65" s="2"/>
      <c r="AJC65" s="2"/>
      <c r="AJD65" s="2"/>
      <c r="AJE65" s="2"/>
      <c r="AJF65" s="2"/>
      <c r="AJG65" s="2"/>
      <c r="AJH65" s="2"/>
      <c r="AJI65" s="2"/>
      <c r="AJJ65" s="2"/>
      <c r="AJK65" s="2"/>
      <c r="AJL65" s="2"/>
      <c r="AJM65" s="2"/>
      <c r="AJN65" s="2"/>
      <c r="AJO65" s="2"/>
      <c r="AJP65" s="2"/>
      <c r="AJQ65" s="2"/>
      <c r="AJR65" s="2"/>
      <c r="AJS65" s="2"/>
      <c r="AJT65" s="2"/>
      <c r="AJU65" s="2"/>
      <c r="AJV65" s="2"/>
      <c r="AJW65" s="2"/>
      <c r="AJX65" s="2"/>
      <c r="AJY65" s="2"/>
      <c r="AJZ65" s="2"/>
      <c r="AKA65" s="2"/>
      <c r="AKB65" s="2"/>
      <c r="AKC65" s="2"/>
      <c r="AKD65" s="2"/>
      <c r="AKE65" s="2"/>
      <c r="AKF65" s="2"/>
      <c r="AKG65" s="2"/>
      <c r="AKH65" s="2"/>
      <c r="AKI65" s="2"/>
      <c r="AKJ65" s="2"/>
      <c r="AKK65" s="2"/>
      <c r="AKL65" s="2"/>
      <c r="AKM65" s="2"/>
      <c r="AKN65" s="2"/>
      <c r="AKO65" s="2"/>
      <c r="AKP65" s="2"/>
      <c r="AKQ65" s="2"/>
      <c r="AKR65" s="2"/>
      <c r="AKS65" s="2"/>
      <c r="AKT65" s="2"/>
      <c r="AKU65" s="2"/>
      <c r="AKV65" s="2"/>
      <c r="AKW65" s="2"/>
      <c r="AKX65" s="2"/>
      <c r="AKY65" s="2"/>
      <c r="AKZ65" s="2"/>
      <c r="ALA65" s="2"/>
      <c r="ALB65" s="2"/>
      <c r="ALC65" s="2"/>
      <c r="ALD65" s="2"/>
      <c r="ALE65" s="2"/>
      <c r="ALF65" s="2"/>
      <c r="ALG65" s="2"/>
      <c r="ALH65" s="2"/>
      <c r="ALI65" s="2"/>
      <c r="ALJ65" s="2"/>
      <c r="ALK65" s="2"/>
      <c r="ALL65" s="2"/>
      <c r="ALM65" s="2"/>
      <c r="ALN65" s="2"/>
      <c r="ALO65" s="2"/>
      <c r="ALP65" s="2"/>
      <c r="ALQ65" s="2"/>
      <c r="ALR65" s="2"/>
      <c r="ALS65" s="2"/>
      <c r="ALT65" s="2"/>
      <c r="ALU65" s="2"/>
      <c r="ALV65" s="2"/>
      <c r="ALW65" s="2"/>
      <c r="ALX65" s="2"/>
      <c r="ALY65" s="2"/>
      <c r="ALZ65" s="2"/>
      <c r="AMA65" s="2"/>
      <c r="AMB65" s="2"/>
      <c r="AMC65" s="2"/>
      <c r="AMD65" s="2"/>
      <c r="AME65" s="2"/>
      <c r="AMF65" s="2"/>
      <c r="AMG65" s="2"/>
      <c r="AMH65" s="2"/>
      <c r="AMI65" s="2"/>
      <c r="AMJ65" s="2"/>
      <c r="AMK65" s="2"/>
      <c r="AML65" s="2"/>
      <c r="AMM65" s="2"/>
      <c r="AMN65" s="2"/>
      <c r="AMO65" s="2"/>
      <c r="AMP65" s="2"/>
      <c r="AMQ65" s="2"/>
      <c r="AMR65" s="2"/>
      <c r="AMS65" s="2"/>
      <c r="AMT65" s="2"/>
      <c r="AMU65" s="2"/>
      <c r="AMV65" s="2"/>
      <c r="AMW65" s="2"/>
      <c r="AMX65" s="2"/>
      <c r="AMY65" s="2"/>
      <c r="AMZ65" s="2"/>
      <c r="ANA65" s="2"/>
      <c r="ANB65" s="2"/>
      <c r="ANC65" s="2"/>
      <c r="AND65" s="2"/>
      <c r="ANE65" s="2"/>
      <c r="ANF65" s="2"/>
      <c r="ANG65" s="2"/>
      <c r="ANH65" s="2"/>
      <c r="ANI65" s="2"/>
      <c r="ANJ65" s="2"/>
      <c r="ANK65" s="2"/>
      <c r="ANL65" s="2"/>
      <c r="ANM65" s="2"/>
      <c r="ANN65" s="2"/>
      <c r="ANO65" s="2"/>
      <c r="ANP65" s="2"/>
      <c r="ANQ65" s="2"/>
      <c r="ANR65" s="2"/>
      <c r="ANS65" s="2"/>
      <c r="ANT65" s="2"/>
      <c r="ANU65" s="2"/>
      <c r="ANV65" s="2"/>
      <c r="ANW65" s="2"/>
      <c r="ANX65" s="2"/>
      <c r="ANY65" s="2"/>
      <c r="ANZ65" s="2"/>
      <c r="AOA65" s="2"/>
      <c r="AOB65" s="2"/>
      <c r="AOC65" s="2"/>
      <c r="AOD65" s="2"/>
      <c r="AOE65" s="2"/>
      <c r="AOF65" s="2"/>
      <c r="AOG65" s="2"/>
      <c r="AOH65" s="2"/>
      <c r="AOI65" s="2"/>
      <c r="AOJ65" s="2"/>
      <c r="AOK65" s="2"/>
      <c r="AOL65" s="2"/>
      <c r="AOM65" s="2"/>
      <c r="AON65" s="2"/>
      <c r="AOO65" s="2"/>
      <c r="AOP65" s="2"/>
      <c r="AOQ65" s="2"/>
      <c r="AOR65" s="2"/>
      <c r="AOS65" s="2"/>
      <c r="AOT65" s="2"/>
      <c r="AOU65" s="2"/>
      <c r="AOV65" s="2"/>
      <c r="AOW65" s="2"/>
      <c r="AOX65" s="2"/>
      <c r="AOY65" s="2"/>
      <c r="AOZ65" s="2"/>
      <c r="APA65" s="2"/>
      <c r="APB65" s="2"/>
      <c r="APC65" s="2"/>
      <c r="APD65" s="2"/>
      <c r="APE65" s="2"/>
      <c r="APF65" s="2"/>
      <c r="APG65" s="2"/>
      <c r="APH65" s="2"/>
      <c r="API65" s="2"/>
      <c r="APJ65" s="2"/>
      <c r="APK65" s="2"/>
      <c r="APL65" s="2"/>
      <c r="APM65" s="2"/>
      <c r="APN65" s="2"/>
      <c r="APO65" s="2"/>
      <c r="APP65" s="2"/>
      <c r="APQ65" s="2"/>
      <c r="APR65" s="2"/>
      <c r="APS65" s="2"/>
      <c r="APT65" s="2"/>
      <c r="APU65" s="2"/>
      <c r="APV65" s="2"/>
      <c r="APW65" s="2"/>
      <c r="APX65" s="2"/>
      <c r="APY65" s="2"/>
      <c r="APZ65" s="2"/>
      <c r="AQA65" s="2"/>
      <c r="AQB65" s="2"/>
      <c r="AQC65" s="2"/>
      <c r="AQD65" s="2"/>
      <c r="AQE65" s="2"/>
      <c r="AQF65" s="2"/>
      <c r="AQG65" s="2"/>
      <c r="AQH65" s="2"/>
      <c r="AQI65" s="2"/>
      <c r="AQJ65" s="2"/>
      <c r="AQK65" s="2"/>
      <c r="AQL65" s="2"/>
      <c r="AQM65" s="2"/>
      <c r="AQN65" s="2"/>
      <c r="AQO65" s="2"/>
      <c r="AQP65" s="2"/>
      <c r="AQQ65" s="2"/>
      <c r="AQR65" s="2"/>
      <c r="AQS65" s="2"/>
      <c r="AQT65" s="2"/>
      <c r="AQU65" s="2"/>
      <c r="AQV65" s="2"/>
      <c r="AQW65" s="2"/>
      <c r="AQX65" s="2"/>
      <c r="AQY65" s="2"/>
      <c r="AQZ65" s="2"/>
      <c r="ARA65" s="2"/>
      <c r="ARB65" s="2"/>
      <c r="ARC65" s="2"/>
      <c r="ARD65" s="2"/>
      <c r="ARE65" s="2"/>
      <c r="ARF65" s="2"/>
      <c r="ARG65" s="2"/>
      <c r="ARH65" s="2"/>
      <c r="ARI65" s="2"/>
      <c r="ARJ65" s="2"/>
      <c r="ARK65" s="2"/>
      <c r="ARL65" s="2"/>
      <c r="ARM65" s="2"/>
      <c r="ARN65" s="2"/>
      <c r="ARO65" s="2"/>
      <c r="ARP65" s="2"/>
      <c r="ARQ65" s="2"/>
      <c r="ARR65" s="2"/>
      <c r="ARS65" s="2"/>
      <c r="ART65" s="2"/>
      <c r="ARU65" s="2"/>
      <c r="ARV65" s="2"/>
      <c r="ARW65" s="2"/>
      <c r="ARX65" s="2"/>
      <c r="ARY65" s="2"/>
      <c r="ARZ65" s="2"/>
      <c r="ASA65" s="2"/>
      <c r="ASB65" s="2"/>
      <c r="ASC65" s="2"/>
      <c r="ASD65" s="2"/>
      <c r="ASE65" s="2"/>
      <c r="ASF65" s="2"/>
      <c r="ASG65" s="2"/>
      <c r="ASH65" s="2"/>
      <c r="ASI65" s="2"/>
      <c r="ASJ65" s="2"/>
      <c r="ASK65" s="2"/>
      <c r="ASL65" s="2"/>
      <c r="ASM65" s="2"/>
      <c r="ASN65" s="2"/>
      <c r="ASO65" s="2"/>
      <c r="ASP65" s="2"/>
      <c r="ASQ65" s="2"/>
      <c r="ASR65" s="2"/>
      <c r="ASS65" s="2"/>
      <c r="AST65" s="2"/>
      <c r="ASU65" s="2"/>
      <c r="ASV65" s="2"/>
      <c r="ASW65" s="2"/>
      <c r="ASX65" s="2"/>
      <c r="ASY65" s="2"/>
      <c r="ASZ65" s="2"/>
      <c r="ATA65" s="2"/>
      <c r="ATB65" s="2"/>
      <c r="ATC65" s="2"/>
      <c r="ATD65" s="2"/>
      <c r="ATE65" s="2"/>
      <c r="ATF65" s="2"/>
      <c r="ATG65" s="2"/>
      <c r="ATH65" s="2"/>
      <c r="ATI65" s="2"/>
      <c r="ATJ65" s="2"/>
      <c r="ATK65" s="2"/>
      <c r="ATL65" s="2"/>
      <c r="ATM65" s="2"/>
      <c r="ATN65" s="2"/>
      <c r="ATO65" s="2"/>
      <c r="ATP65" s="2"/>
      <c r="ATQ65" s="2"/>
      <c r="ATR65" s="2"/>
      <c r="ATS65" s="2"/>
      <c r="ATT65" s="2"/>
      <c r="ATU65" s="2"/>
      <c r="ATV65" s="2"/>
      <c r="ATW65" s="2"/>
      <c r="ATX65" s="2"/>
      <c r="ATY65" s="2"/>
      <c r="ATZ65" s="2"/>
      <c r="AUA65" s="2"/>
      <c r="AUB65" s="2"/>
      <c r="AUC65" s="2"/>
      <c r="AUD65" s="2"/>
      <c r="AUE65" s="2"/>
      <c r="AUF65" s="2"/>
      <c r="AUG65" s="2"/>
      <c r="AUH65" s="2"/>
      <c r="AUI65" s="2"/>
      <c r="AUJ65" s="2"/>
      <c r="AUK65" s="2"/>
      <c r="AUL65" s="2"/>
      <c r="AUM65" s="2"/>
      <c r="AUN65" s="2"/>
      <c r="AUO65" s="2"/>
      <c r="AUP65" s="2"/>
      <c r="AUQ65" s="2"/>
      <c r="AUR65" s="2"/>
      <c r="AUS65" s="2"/>
      <c r="AUT65" s="2"/>
      <c r="AUU65" s="2"/>
      <c r="AUV65" s="2"/>
      <c r="AUW65" s="2"/>
      <c r="AUX65" s="2"/>
      <c r="AUY65" s="2"/>
      <c r="AUZ65" s="2"/>
      <c r="AVA65" s="2"/>
      <c r="AVB65" s="2"/>
      <c r="AVC65" s="2"/>
      <c r="AVD65" s="2"/>
      <c r="AVE65" s="2"/>
      <c r="AVF65" s="2"/>
      <c r="AVG65" s="2"/>
      <c r="AVH65" s="2"/>
      <c r="AVI65" s="2"/>
      <c r="AVJ65" s="2"/>
      <c r="AVK65" s="2"/>
      <c r="AVL65" s="2"/>
      <c r="AVM65" s="2"/>
      <c r="AVN65" s="2"/>
      <c r="AVO65" s="2"/>
      <c r="AVP65" s="2"/>
      <c r="AVQ65" s="2"/>
      <c r="AVR65" s="2"/>
      <c r="AVS65" s="2"/>
      <c r="AVT65" s="2"/>
      <c r="AVU65" s="2"/>
      <c r="AVV65" s="2"/>
      <c r="AVW65" s="2"/>
      <c r="AVX65" s="2"/>
      <c r="AVY65" s="2"/>
      <c r="AVZ65" s="2"/>
      <c r="AWA65" s="2"/>
      <c r="AWB65" s="2"/>
      <c r="AWC65" s="2"/>
      <c r="AWD65" s="2"/>
      <c r="AWE65" s="2"/>
      <c r="AWF65" s="2"/>
      <c r="AWG65" s="2"/>
      <c r="AWH65" s="2"/>
      <c r="AWI65" s="2"/>
      <c r="AWJ65" s="2"/>
      <c r="AWK65" s="2"/>
      <c r="AWL65" s="2"/>
      <c r="AWM65" s="2"/>
      <c r="AWN65" s="2"/>
      <c r="AWO65" s="2"/>
      <c r="AWP65" s="2"/>
      <c r="AWQ65" s="2"/>
      <c r="AWR65" s="2"/>
      <c r="AWS65" s="2"/>
      <c r="AWT65" s="2"/>
      <c r="AWU65" s="2"/>
      <c r="AWV65" s="2"/>
      <c r="AWW65" s="2"/>
      <c r="AWX65" s="2"/>
      <c r="AWY65" s="2"/>
      <c r="AWZ65" s="2"/>
      <c r="AXA65" s="2"/>
      <c r="AXB65" s="2"/>
      <c r="AXC65" s="2"/>
      <c r="AXD65" s="2"/>
      <c r="AXE65" s="2"/>
      <c r="AXF65" s="2"/>
      <c r="AXG65" s="2"/>
      <c r="AXH65" s="2"/>
      <c r="AXI65" s="2"/>
      <c r="AXJ65" s="2"/>
      <c r="AXK65" s="2"/>
      <c r="AXL65" s="2"/>
      <c r="AXM65" s="2"/>
      <c r="AXN65" s="2"/>
      <c r="AXO65" s="2"/>
      <c r="AXP65" s="2"/>
      <c r="AXQ65" s="2"/>
      <c r="AXR65" s="2"/>
      <c r="AXS65" s="2"/>
      <c r="AXT65" s="2"/>
      <c r="AXU65" s="2"/>
      <c r="AXV65" s="2"/>
      <c r="AXW65" s="2"/>
      <c r="AXX65" s="2"/>
      <c r="AXY65" s="2"/>
      <c r="AXZ65" s="2"/>
      <c r="AYA65" s="2"/>
      <c r="AYB65" s="2"/>
      <c r="AYC65" s="2"/>
      <c r="AYD65" s="2"/>
      <c r="AYE65" s="2"/>
      <c r="AYF65" s="2"/>
      <c r="AYG65" s="2"/>
      <c r="AYH65" s="2"/>
      <c r="AYI65" s="2"/>
      <c r="AYJ65" s="2"/>
      <c r="AYK65" s="2"/>
      <c r="AYL65" s="2"/>
      <c r="AYM65" s="2"/>
      <c r="AYN65" s="2"/>
      <c r="AYO65" s="2"/>
      <c r="AYP65" s="2"/>
      <c r="AYQ65" s="2"/>
      <c r="AYR65" s="2"/>
      <c r="AYS65" s="2"/>
      <c r="AYT65" s="2"/>
      <c r="AYU65" s="2"/>
      <c r="AYV65" s="2"/>
      <c r="AYW65" s="2"/>
      <c r="AYX65" s="2"/>
      <c r="AYY65" s="2"/>
      <c r="AYZ65" s="2"/>
      <c r="AZA65" s="2"/>
      <c r="AZB65" s="2"/>
      <c r="AZC65" s="2"/>
      <c r="AZD65" s="2"/>
      <c r="AZE65" s="2"/>
      <c r="AZF65" s="2"/>
      <c r="AZG65" s="2"/>
      <c r="AZH65" s="2"/>
      <c r="AZI65" s="2"/>
      <c r="AZJ65" s="2"/>
      <c r="AZK65" s="2"/>
      <c r="AZL65" s="2"/>
      <c r="AZM65" s="2"/>
      <c r="AZN65" s="2"/>
      <c r="AZO65" s="2"/>
      <c r="AZP65" s="2"/>
      <c r="AZQ65" s="2"/>
      <c r="AZR65" s="2"/>
      <c r="AZS65" s="2"/>
      <c r="AZT65" s="2"/>
      <c r="AZU65" s="2"/>
      <c r="AZV65" s="2"/>
      <c r="AZW65" s="2"/>
      <c r="AZX65" s="2"/>
      <c r="AZY65" s="2"/>
      <c r="AZZ65" s="2"/>
      <c r="BAA65" s="2"/>
      <c r="BAB65" s="2"/>
      <c r="BAC65" s="2"/>
      <c r="BAD65" s="2"/>
      <c r="BAE65" s="2"/>
      <c r="BAF65" s="2"/>
      <c r="BAG65" s="2"/>
      <c r="BAH65" s="2"/>
      <c r="BAI65" s="2"/>
      <c r="BAJ65" s="2"/>
      <c r="BAK65" s="2"/>
      <c r="BAL65" s="2"/>
      <c r="BAM65" s="2"/>
      <c r="BAN65" s="2"/>
      <c r="BAO65" s="2"/>
      <c r="BAP65" s="2"/>
      <c r="BAQ65" s="2"/>
      <c r="BAR65" s="2"/>
      <c r="BAS65" s="2"/>
      <c r="BAT65" s="2"/>
      <c r="BAU65" s="2"/>
      <c r="BAV65" s="2"/>
      <c r="BAW65" s="2"/>
      <c r="BAX65" s="2"/>
      <c r="BAY65" s="2"/>
      <c r="BAZ65" s="2"/>
      <c r="BBA65" s="2"/>
      <c r="BBB65" s="2"/>
      <c r="BBC65" s="2"/>
      <c r="BBD65" s="2"/>
      <c r="BBE65" s="2"/>
      <c r="BBF65" s="2"/>
      <c r="BBG65" s="2"/>
      <c r="BBH65" s="2"/>
      <c r="BBI65" s="2"/>
      <c r="BBJ65" s="2"/>
      <c r="BBK65" s="2"/>
      <c r="BBL65" s="2"/>
      <c r="BBM65" s="2"/>
      <c r="BBN65" s="2"/>
      <c r="BBO65" s="2"/>
      <c r="BBP65" s="2"/>
      <c r="BBQ65" s="2"/>
      <c r="BBR65" s="2"/>
      <c r="BBS65" s="2"/>
      <c r="BBT65" s="2"/>
      <c r="BBU65" s="2"/>
      <c r="BBV65" s="2"/>
      <c r="BBW65" s="2"/>
      <c r="BBX65" s="2"/>
      <c r="BBY65" s="2"/>
      <c r="BBZ65" s="2"/>
      <c r="BCA65" s="2"/>
      <c r="BCB65" s="2"/>
      <c r="BCC65" s="2"/>
      <c r="BCD65" s="2"/>
      <c r="BCE65" s="2"/>
      <c r="BCF65" s="2"/>
      <c r="BCG65" s="2"/>
      <c r="BCH65" s="2"/>
      <c r="BCI65" s="2"/>
      <c r="BCJ65" s="2"/>
      <c r="BCK65" s="2"/>
      <c r="BCL65" s="2"/>
      <c r="BCM65" s="2"/>
      <c r="BCN65" s="2"/>
      <c r="BCO65" s="2"/>
      <c r="BCP65" s="2"/>
      <c r="BCQ65" s="2"/>
      <c r="BCR65" s="2"/>
      <c r="BCS65" s="2"/>
      <c r="BCT65" s="2"/>
      <c r="BCU65" s="2"/>
      <c r="BCV65" s="2"/>
      <c r="BCW65" s="2"/>
      <c r="BCX65" s="2"/>
      <c r="BCY65" s="2"/>
      <c r="BCZ65" s="2"/>
      <c r="BDA65" s="2"/>
      <c r="BDB65" s="2"/>
      <c r="BDC65" s="2"/>
      <c r="BDD65" s="2"/>
      <c r="BDE65" s="2"/>
      <c r="BDF65" s="2"/>
      <c r="BDG65" s="2"/>
      <c r="BDH65" s="2"/>
      <c r="BDI65" s="2"/>
      <c r="BDJ65" s="2"/>
      <c r="BDK65" s="2"/>
      <c r="BDL65" s="2"/>
      <c r="BDM65" s="2"/>
      <c r="BDN65" s="2"/>
      <c r="BDO65" s="2"/>
      <c r="BDP65" s="2"/>
      <c r="BDQ65" s="2"/>
      <c r="BDR65" s="2"/>
      <c r="BDS65" s="2"/>
      <c r="BDT65" s="2"/>
      <c r="BDU65" s="2"/>
      <c r="BDV65" s="2"/>
      <c r="BDW65" s="2"/>
      <c r="BDX65" s="2"/>
      <c r="BDY65" s="2"/>
      <c r="BDZ65" s="2"/>
      <c r="BEA65" s="2"/>
      <c r="BEB65" s="2"/>
      <c r="BEC65" s="2"/>
      <c r="BED65" s="2"/>
      <c r="BEE65" s="2"/>
      <c r="BEF65" s="2"/>
      <c r="BEG65" s="2"/>
      <c r="BEH65" s="2"/>
      <c r="BEI65" s="2"/>
      <c r="BEJ65" s="2"/>
      <c r="BEK65" s="2"/>
      <c r="BEL65" s="2"/>
      <c r="BEM65" s="2"/>
      <c r="BEN65" s="2"/>
      <c r="BEO65" s="2"/>
      <c r="BEP65" s="2"/>
      <c r="BEQ65" s="2"/>
      <c r="BER65" s="2"/>
      <c r="BES65" s="2"/>
      <c r="BET65" s="2"/>
      <c r="BEU65" s="2"/>
      <c r="BEV65" s="2"/>
      <c r="BEW65" s="2"/>
      <c r="BEX65" s="2"/>
      <c r="BEY65" s="2"/>
      <c r="BEZ65" s="2"/>
      <c r="BFA65" s="2"/>
      <c r="BFB65" s="2"/>
      <c r="BFC65" s="2"/>
      <c r="BFD65" s="2"/>
      <c r="BFE65" s="2"/>
      <c r="BFF65" s="2"/>
      <c r="BFG65" s="2"/>
      <c r="BFH65" s="2"/>
      <c r="BFI65" s="2"/>
      <c r="BFJ65" s="2"/>
      <c r="BFK65" s="2"/>
      <c r="BFL65" s="2"/>
      <c r="BFM65" s="2"/>
      <c r="BFN65" s="2"/>
      <c r="BFO65" s="2"/>
      <c r="BFP65" s="2"/>
      <c r="BFQ65" s="2"/>
      <c r="BFR65" s="2"/>
      <c r="BFS65" s="2"/>
      <c r="BFT65" s="2"/>
      <c r="BFU65" s="2"/>
      <c r="BFV65" s="2"/>
      <c r="BFW65" s="2"/>
      <c r="BFX65" s="2"/>
      <c r="BFY65" s="2"/>
      <c r="BFZ65" s="2"/>
      <c r="BGA65" s="2"/>
      <c r="BGB65" s="2"/>
      <c r="BGC65" s="2"/>
      <c r="BGD65" s="2"/>
      <c r="BGE65" s="2"/>
      <c r="BGF65" s="2"/>
      <c r="BGG65" s="2"/>
      <c r="BGH65" s="2"/>
      <c r="BGI65" s="2"/>
      <c r="BGJ65" s="2"/>
      <c r="BGK65" s="2"/>
      <c r="BGL65" s="2"/>
      <c r="BGM65" s="2"/>
      <c r="BGN65" s="2"/>
      <c r="BGO65" s="2"/>
      <c r="BGP65" s="2"/>
      <c r="BGQ65" s="2"/>
      <c r="BGR65" s="2"/>
      <c r="BGS65" s="2"/>
      <c r="BGT65" s="2"/>
      <c r="BGU65" s="2"/>
      <c r="BGV65" s="2"/>
      <c r="BGW65" s="2"/>
      <c r="BGX65" s="2"/>
      <c r="BGY65" s="2"/>
      <c r="BGZ65" s="2"/>
      <c r="BHA65" s="2"/>
      <c r="BHB65" s="2"/>
      <c r="BHC65" s="2"/>
      <c r="BHD65" s="2"/>
      <c r="BHE65" s="2"/>
      <c r="BHF65" s="2"/>
      <c r="BHG65" s="2"/>
      <c r="BHH65" s="2"/>
      <c r="BHI65" s="2"/>
      <c r="BHJ65" s="2"/>
      <c r="BHK65" s="2"/>
      <c r="BHL65" s="2"/>
      <c r="BHM65" s="2"/>
      <c r="BHN65" s="2"/>
      <c r="BHO65" s="2"/>
      <c r="BHP65" s="2"/>
      <c r="BHQ65" s="2"/>
      <c r="BHR65" s="2"/>
      <c r="BHS65" s="2"/>
      <c r="BHT65" s="2"/>
      <c r="BHU65" s="2"/>
      <c r="BHV65" s="2"/>
      <c r="BHW65" s="2"/>
      <c r="BHX65" s="2"/>
      <c r="BHY65" s="2"/>
      <c r="BHZ65" s="2"/>
      <c r="BIA65" s="2"/>
      <c r="BIB65" s="2"/>
      <c r="BIC65" s="2"/>
      <c r="BID65" s="2"/>
      <c r="BIE65" s="2"/>
      <c r="BIF65" s="2"/>
      <c r="BIG65" s="2"/>
      <c r="BIH65" s="2"/>
      <c r="BII65" s="2"/>
      <c r="BIJ65" s="2"/>
      <c r="BIK65" s="2"/>
      <c r="BIL65" s="2"/>
      <c r="BIM65" s="2"/>
      <c r="BIN65" s="2"/>
      <c r="BIO65" s="2"/>
      <c r="BIP65" s="2"/>
      <c r="BIQ65" s="2"/>
      <c r="BIR65" s="2"/>
      <c r="BIS65" s="2"/>
      <c r="BIT65" s="2"/>
      <c r="BIU65" s="2"/>
      <c r="BIV65" s="2"/>
      <c r="BIW65" s="2"/>
      <c r="BIX65" s="2"/>
      <c r="BIY65" s="2"/>
      <c r="BIZ65" s="2"/>
      <c r="BJA65" s="2"/>
      <c r="BJB65" s="2"/>
      <c r="BJC65" s="2"/>
      <c r="BJD65" s="2"/>
      <c r="BJE65" s="2"/>
      <c r="BJF65" s="2"/>
      <c r="BJG65" s="2"/>
      <c r="BJH65" s="2"/>
      <c r="BJI65" s="2"/>
      <c r="BJJ65" s="2"/>
      <c r="BJK65" s="2"/>
      <c r="BJL65" s="2"/>
      <c r="BJM65" s="2"/>
      <c r="BJN65" s="2"/>
      <c r="BJO65" s="2"/>
      <c r="BJP65" s="2"/>
      <c r="BJQ65" s="2"/>
      <c r="BJR65" s="2"/>
      <c r="BJS65" s="2"/>
      <c r="BJT65" s="2"/>
      <c r="BJU65" s="2"/>
      <c r="BJV65" s="2"/>
      <c r="BJW65" s="2"/>
      <c r="BJX65" s="2"/>
      <c r="BJY65" s="2"/>
      <c r="BJZ65" s="2"/>
      <c r="BKA65" s="2"/>
      <c r="BKB65" s="2"/>
      <c r="BKC65" s="2"/>
      <c r="BKD65" s="2"/>
      <c r="BKE65" s="2"/>
      <c r="BKF65" s="2"/>
      <c r="BKG65" s="2"/>
      <c r="BKH65" s="2"/>
      <c r="BKI65" s="2"/>
      <c r="BKJ65" s="2"/>
      <c r="BKK65" s="2"/>
      <c r="BKL65" s="2"/>
      <c r="BKM65" s="2"/>
      <c r="BKN65" s="2"/>
      <c r="BKO65" s="2"/>
      <c r="BKP65" s="2"/>
      <c r="BKQ65" s="2"/>
      <c r="BKR65" s="2"/>
      <c r="BKS65" s="2"/>
      <c r="BKT65" s="2"/>
      <c r="BKU65" s="2"/>
      <c r="BKV65" s="2"/>
      <c r="BKW65" s="2"/>
      <c r="BKX65" s="2"/>
      <c r="BKY65" s="2"/>
      <c r="BKZ65" s="2"/>
      <c r="BLA65" s="2"/>
      <c r="BLB65" s="2"/>
      <c r="BLC65" s="2"/>
      <c r="BLD65" s="2"/>
      <c r="BLE65" s="2"/>
      <c r="BLF65" s="2"/>
      <c r="BLG65" s="2"/>
      <c r="BLH65" s="2"/>
      <c r="BLI65" s="2"/>
      <c r="BLJ65" s="2"/>
      <c r="BLK65" s="2"/>
      <c r="BLL65" s="2"/>
      <c r="BLM65" s="2"/>
      <c r="BLN65" s="2"/>
      <c r="BLO65" s="2"/>
      <c r="BLP65" s="2"/>
      <c r="BLQ65" s="2"/>
      <c r="BLR65" s="2"/>
      <c r="BLS65" s="2"/>
      <c r="BLT65" s="2"/>
      <c r="BLU65" s="2"/>
      <c r="BLV65" s="2"/>
      <c r="BLW65" s="2"/>
      <c r="BLX65" s="2"/>
      <c r="BLY65" s="2"/>
      <c r="BLZ65" s="2"/>
      <c r="BMA65" s="2"/>
      <c r="BMB65" s="2"/>
      <c r="BMC65" s="2"/>
      <c r="BMD65" s="2"/>
      <c r="BME65" s="2"/>
      <c r="BMF65" s="2"/>
      <c r="BMG65" s="2"/>
      <c r="BMH65" s="2"/>
      <c r="BMI65" s="2"/>
      <c r="BMJ65" s="2"/>
      <c r="BMK65" s="2"/>
      <c r="BML65" s="2"/>
      <c r="BMM65" s="2"/>
      <c r="BMN65" s="2"/>
      <c r="BMO65" s="2"/>
      <c r="BMP65" s="2"/>
      <c r="BMQ65" s="2"/>
      <c r="BMR65" s="2"/>
      <c r="BMS65" s="2"/>
      <c r="BMT65" s="2"/>
      <c r="BMU65" s="2"/>
      <c r="BMV65" s="2"/>
      <c r="BMW65" s="2"/>
      <c r="BMX65" s="2"/>
      <c r="BMY65" s="2"/>
      <c r="BMZ65" s="2"/>
      <c r="BNA65" s="2"/>
      <c r="BNB65" s="2"/>
      <c r="BNC65" s="2"/>
      <c r="BND65" s="2"/>
      <c r="BNE65" s="2"/>
      <c r="BNF65" s="2"/>
      <c r="BNG65" s="2"/>
      <c r="BNH65" s="2"/>
      <c r="BNI65" s="2"/>
      <c r="BNJ65" s="2"/>
      <c r="BNK65" s="2"/>
      <c r="BNL65" s="2"/>
      <c r="BNM65" s="2"/>
      <c r="BNN65" s="2"/>
      <c r="BNO65" s="2"/>
      <c r="BNP65" s="2"/>
      <c r="BNQ65" s="2"/>
      <c r="BNR65" s="2"/>
      <c r="BNS65" s="2"/>
      <c r="BNT65" s="2"/>
      <c r="BNU65" s="2"/>
      <c r="BNV65" s="2"/>
      <c r="BNW65" s="2"/>
      <c r="BNX65" s="2"/>
      <c r="BNY65" s="2"/>
      <c r="BNZ65" s="2"/>
      <c r="BOA65" s="2"/>
      <c r="BOB65" s="2"/>
      <c r="BOC65" s="2"/>
      <c r="BOD65" s="2"/>
      <c r="BOE65" s="2"/>
      <c r="BOF65" s="2"/>
      <c r="BOG65" s="2"/>
      <c r="BOH65" s="2"/>
      <c r="BOI65" s="2"/>
      <c r="BOJ65" s="2"/>
      <c r="BOK65" s="2"/>
      <c r="BOL65" s="2"/>
      <c r="BOM65" s="2"/>
      <c r="BON65" s="2"/>
      <c r="BOO65" s="2"/>
      <c r="BOP65" s="2"/>
      <c r="BOQ65" s="2"/>
      <c r="BOR65" s="2"/>
      <c r="BOS65" s="2"/>
      <c r="BOT65" s="2"/>
      <c r="BOU65" s="2"/>
      <c r="BOV65" s="2"/>
      <c r="BOW65" s="2"/>
      <c r="BOX65" s="2"/>
      <c r="BOY65" s="2"/>
      <c r="BOZ65" s="2"/>
      <c r="BPA65" s="2"/>
      <c r="BPB65" s="2"/>
      <c r="BPC65" s="2"/>
      <c r="BPD65" s="2"/>
      <c r="BPE65" s="2"/>
      <c r="BPF65" s="2"/>
      <c r="BPG65" s="2"/>
      <c r="BPH65" s="2"/>
      <c r="BPI65" s="2"/>
      <c r="BPJ65" s="2"/>
      <c r="BPK65" s="2"/>
      <c r="BPL65" s="2"/>
      <c r="BPM65" s="2"/>
      <c r="BPN65" s="2"/>
      <c r="BPO65" s="2"/>
      <c r="BPP65" s="2"/>
      <c r="BPQ65" s="2"/>
      <c r="BPR65" s="2"/>
      <c r="BPS65" s="2"/>
      <c r="BPT65" s="2"/>
      <c r="BPU65" s="2"/>
      <c r="BPV65" s="2"/>
      <c r="BPW65" s="2"/>
      <c r="BPX65" s="2"/>
      <c r="BPY65" s="2"/>
      <c r="BPZ65" s="2"/>
      <c r="BQA65" s="2"/>
      <c r="BQB65" s="2"/>
      <c r="BQC65" s="2"/>
      <c r="BQD65" s="2"/>
      <c r="BQE65" s="2"/>
      <c r="BQF65" s="2"/>
      <c r="BQG65" s="2"/>
      <c r="BQH65" s="2"/>
      <c r="BQI65" s="2"/>
      <c r="BQJ65" s="2"/>
      <c r="BQK65" s="2"/>
      <c r="BQL65" s="2"/>
      <c r="BQM65" s="2"/>
      <c r="BQN65" s="2"/>
      <c r="BQO65" s="2"/>
      <c r="BQP65" s="2"/>
      <c r="BQQ65" s="2"/>
      <c r="BQR65" s="2"/>
      <c r="BQS65" s="2"/>
      <c r="BQT65" s="2"/>
      <c r="BQU65" s="2"/>
      <c r="BQV65" s="2"/>
      <c r="BQW65" s="2"/>
      <c r="BQX65" s="2"/>
      <c r="BQY65" s="2"/>
      <c r="BQZ65" s="2"/>
      <c r="BRA65" s="2"/>
      <c r="BRB65" s="2"/>
      <c r="BRC65" s="2"/>
      <c r="BRD65" s="2"/>
      <c r="BRE65" s="2"/>
      <c r="BRF65" s="2"/>
      <c r="BRG65" s="2"/>
      <c r="BRH65" s="2"/>
      <c r="BRI65" s="2"/>
      <c r="BRJ65" s="2"/>
      <c r="BRK65" s="2"/>
      <c r="BRL65" s="2"/>
      <c r="BRM65" s="2"/>
      <c r="BRN65" s="2"/>
      <c r="BRO65" s="2"/>
      <c r="BRP65" s="2"/>
      <c r="BRQ65" s="2"/>
      <c r="BRR65" s="2"/>
      <c r="BRS65" s="2"/>
      <c r="BRT65" s="2"/>
      <c r="BRU65" s="2"/>
      <c r="BRV65" s="2"/>
      <c r="BRW65" s="2"/>
      <c r="BRX65" s="2"/>
      <c r="BRY65" s="2"/>
      <c r="BRZ65" s="2"/>
      <c r="BSA65" s="2"/>
      <c r="BSB65" s="2"/>
      <c r="BSC65" s="2"/>
      <c r="BSD65" s="2"/>
      <c r="BSE65" s="2"/>
      <c r="BSF65" s="2"/>
      <c r="BSG65" s="2"/>
      <c r="BSH65" s="2"/>
      <c r="BSI65" s="2"/>
      <c r="BSJ65" s="2"/>
      <c r="BSK65" s="2"/>
      <c r="BSL65" s="2"/>
      <c r="BSM65" s="2"/>
      <c r="BSN65" s="2"/>
      <c r="BSO65" s="2"/>
      <c r="BSP65" s="2"/>
      <c r="BSQ65" s="2"/>
      <c r="BSR65" s="2"/>
      <c r="BSS65" s="2"/>
      <c r="BST65" s="2"/>
      <c r="BSU65" s="2"/>
      <c r="BSV65" s="2"/>
      <c r="BSW65" s="2"/>
      <c r="BSX65" s="2"/>
      <c r="BSY65" s="2"/>
      <c r="BSZ65" s="2"/>
      <c r="BTA65" s="2"/>
      <c r="BTB65" s="2"/>
      <c r="BTC65" s="2"/>
      <c r="BTD65" s="2"/>
      <c r="BTE65" s="2"/>
      <c r="BTF65" s="2"/>
      <c r="BTG65" s="2"/>
      <c r="BTH65" s="2"/>
      <c r="BTI65" s="2"/>
      <c r="BTJ65" s="2"/>
      <c r="BTK65" s="2"/>
      <c r="BTL65" s="2"/>
      <c r="BTM65" s="2"/>
      <c r="BTN65" s="2"/>
      <c r="BTO65" s="2"/>
      <c r="BTP65" s="2"/>
      <c r="BTQ65" s="2"/>
      <c r="BTR65" s="2"/>
      <c r="BTS65" s="2"/>
      <c r="BTT65" s="2"/>
      <c r="BTU65" s="2"/>
      <c r="BTV65" s="2"/>
      <c r="BTW65" s="2"/>
      <c r="BTX65" s="2"/>
      <c r="BTY65" s="2"/>
      <c r="BTZ65" s="2"/>
      <c r="BUA65" s="2"/>
      <c r="BUB65" s="2"/>
      <c r="BUC65" s="2"/>
      <c r="BUD65" s="2"/>
      <c r="BUE65" s="2"/>
      <c r="BUF65" s="2"/>
      <c r="BUG65" s="2"/>
      <c r="BUH65" s="2"/>
      <c r="BUI65" s="2"/>
      <c r="BUJ65" s="2"/>
      <c r="BUK65" s="2"/>
      <c r="BUL65" s="2"/>
      <c r="BUM65" s="2"/>
      <c r="BUN65" s="2"/>
      <c r="BUO65" s="2"/>
      <c r="BUP65" s="2"/>
      <c r="BUQ65" s="2"/>
      <c r="BUR65" s="2"/>
      <c r="BUS65" s="2"/>
      <c r="BUT65" s="2"/>
      <c r="BUU65" s="2"/>
      <c r="BUV65" s="2"/>
      <c r="BUW65" s="2"/>
      <c r="BUX65" s="2"/>
      <c r="BUY65" s="2"/>
      <c r="BUZ65" s="2"/>
      <c r="BVA65" s="2"/>
      <c r="BVB65" s="2"/>
      <c r="BVC65" s="2"/>
      <c r="BVD65" s="2"/>
      <c r="BVE65" s="2"/>
      <c r="BVF65" s="2"/>
      <c r="BVG65" s="2"/>
      <c r="BVH65" s="2"/>
      <c r="BVI65" s="2"/>
      <c r="BVJ65" s="2"/>
      <c r="BVK65" s="2"/>
      <c r="BVL65" s="2"/>
      <c r="BVM65" s="2"/>
      <c r="BVN65" s="2"/>
      <c r="BVO65" s="2"/>
      <c r="BVP65" s="2"/>
      <c r="BVQ65" s="2"/>
      <c r="BVR65" s="2"/>
      <c r="BVS65" s="2"/>
      <c r="BVT65" s="2"/>
      <c r="BVU65" s="2"/>
      <c r="BVV65" s="2"/>
      <c r="BVW65" s="2"/>
      <c r="BVX65" s="2"/>
      <c r="BVY65" s="2"/>
      <c r="BVZ65" s="2"/>
      <c r="BWA65" s="2"/>
      <c r="BWB65" s="2"/>
      <c r="BWC65" s="2"/>
      <c r="BWD65" s="2"/>
      <c r="BWE65" s="2"/>
      <c r="BWF65" s="2"/>
      <c r="BWG65" s="2"/>
      <c r="BWH65" s="2"/>
      <c r="BWI65" s="2"/>
      <c r="BWJ65" s="2"/>
      <c r="BWK65" s="2"/>
      <c r="BWL65" s="2"/>
      <c r="BWM65" s="2"/>
      <c r="BWN65" s="2"/>
      <c r="BWO65" s="2"/>
      <c r="BWP65" s="2"/>
      <c r="BWQ65" s="2"/>
      <c r="BWR65" s="2"/>
      <c r="BWS65" s="2"/>
      <c r="BWT65" s="2"/>
      <c r="BWU65" s="2"/>
      <c r="BWV65" s="2"/>
      <c r="BWW65" s="2"/>
      <c r="BWX65" s="2"/>
      <c r="BWY65" s="2"/>
      <c r="BWZ65" s="2"/>
      <c r="BXA65" s="2"/>
      <c r="BXB65" s="2"/>
      <c r="BXC65" s="2"/>
      <c r="BXD65" s="2"/>
      <c r="BXE65" s="2"/>
      <c r="BXF65" s="2"/>
      <c r="BXG65" s="2"/>
      <c r="BXH65" s="2"/>
      <c r="BXI65" s="2"/>
      <c r="BXJ65" s="2"/>
      <c r="BXK65" s="2"/>
      <c r="BXL65" s="2"/>
      <c r="BXM65" s="2"/>
      <c r="BXN65" s="2"/>
      <c r="BXO65" s="2"/>
      <c r="BXP65" s="2"/>
      <c r="BXQ65" s="2"/>
      <c r="BXR65" s="2"/>
      <c r="BXS65" s="2"/>
      <c r="BXT65" s="2"/>
      <c r="BXU65" s="2"/>
      <c r="BXV65" s="2"/>
      <c r="BXW65" s="2"/>
      <c r="BXX65" s="2"/>
      <c r="BXY65" s="2"/>
      <c r="BXZ65" s="2"/>
      <c r="BYA65" s="2"/>
      <c r="BYB65" s="2"/>
      <c r="BYC65" s="2"/>
      <c r="BYD65" s="2"/>
      <c r="BYE65" s="2"/>
      <c r="BYF65" s="2"/>
      <c r="BYG65" s="2"/>
      <c r="BYH65" s="2"/>
      <c r="BYI65" s="2"/>
      <c r="BYJ65" s="2"/>
      <c r="BYK65" s="2"/>
      <c r="BYL65" s="2"/>
      <c r="BYM65" s="2"/>
      <c r="BYN65" s="2"/>
      <c r="BYO65" s="2"/>
      <c r="BYP65" s="2"/>
      <c r="BYQ65" s="2"/>
      <c r="BYR65" s="2"/>
      <c r="BYS65" s="2"/>
      <c r="BYT65" s="2"/>
      <c r="BYU65" s="2"/>
      <c r="BYV65" s="2"/>
      <c r="BYW65" s="2"/>
      <c r="BYX65" s="2"/>
      <c r="BYY65" s="2"/>
      <c r="BYZ65" s="2"/>
      <c r="BZA65" s="2"/>
      <c r="BZB65" s="2"/>
      <c r="BZC65" s="2"/>
      <c r="BZD65" s="2"/>
      <c r="BZE65" s="2"/>
      <c r="BZF65" s="2"/>
      <c r="BZG65" s="2"/>
      <c r="BZH65" s="2"/>
      <c r="BZI65" s="2"/>
      <c r="BZJ65" s="2"/>
      <c r="BZK65" s="2"/>
      <c r="BZL65" s="2"/>
      <c r="BZM65" s="2"/>
      <c r="BZN65" s="2"/>
      <c r="BZO65" s="2"/>
      <c r="BZP65" s="2"/>
      <c r="BZQ65" s="2"/>
      <c r="BZR65" s="2"/>
      <c r="BZS65" s="2"/>
      <c r="BZT65" s="2"/>
      <c r="BZU65" s="2"/>
      <c r="BZV65" s="2"/>
      <c r="BZW65" s="2"/>
      <c r="BZX65" s="2"/>
      <c r="BZY65" s="2"/>
      <c r="BZZ65" s="2"/>
      <c r="CAA65" s="2"/>
      <c r="CAB65" s="2"/>
      <c r="CAC65" s="2"/>
      <c r="CAD65" s="2"/>
      <c r="CAE65" s="2"/>
      <c r="CAF65" s="2"/>
      <c r="CAG65" s="2"/>
      <c r="CAH65" s="2"/>
      <c r="CAI65" s="2"/>
      <c r="CAJ65" s="2"/>
      <c r="CAK65" s="2"/>
      <c r="CAL65" s="2"/>
      <c r="CAM65" s="2"/>
      <c r="CAN65" s="2"/>
      <c r="CAO65" s="2"/>
      <c r="CAP65" s="2"/>
      <c r="CAQ65" s="2"/>
      <c r="CAR65" s="2"/>
      <c r="CAS65" s="2"/>
      <c r="CAT65" s="2"/>
      <c r="CAU65" s="2"/>
      <c r="CAV65" s="2"/>
      <c r="CAW65" s="2"/>
      <c r="CAX65" s="2"/>
      <c r="CAY65" s="2"/>
      <c r="CAZ65" s="2"/>
      <c r="CBA65" s="2"/>
      <c r="CBB65" s="2"/>
      <c r="CBC65" s="2"/>
      <c r="CBD65" s="2"/>
      <c r="CBE65" s="2"/>
      <c r="CBF65" s="2"/>
      <c r="CBG65" s="2"/>
      <c r="CBH65" s="2"/>
      <c r="CBI65" s="2"/>
      <c r="CBJ65" s="2"/>
      <c r="CBK65" s="2"/>
      <c r="CBL65" s="2"/>
      <c r="CBM65" s="2"/>
      <c r="CBN65" s="2"/>
      <c r="CBO65" s="2"/>
      <c r="CBP65" s="2"/>
      <c r="CBQ65" s="2"/>
      <c r="CBR65" s="2"/>
      <c r="CBS65" s="2"/>
      <c r="CBT65" s="2"/>
      <c r="CBU65" s="2"/>
      <c r="CBV65" s="2"/>
      <c r="CBW65" s="2"/>
      <c r="CBX65" s="2"/>
      <c r="CBY65" s="2"/>
      <c r="CBZ65" s="2"/>
      <c r="CCA65" s="2"/>
      <c r="CCB65" s="2"/>
      <c r="CCC65" s="2"/>
      <c r="CCD65" s="2"/>
      <c r="CCE65" s="2"/>
      <c r="CCF65" s="2"/>
      <c r="CCG65" s="2"/>
      <c r="CCH65" s="2"/>
      <c r="CCI65" s="2"/>
      <c r="CCJ65" s="2"/>
      <c r="CCK65" s="2"/>
      <c r="CCL65" s="2"/>
      <c r="CCM65" s="2"/>
      <c r="CCN65" s="2"/>
      <c r="CCO65" s="2"/>
      <c r="CCP65" s="2"/>
      <c r="CCQ65" s="2"/>
      <c r="CCR65" s="2"/>
      <c r="CCS65" s="2"/>
      <c r="CCT65" s="2"/>
      <c r="CCU65" s="2"/>
      <c r="CCV65" s="2"/>
      <c r="CCW65" s="2"/>
      <c r="CCX65" s="2"/>
      <c r="CCY65" s="2"/>
      <c r="CCZ65" s="2"/>
      <c r="CDA65" s="2"/>
      <c r="CDB65" s="2"/>
      <c r="CDC65" s="2"/>
      <c r="CDD65" s="2"/>
      <c r="CDE65" s="2"/>
      <c r="CDF65" s="2"/>
      <c r="CDG65" s="2"/>
      <c r="CDH65" s="2"/>
      <c r="CDI65" s="2"/>
      <c r="CDJ65" s="2"/>
      <c r="CDK65" s="2"/>
      <c r="CDL65" s="2"/>
      <c r="CDM65" s="2"/>
      <c r="CDN65" s="2"/>
      <c r="CDO65" s="2"/>
      <c r="CDP65" s="2"/>
      <c r="CDQ65" s="2"/>
      <c r="CDR65" s="2"/>
      <c r="CDS65" s="2"/>
      <c r="CDT65" s="2"/>
      <c r="CDU65" s="2"/>
      <c r="CDV65" s="2"/>
      <c r="CDW65" s="2"/>
      <c r="CDX65" s="2"/>
      <c r="CDY65" s="2"/>
      <c r="CDZ65" s="2"/>
      <c r="CEA65" s="2"/>
      <c r="CEB65" s="2"/>
      <c r="CEC65" s="2"/>
      <c r="CED65" s="2"/>
      <c r="CEE65" s="2"/>
      <c r="CEF65" s="2"/>
      <c r="CEG65" s="2"/>
      <c r="CEH65" s="2"/>
      <c r="CEI65" s="2"/>
      <c r="CEJ65" s="2"/>
      <c r="CEK65" s="2"/>
      <c r="CEL65" s="2"/>
      <c r="CEM65" s="2"/>
      <c r="CEN65" s="2"/>
      <c r="CEO65" s="2"/>
      <c r="CEP65" s="2"/>
      <c r="CEQ65" s="2"/>
      <c r="CER65" s="2"/>
      <c r="CES65" s="2"/>
      <c r="CET65" s="2"/>
      <c r="CEU65" s="2"/>
      <c r="CEV65" s="2"/>
      <c r="CEW65" s="2"/>
      <c r="CEX65" s="2"/>
      <c r="CEY65" s="2"/>
      <c r="CEZ65" s="2"/>
      <c r="CFA65" s="2"/>
      <c r="CFB65" s="2"/>
      <c r="CFC65" s="2"/>
      <c r="CFD65" s="2"/>
      <c r="CFE65" s="2"/>
      <c r="CFF65" s="2"/>
      <c r="CFG65" s="2"/>
      <c r="CFH65" s="2"/>
      <c r="CFI65" s="2"/>
      <c r="CFJ65" s="2"/>
      <c r="CFK65" s="2"/>
      <c r="CFL65" s="2"/>
      <c r="CFM65" s="2"/>
      <c r="CFN65" s="2"/>
      <c r="CFO65" s="2"/>
      <c r="CFP65" s="2"/>
      <c r="CFQ65" s="2"/>
      <c r="CFR65" s="2"/>
      <c r="CFS65" s="2"/>
      <c r="CFT65" s="2"/>
      <c r="CFU65" s="2"/>
      <c r="CFV65" s="2"/>
      <c r="CFW65" s="2"/>
      <c r="CFX65" s="2"/>
      <c r="CFY65" s="2"/>
      <c r="CFZ65" s="2"/>
      <c r="CGA65" s="2"/>
      <c r="CGB65" s="2"/>
      <c r="CGC65" s="2"/>
      <c r="CGD65" s="2"/>
      <c r="CGE65" s="2"/>
      <c r="CGF65" s="2"/>
      <c r="CGG65" s="2"/>
      <c r="CGH65" s="2"/>
      <c r="CGI65" s="2"/>
      <c r="CGJ65" s="2"/>
      <c r="CGK65" s="2"/>
      <c r="CGL65" s="2"/>
      <c r="CGM65" s="2"/>
      <c r="CGN65" s="2"/>
      <c r="CGO65" s="2"/>
      <c r="CGP65" s="2"/>
      <c r="CGQ65" s="2"/>
      <c r="CGR65" s="2"/>
      <c r="CGS65" s="2"/>
      <c r="CGT65" s="2"/>
      <c r="CGU65" s="2"/>
      <c r="CGV65" s="2"/>
      <c r="CGW65" s="2"/>
      <c r="CGX65" s="2"/>
      <c r="CGY65" s="2"/>
      <c r="CGZ65" s="2"/>
      <c r="CHA65" s="2"/>
      <c r="CHB65" s="2"/>
      <c r="CHC65" s="2"/>
      <c r="CHD65" s="2"/>
      <c r="CHE65" s="2"/>
      <c r="CHF65" s="2"/>
      <c r="CHG65" s="2"/>
      <c r="CHH65" s="2"/>
      <c r="CHI65" s="2"/>
      <c r="CHJ65" s="2"/>
      <c r="CHK65" s="2"/>
      <c r="CHL65" s="2"/>
      <c r="CHM65" s="2"/>
      <c r="CHN65" s="2"/>
      <c r="CHO65" s="2"/>
      <c r="CHP65" s="2"/>
      <c r="CHQ65" s="2"/>
      <c r="CHR65" s="2"/>
      <c r="CHS65" s="2"/>
      <c r="CHT65" s="2"/>
      <c r="CHU65" s="2"/>
      <c r="CHV65" s="2"/>
      <c r="CHW65" s="2"/>
      <c r="CHX65" s="2"/>
      <c r="CHY65" s="2"/>
      <c r="CHZ65" s="2"/>
      <c r="CIA65" s="2"/>
      <c r="CIB65" s="2"/>
      <c r="CIC65" s="2"/>
      <c r="CID65" s="2"/>
      <c r="CIE65" s="2"/>
      <c r="CIF65" s="2"/>
      <c r="CIG65" s="2"/>
      <c r="CIH65" s="2"/>
      <c r="CII65" s="2"/>
      <c r="CIJ65" s="2"/>
      <c r="CIK65" s="2"/>
      <c r="CIL65" s="2"/>
      <c r="CIM65" s="2"/>
      <c r="CIN65" s="2"/>
      <c r="CIO65" s="2"/>
      <c r="CIP65" s="2"/>
      <c r="CIQ65" s="2"/>
      <c r="CIR65" s="2"/>
      <c r="CIS65" s="2"/>
      <c r="CIT65" s="2"/>
      <c r="CIU65" s="2"/>
      <c r="CIV65" s="2"/>
      <c r="CIW65" s="2"/>
      <c r="CIX65" s="2"/>
      <c r="CIY65" s="2"/>
      <c r="CIZ65" s="2"/>
      <c r="CJA65" s="2"/>
      <c r="CJB65" s="2"/>
      <c r="CJC65" s="2"/>
      <c r="CJD65" s="2"/>
      <c r="CJE65" s="2"/>
      <c r="CJF65" s="2"/>
      <c r="CJG65" s="2"/>
      <c r="CJH65" s="2"/>
      <c r="CJI65" s="2"/>
      <c r="CJJ65" s="2"/>
      <c r="CJK65" s="2"/>
      <c r="CJL65" s="2"/>
      <c r="CJM65" s="2"/>
      <c r="CJN65" s="2"/>
      <c r="CJO65" s="2"/>
      <c r="CJP65" s="2"/>
      <c r="CJQ65" s="2"/>
      <c r="CJR65" s="2"/>
      <c r="CJS65" s="2"/>
      <c r="CJT65" s="2"/>
      <c r="CJU65" s="2"/>
      <c r="CJV65" s="2"/>
      <c r="CJW65" s="2"/>
      <c r="CJX65" s="2"/>
      <c r="CJY65" s="2"/>
      <c r="CJZ65" s="2"/>
      <c r="CKA65" s="2"/>
      <c r="CKB65" s="2"/>
      <c r="CKC65" s="2"/>
      <c r="CKD65" s="2"/>
      <c r="CKE65" s="2"/>
      <c r="CKF65" s="2"/>
      <c r="CKG65" s="2"/>
      <c r="CKH65" s="2"/>
      <c r="CKI65" s="2"/>
      <c r="CKJ65" s="2"/>
      <c r="CKK65" s="2"/>
      <c r="CKL65" s="2"/>
      <c r="CKM65" s="2"/>
      <c r="CKN65" s="2"/>
      <c r="CKO65" s="2"/>
      <c r="CKP65" s="2"/>
      <c r="CKQ65" s="2"/>
      <c r="CKR65" s="2"/>
      <c r="CKS65" s="2"/>
      <c r="CKT65" s="2"/>
      <c r="CKU65" s="2"/>
      <c r="CKV65" s="2"/>
      <c r="CKW65" s="2"/>
      <c r="CKX65" s="2"/>
      <c r="CKY65" s="2"/>
      <c r="CKZ65" s="2"/>
      <c r="CLA65" s="2"/>
      <c r="CLB65" s="2"/>
      <c r="CLC65" s="2"/>
      <c r="CLD65" s="2"/>
      <c r="CLE65" s="2"/>
      <c r="CLF65" s="2"/>
      <c r="CLG65" s="2"/>
      <c r="CLH65" s="2"/>
      <c r="CLI65" s="2"/>
      <c r="CLJ65" s="2"/>
      <c r="CLK65" s="2"/>
      <c r="CLL65" s="2"/>
      <c r="CLM65" s="2"/>
      <c r="CLN65" s="2"/>
      <c r="CLO65" s="2"/>
      <c r="CLP65" s="2"/>
      <c r="CLQ65" s="2"/>
      <c r="CLR65" s="2"/>
      <c r="CLS65" s="2"/>
      <c r="CLT65" s="2"/>
      <c r="CLU65" s="2"/>
      <c r="CLV65" s="2"/>
      <c r="CLW65" s="2"/>
      <c r="CLX65" s="2"/>
      <c r="CLY65" s="2"/>
      <c r="CLZ65" s="2"/>
      <c r="CMA65" s="2"/>
      <c r="CMB65" s="2"/>
      <c r="CMC65" s="2"/>
      <c r="CMD65" s="2"/>
      <c r="CME65" s="2"/>
      <c r="CMF65" s="2"/>
      <c r="CMG65" s="2"/>
      <c r="CMH65" s="2"/>
      <c r="CMI65" s="2"/>
      <c r="CMJ65" s="2"/>
      <c r="CMK65" s="2"/>
      <c r="CML65" s="2"/>
      <c r="CMM65" s="2"/>
      <c r="CMN65" s="2"/>
      <c r="CMO65" s="2"/>
      <c r="CMP65" s="2"/>
      <c r="CMQ65" s="2"/>
      <c r="CMR65" s="2"/>
      <c r="CMS65" s="2"/>
      <c r="CMT65" s="2"/>
      <c r="CMU65" s="2"/>
      <c r="CMV65" s="2"/>
      <c r="CMW65" s="2"/>
      <c r="CMX65" s="2"/>
      <c r="CMY65" s="2"/>
      <c r="CMZ65" s="2"/>
      <c r="CNA65" s="2"/>
      <c r="CNB65" s="2"/>
      <c r="CNC65" s="2"/>
      <c r="CND65" s="2"/>
      <c r="CNE65" s="2"/>
      <c r="CNF65" s="2"/>
      <c r="CNG65" s="2"/>
      <c r="CNH65" s="2"/>
      <c r="CNI65" s="2"/>
      <c r="CNJ65" s="2"/>
      <c r="CNK65" s="2"/>
      <c r="CNL65" s="2"/>
      <c r="CNM65" s="2"/>
      <c r="CNN65" s="2"/>
      <c r="CNO65" s="2"/>
      <c r="CNP65" s="2"/>
      <c r="CNQ65" s="2"/>
      <c r="CNR65" s="2"/>
      <c r="CNS65" s="2"/>
      <c r="CNT65" s="2"/>
      <c r="CNU65" s="2"/>
      <c r="CNV65" s="2"/>
      <c r="CNW65" s="2"/>
      <c r="CNX65" s="2"/>
      <c r="CNY65" s="2"/>
      <c r="CNZ65" s="2"/>
      <c r="COA65" s="2"/>
      <c r="COB65" s="2"/>
      <c r="COC65" s="2"/>
      <c r="COD65" s="2"/>
      <c r="COE65" s="2"/>
      <c r="COF65" s="2"/>
      <c r="COG65" s="2"/>
      <c r="COH65" s="2"/>
      <c r="COI65" s="2"/>
      <c r="COJ65" s="2"/>
      <c r="COK65" s="2"/>
      <c r="COL65" s="2"/>
      <c r="COM65" s="2"/>
      <c r="CON65" s="2"/>
      <c r="COO65" s="2"/>
      <c r="COP65" s="2"/>
      <c r="COQ65" s="2"/>
      <c r="COR65" s="2"/>
      <c r="COS65" s="2"/>
      <c r="COT65" s="2"/>
      <c r="COU65" s="2"/>
      <c r="COV65" s="2"/>
      <c r="COW65" s="2"/>
      <c r="COX65" s="2"/>
      <c r="COY65" s="2"/>
      <c r="COZ65" s="2"/>
      <c r="CPA65" s="2"/>
      <c r="CPB65" s="2"/>
      <c r="CPC65" s="2"/>
      <c r="CPD65" s="2"/>
      <c r="CPE65" s="2"/>
      <c r="CPF65" s="2"/>
      <c r="CPG65" s="2"/>
      <c r="CPH65" s="2"/>
      <c r="CPI65" s="2"/>
      <c r="CPJ65" s="2"/>
      <c r="CPK65" s="2"/>
      <c r="CPL65" s="2"/>
      <c r="CPM65" s="2"/>
      <c r="CPN65" s="2"/>
      <c r="CPO65" s="2"/>
      <c r="CPP65" s="2"/>
      <c r="CPQ65" s="2"/>
      <c r="CPR65" s="2"/>
      <c r="CPS65" s="2"/>
      <c r="CPT65" s="2"/>
      <c r="CPU65" s="2"/>
      <c r="CPV65" s="2"/>
      <c r="CPW65" s="2"/>
      <c r="CPX65" s="2"/>
      <c r="CPY65" s="2"/>
      <c r="CPZ65" s="2"/>
      <c r="CQA65" s="2"/>
      <c r="CQB65" s="2"/>
      <c r="CQC65" s="2"/>
      <c r="CQD65" s="2"/>
      <c r="CQE65" s="2"/>
      <c r="CQF65" s="2"/>
      <c r="CQG65" s="2"/>
      <c r="CQH65" s="2"/>
      <c r="CQI65" s="2"/>
      <c r="CQJ65" s="2"/>
      <c r="CQK65" s="2"/>
      <c r="CQL65" s="2"/>
      <c r="CQM65" s="2"/>
      <c r="CQN65" s="2"/>
      <c r="CQO65" s="2"/>
      <c r="CQP65" s="2"/>
      <c r="CQQ65" s="2"/>
      <c r="CQR65" s="2"/>
      <c r="CQS65" s="2"/>
      <c r="CQT65" s="2"/>
      <c r="CQU65" s="2"/>
      <c r="CQV65" s="2"/>
      <c r="CQW65" s="2"/>
      <c r="CQX65" s="2"/>
      <c r="CQY65" s="2"/>
      <c r="CQZ65" s="2"/>
      <c r="CRA65" s="2"/>
      <c r="CRB65" s="2"/>
      <c r="CRC65" s="2"/>
      <c r="CRD65" s="2"/>
      <c r="CRE65" s="2"/>
      <c r="CRF65" s="2"/>
      <c r="CRG65" s="2"/>
      <c r="CRH65" s="2"/>
      <c r="CRI65" s="2"/>
      <c r="CRJ65" s="2"/>
      <c r="CRK65" s="2"/>
      <c r="CRL65" s="2"/>
      <c r="CRM65" s="2"/>
      <c r="CRN65" s="2"/>
      <c r="CRO65" s="2"/>
      <c r="CRP65" s="2"/>
      <c r="CRQ65" s="2"/>
      <c r="CRR65" s="2"/>
      <c r="CRS65" s="2"/>
      <c r="CRT65" s="2"/>
      <c r="CRU65" s="2"/>
      <c r="CRV65" s="2"/>
      <c r="CRW65" s="2"/>
      <c r="CRX65" s="2"/>
      <c r="CRY65" s="2"/>
      <c r="CRZ65" s="2"/>
      <c r="CSA65" s="2"/>
      <c r="CSB65" s="2"/>
      <c r="CSC65" s="2"/>
      <c r="CSD65" s="2"/>
      <c r="CSE65" s="2"/>
      <c r="CSF65" s="2"/>
      <c r="CSG65" s="2"/>
      <c r="CSH65" s="2"/>
      <c r="CSI65" s="2"/>
      <c r="CSJ65" s="2"/>
      <c r="CSK65" s="2"/>
      <c r="CSL65" s="2"/>
      <c r="CSM65" s="2"/>
      <c r="CSN65" s="2"/>
      <c r="CSO65" s="2"/>
      <c r="CSP65" s="2"/>
      <c r="CSQ65" s="2"/>
      <c r="CSR65" s="2"/>
      <c r="CSS65" s="2"/>
      <c r="CST65" s="2"/>
      <c r="CSU65" s="2"/>
      <c r="CSV65" s="2"/>
      <c r="CSW65" s="2"/>
      <c r="CSX65" s="2"/>
      <c r="CSY65" s="2"/>
      <c r="CSZ65" s="2"/>
      <c r="CTA65" s="2"/>
      <c r="CTB65" s="2"/>
      <c r="CTC65" s="2"/>
      <c r="CTD65" s="2"/>
      <c r="CTE65" s="2"/>
      <c r="CTF65" s="2"/>
      <c r="CTG65" s="2"/>
      <c r="CTH65" s="2"/>
      <c r="CTI65" s="2"/>
      <c r="CTJ65" s="2"/>
      <c r="CTK65" s="2"/>
      <c r="CTL65" s="2"/>
      <c r="CTM65" s="2"/>
      <c r="CTN65" s="2"/>
      <c r="CTO65" s="2"/>
      <c r="CTP65" s="2"/>
      <c r="CTQ65" s="2"/>
      <c r="CTR65" s="2"/>
      <c r="CTS65" s="2"/>
      <c r="CTT65" s="2"/>
      <c r="CTU65" s="2"/>
      <c r="CTV65" s="2"/>
      <c r="CTW65" s="2"/>
      <c r="CTX65" s="2"/>
      <c r="CTY65" s="2"/>
      <c r="CTZ65" s="2"/>
      <c r="CUA65" s="2"/>
      <c r="CUB65" s="2"/>
      <c r="CUC65" s="2"/>
      <c r="CUD65" s="2"/>
      <c r="CUE65" s="2"/>
      <c r="CUF65" s="2"/>
      <c r="CUG65" s="2"/>
      <c r="CUH65" s="2"/>
      <c r="CUI65" s="2"/>
      <c r="CUJ65" s="2"/>
      <c r="CUK65" s="2"/>
      <c r="CUL65" s="2"/>
      <c r="CUM65" s="2"/>
      <c r="CUN65" s="2"/>
      <c r="CUO65" s="2"/>
      <c r="CUP65" s="2"/>
      <c r="CUQ65" s="2"/>
      <c r="CUR65" s="2"/>
      <c r="CUS65" s="2"/>
      <c r="CUT65" s="2"/>
      <c r="CUU65" s="2"/>
      <c r="CUV65" s="2"/>
      <c r="CUW65" s="2"/>
      <c r="CUX65" s="2"/>
      <c r="CUY65" s="2"/>
      <c r="CUZ65" s="2"/>
      <c r="CVA65" s="2"/>
      <c r="CVB65" s="2"/>
      <c r="CVC65" s="2"/>
      <c r="CVD65" s="2"/>
      <c r="CVE65" s="2"/>
      <c r="CVF65" s="2"/>
      <c r="CVG65" s="2"/>
      <c r="CVH65" s="2"/>
      <c r="CVI65" s="2"/>
      <c r="CVJ65" s="2"/>
      <c r="CVK65" s="2"/>
      <c r="CVL65" s="2"/>
      <c r="CVM65" s="2"/>
      <c r="CVN65" s="2"/>
      <c r="CVO65" s="2"/>
      <c r="CVP65" s="2"/>
      <c r="CVQ65" s="2"/>
      <c r="CVR65" s="2"/>
      <c r="CVS65" s="2"/>
      <c r="CVT65" s="2"/>
      <c r="CVU65" s="2"/>
      <c r="CVV65" s="2"/>
      <c r="CVW65" s="2"/>
      <c r="CVX65" s="2"/>
      <c r="CVY65" s="2"/>
      <c r="CVZ65" s="2"/>
      <c r="CWA65" s="2"/>
      <c r="CWB65" s="2"/>
      <c r="CWC65" s="2"/>
      <c r="CWD65" s="2"/>
      <c r="CWE65" s="2"/>
      <c r="CWF65" s="2"/>
      <c r="CWG65" s="2"/>
      <c r="CWH65" s="2"/>
      <c r="CWI65" s="2"/>
      <c r="CWJ65" s="2"/>
      <c r="CWK65" s="2"/>
      <c r="CWL65" s="2"/>
      <c r="CWM65" s="2"/>
      <c r="CWN65" s="2"/>
      <c r="CWO65" s="2"/>
      <c r="CWP65" s="2"/>
      <c r="CWQ65" s="2"/>
      <c r="CWR65" s="2"/>
      <c r="CWS65" s="2"/>
      <c r="CWT65" s="2"/>
      <c r="CWU65" s="2"/>
      <c r="CWV65" s="2"/>
      <c r="CWW65" s="2"/>
      <c r="CWX65" s="2"/>
      <c r="CWY65" s="2"/>
      <c r="CWZ65" s="2"/>
      <c r="CXA65" s="2"/>
      <c r="CXB65" s="2"/>
      <c r="CXC65" s="2"/>
      <c r="CXD65" s="2"/>
      <c r="CXE65" s="2"/>
      <c r="CXF65" s="2"/>
      <c r="CXG65" s="2"/>
      <c r="CXH65" s="2"/>
      <c r="CXI65" s="2"/>
      <c r="CXJ65" s="2"/>
      <c r="CXK65" s="2"/>
      <c r="CXL65" s="2"/>
      <c r="CXM65" s="2"/>
      <c r="CXN65" s="2"/>
      <c r="CXO65" s="2"/>
      <c r="CXP65" s="2"/>
      <c r="CXQ65" s="2"/>
      <c r="CXR65" s="2"/>
      <c r="CXS65" s="2"/>
      <c r="CXT65" s="2"/>
      <c r="CXU65" s="2"/>
      <c r="CXV65" s="2"/>
      <c r="CXW65" s="2"/>
      <c r="CXX65" s="2"/>
      <c r="CXY65" s="2"/>
      <c r="CXZ65" s="2"/>
      <c r="CYA65" s="2"/>
      <c r="CYB65" s="2"/>
      <c r="CYC65" s="2"/>
      <c r="CYD65" s="2"/>
      <c r="CYE65" s="2"/>
      <c r="CYF65" s="2"/>
      <c r="CYG65" s="2"/>
      <c r="CYH65" s="2"/>
      <c r="CYI65" s="2"/>
      <c r="CYJ65" s="2"/>
      <c r="CYK65" s="2"/>
      <c r="CYL65" s="2"/>
      <c r="CYM65" s="2"/>
      <c r="CYN65" s="2"/>
      <c r="CYO65" s="2"/>
      <c r="CYP65" s="2"/>
      <c r="CYQ65" s="2"/>
      <c r="CYR65" s="2"/>
      <c r="CYS65" s="2"/>
      <c r="CYT65" s="2"/>
      <c r="CYU65" s="2"/>
      <c r="CYV65" s="2"/>
      <c r="CYW65" s="2"/>
      <c r="CYX65" s="2"/>
      <c r="CYY65" s="2"/>
      <c r="CYZ65" s="2"/>
      <c r="CZA65" s="2"/>
      <c r="CZB65" s="2"/>
      <c r="CZC65" s="2"/>
      <c r="CZD65" s="2"/>
      <c r="CZE65" s="2"/>
      <c r="CZF65" s="2"/>
      <c r="CZG65" s="2"/>
      <c r="CZH65" s="2"/>
      <c r="CZI65" s="2"/>
      <c r="CZJ65" s="2"/>
      <c r="CZK65" s="2"/>
      <c r="CZL65" s="2"/>
      <c r="CZM65" s="2"/>
      <c r="CZN65" s="2"/>
      <c r="CZO65" s="2"/>
      <c r="CZP65" s="2"/>
      <c r="CZQ65" s="2"/>
      <c r="CZR65" s="2"/>
      <c r="CZS65" s="2"/>
      <c r="CZT65" s="2"/>
      <c r="CZU65" s="2"/>
      <c r="CZV65" s="2"/>
      <c r="CZW65" s="2"/>
      <c r="CZX65" s="2"/>
      <c r="CZY65" s="2"/>
      <c r="CZZ65" s="2"/>
      <c r="DAA65" s="2"/>
      <c r="DAB65" s="2"/>
      <c r="DAC65" s="2"/>
      <c r="DAD65" s="2"/>
      <c r="DAE65" s="2"/>
      <c r="DAF65" s="2"/>
      <c r="DAG65" s="2"/>
      <c r="DAH65" s="2"/>
      <c r="DAI65" s="2"/>
      <c r="DAJ65" s="2"/>
      <c r="DAK65" s="2"/>
      <c r="DAL65" s="2"/>
      <c r="DAM65" s="2"/>
      <c r="DAN65" s="2"/>
      <c r="DAO65" s="2"/>
      <c r="DAP65" s="2"/>
      <c r="DAQ65" s="2"/>
      <c r="DAR65" s="2"/>
      <c r="DAS65" s="2"/>
      <c r="DAT65" s="2"/>
      <c r="DAU65" s="2"/>
      <c r="DAV65" s="2"/>
      <c r="DAW65" s="2"/>
      <c r="DAX65" s="2"/>
      <c r="DAY65" s="2"/>
      <c r="DAZ65" s="2"/>
      <c r="DBA65" s="2"/>
      <c r="DBB65" s="2"/>
      <c r="DBC65" s="2"/>
      <c r="DBD65" s="2"/>
      <c r="DBE65" s="2"/>
      <c r="DBF65" s="2"/>
      <c r="DBG65" s="2"/>
      <c r="DBH65" s="2"/>
      <c r="DBI65" s="2"/>
      <c r="DBJ65" s="2"/>
      <c r="DBK65" s="2"/>
      <c r="DBL65" s="2"/>
      <c r="DBM65" s="2"/>
      <c r="DBN65" s="2"/>
      <c r="DBO65" s="2"/>
      <c r="DBP65" s="2"/>
      <c r="DBQ65" s="2"/>
      <c r="DBR65" s="2"/>
      <c r="DBS65" s="2"/>
      <c r="DBT65" s="2"/>
      <c r="DBU65" s="2"/>
      <c r="DBV65" s="2"/>
      <c r="DBW65" s="2"/>
      <c r="DBX65" s="2"/>
      <c r="DBY65" s="2"/>
      <c r="DBZ65" s="2"/>
      <c r="DCA65" s="2"/>
      <c r="DCB65" s="2"/>
      <c r="DCC65" s="2"/>
      <c r="DCD65" s="2"/>
      <c r="DCE65" s="2"/>
      <c r="DCF65" s="2"/>
      <c r="DCG65" s="2"/>
      <c r="DCH65" s="2"/>
      <c r="DCI65" s="2"/>
      <c r="DCJ65" s="2"/>
      <c r="DCK65" s="2"/>
      <c r="DCL65" s="2"/>
      <c r="DCM65" s="2"/>
      <c r="DCN65" s="2"/>
      <c r="DCO65" s="2"/>
      <c r="DCP65" s="2"/>
      <c r="DCQ65" s="2"/>
      <c r="DCR65" s="2"/>
      <c r="DCS65" s="2"/>
      <c r="DCT65" s="2"/>
      <c r="DCU65" s="2"/>
      <c r="DCV65" s="2"/>
      <c r="DCW65" s="2"/>
      <c r="DCX65" s="2"/>
      <c r="DCY65" s="2"/>
      <c r="DCZ65" s="2"/>
      <c r="DDA65" s="2"/>
      <c r="DDB65" s="2"/>
      <c r="DDC65" s="2"/>
      <c r="DDD65" s="2"/>
      <c r="DDE65" s="2"/>
      <c r="DDF65" s="2"/>
      <c r="DDG65" s="2"/>
      <c r="DDH65" s="2"/>
      <c r="DDI65" s="2"/>
      <c r="DDJ65" s="2"/>
      <c r="DDK65" s="2"/>
      <c r="DDL65" s="2"/>
      <c r="DDM65" s="2"/>
      <c r="DDN65" s="2"/>
      <c r="DDO65" s="2"/>
      <c r="DDP65" s="2"/>
      <c r="DDQ65" s="2"/>
      <c r="DDR65" s="2"/>
      <c r="DDS65" s="2"/>
      <c r="DDT65" s="2"/>
      <c r="DDU65" s="2"/>
      <c r="DDV65" s="2"/>
      <c r="DDW65" s="2"/>
      <c r="DDX65" s="2"/>
      <c r="DDY65" s="2"/>
      <c r="DDZ65" s="2"/>
      <c r="DEA65" s="2"/>
      <c r="DEB65" s="2"/>
      <c r="DEC65" s="2"/>
      <c r="DED65" s="2"/>
      <c r="DEE65" s="2"/>
      <c r="DEF65" s="2"/>
      <c r="DEG65" s="2"/>
      <c r="DEH65" s="2"/>
      <c r="DEI65" s="2"/>
      <c r="DEJ65" s="2"/>
      <c r="DEK65" s="2"/>
      <c r="DEL65" s="2"/>
      <c r="DEM65" s="2"/>
      <c r="DEN65" s="2"/>
      <c r="DEO65" s="2"/>
      <c r="DEP65" s="2"/>
      <c r="DEQ65" s="2"/>
      <c r="DER65" s="2"/>
      <c r="DES65" s="2"/>
      <c r="DET65" s="2"/>
      <c r="DEU65" s="2"/>
      <c r="DEV65" s="2"/>
      <c r="DEW65" s="2"/>
      <c r="DEX65" s="2"/>
      <c r="DEY65" s="2"/>
      <c r="DEZ65" s="2"/>
      <c r="DFA65" s="2"/>
      <c r="DFB65" s="2"/>
      <c r="DFC65" s="2"/>
      <c r="DFD65" s="2"/>
      <c r="DFE65" s="2"/>
      <c r="DFF65" s="2"/>
      <c r="DFG65" s="2"/>
      <c r="DFH65" s="2"/>
      <c r="DFI65" s="2"/>
      <c r="DFJ65" s="2"/>
      <c r="DFK65" s="2"/>
      <c r="DFL65" s="2"/>
      <c r="DFM65" s="2"/>
      <c r="DFN65" s="2"/>
      <c r="DFO65" s="2"/>
      <c r="DFP65" s="2"/>
      <c r="DFQ65" s="2"/>
      <c r="DFR65" s="2"/>
      <c r="DFS65" s="2"/>
      <c r="DFT65" s="2"/>
      <c r="DFU65" s="2"/>
      <c r="DFV65" s="2"/>
      <c r="DFW65" s="2"/>
      <c r="DFX65" s="2"/>
      <c r="DFY65" s="2"/>
      <c r="DFZ65" s="2"/>
      <c r="DGA65" s="2"/>
      <c r="DGB65" s="2"/>
      <c r="DGC65" s="2"/>
      <c r="DGD65" s="2"/>
      <c r="DGE65" s="2"/>
      <c r="DGF65" s="2"/>
      <c r="DGG65" s="2"/>
      <c r="DGH65" s="2"/>
      <c r="DGI65" s="2"/>
      <c r="DGJ65" s="2"/>
      <c r="DGK65" s="2"/>
      <c r="DGL65" s="2"/>
      <c r="DGM65" s="2"/>
      <c r="DGN65" s="2"/>
      <c r="DGO65" s="2"/>
      <c r="DGP65" s="2"/>
      <c r="DGQ65" s="2"/>
      <c r="DGR65" s="2"/>
      <c r="DGS65" s="2"/>
      <c r="DGT65" s="2"/>
      <c r="DGU65" s="2"/>
      <c r="DGV65" s="2"/>
      <c r="DGW65" s="2"/>
      <c r="DGX65" s="2"/>
      <c r="DGY65" s="2"/>
      <c r="DGZ65" s="2"/>
      <c r="DHA65" s="2"/>
      <c r="DHB65" s="2"/>
      <c r="DHC65" s="2"/>
      <c r="DHD65" s="2"/>
      <c r="DHE65" s="2"/>
      <c r="DHF65" s="2"/>
      <c r="DHG65" s="2"/>
      <c r="DHH65" s="2"/>
      <c r="DHI65" s="2"/>
      <c r="DHJ65" s="2"/>
      <c r="DHK65" s="2"/>
      <c r="DHL65" s="2"/>
      <c r="DHM65" s="2"/>
      <c r="DHN65" s="2"/>
      <c r="DHO65" s="2"/>
      <c r="DHP65" s="2"/>
      <c r="DHQ65" s="2"/>
      <c r="DHR65" s="2"/>
      <c r="DHS65" s="2"/>
      <c r="DHT65" s="2"/>
      <c r="DHU65" s="2"/>
      <c r="DHV65" s="2"/>
      <c r="DHW65" s="2"/>
      <c r="DHX65" s="2"/>
      <c r="DHY65" s="2"/>
      <c r="DHZ65" s="2"/>
      <c r="DIA65" s="2"/>
      <c r="DIB65" s="2"/>
      <c r="DIC65" s="2"/>
      <c r="DID65" s="2"/>
      <c r="DIE65" s="2"/>
      <c r="DIF65" s="2"/>
      <c r="DIG65" s="2"/>
      <c r="DIH65" s="2"/>
      <c r="DII65" s="2"/>
      <c r="DIJ65" s="2"/>
      <c r="DIK65" s="2"/>
      <c r="DIL65" s="2"/>
      <c r="DIM65" s="2"/>
      <c r="DIN65" s="2"/>
      <c r="DIO65" s="2"/>
      <c r="DIP65" s="2"/>
      <c r="DIQ65" s="2"/>
      <c r="DIR65" s="2"/>
      <c r="DIS65" s="2"/>
      <c r="DIT65" s="2"/>
      <c r="DIU65" s="2"/>
      <c r="DIV65" s="2"/>
      <c r="DIW65" s="2"/>
      <c r="DIX65" s="2"/>
      <c r="DIY65" s="2"/>
      <c r="DIZ65" s="2"/>
      <c r="DJA65" s="2"/>
      <c r="DJB65" s="2"/>
      <c r="DJC65" s="2"/>
      <c r="DJD65" s="2"/>
      <c r="DJE65" s="2"/>
      <c r="DJF65" s="2"/>
      <c r="DJG65" s="2"/>
      <c r="DJH65" s="2"/>
      <c r="DJI65" s="2"/>
      <c r="DJJ65" s="2"/>
      <c r="DJK65" s="2"/>
      <c r="DJL65" s="2"/>
      <c r="DJM65" s="2"/>
      <c r="DJN65" s="2"/>
      <c r="DJO65" s="2"/>
      <c r="DJP65" s="2"/>
      <c r="DJQ65" s="2"/>
      <c r="DJR65" s="2"/>
      <c r="DJS65" s="2"/>
      <c r="DJT65" s="2"/>
      <c r="DJU65" s="2"/>
      <c r="DJV65" s="2"/>
      <c r="DJW65" s="2"/>
      <c r="DJX65" s="2"/>
      <c r="DJY65" s="2"/>
      <c r="DJZ65" s="2"/>
      <c r="DKA65" s="2"/>
      <c r="DKB65" s="2"/>
      <c r="DKC65" s="2"/>
      <c r="DKD65" s="2"/>
      <c r="DKE65" s="2"/>
      <c r="DKF65" s="2"/>
      <c r="DKG65" s="2"/>
      <c r="DKH65" s="2"/>
      <c r="DKI65" s="2"/>
      <c r="DKJ65" s="2"/>
      <c r="DKK65" s="2"/>
      <c r="DKL65" s="2"/>
      <c r="DKM65" s="2"/>
      <c r="DKN65" s="2"/>
      <c r="DKO65" s="2"/>
      <c r="DKP65" s="2"/>
      <c r="DKQ65" s="2"/>
      <c r="DKR65" s="2"/>
      <c r="DKS65" s="2"/>
      <c r="DKT65" s="2"/>
      <c r="DKU65" s="2"/>
      <c r="DKV65" s="2"/>
      <c r="DKW65" s="2"/>
      <c r="DKX65" s="2"/>
      <c r="DKY65" s="2"/>
      <c r="DKZ65" s="2"/>
      <c r="DLA65" s="2"/>
      <c r="DLB65" s="2"/>
      <c r="DLC65" s="2"/>
      <c r="DLD65" s="2"/>
      <c r="DLE65" s="2"/>
      <c r="DLF65" s="2"/>
      <c r="DLG65" s="2"/>
      <c r="DLH65" s="2"/>
      <c r="DLI65" s="2"/>
      <c r="DLJ65" s="2"/>
      <c r="DLK65" s="2"/>
      <c r="DLL65" s="2"/>
      <c r="DLM65" s="2"/>
      <c r="DLN65" s="2"/>
      <c r="DLO65" s="2"/>
      <c r="DLP65" s="2"/>
      <c r="DLQ65" s="2"/>
      <c r="DLR65" s="2"/>
      <c r="DLS65" s="2"/>
      <c r="DLT65" s="2"/>
      <c r="DLU65" s="2"/>
      <c r="DLV65" s="2"/>
      <c r="DLW65" s="2"/>
      <c r="DLX65" s="2"/>
      <c r="DLY65" s="2"/>
      <c r="DLZ65" s="2"/>
      <c r="DMA65" s="2"/>
      <c r="DMB65" s="2"/>
      <c r="DMC65" s="2"/>
      <c r="DMD65" s="2"/>
      <c r="DME65" s="2"/>
      <c r="DMF65" s="2"/>
      <c r="DMG65" s="2"/>
      <c r="DMH65" s="2"/>
      <c r="DMI65" s="2"/>
      <c r="DMJ65" s="2"/>
      <c r="DMK65" s="2"/>
      <c r="DML65" s="2"/>
      <c r="DMM65" s="2"/>
      <c r="DMN65" s="2"/>
      <c r="DMO65" s="2"/>
      <c r="DMP65" s="2"/>
      <c r="DMQ65" s="2"/>
      <c r="DMR65" s="2"/>
      <c r="DMS65" s="2"/>
      <c r="DMT65" s="2"/>
      <c r="DMU65" s="2"/>
      <c r="DMV65" s="2"/>
      <c r="DMW65" s="2"/>
      <c r="DMX65" s="2"/>
      <c r="DMY65" s="2"/>
      <c r="DMZ65" s="2"/>
      <c r="DNA65" s="2"/>
      <c r="DNB65" s="2"/>
      <c r="DNC65" s="2"/>
      <c r="DND65" s="2"/>
      <c r="DNE65" s="2"/>
      <c r="DNF65" s="2"/>
      <c r="DNG65" s="2"/>
      <c r="DNH65" s="2"/>
      <c r="DNI65" s="2"/>
      <c r="DNJ65" s="2"/>
      <c r="DNK65" s="2"/>
      <c r="DNL65" s="2"/>
      <c r="DNM65" s="2"/>
      <c r="DNN65" s="2"/>
      <c r="DNO65" s="2"/>
      <c r="DNP65" s="2"/>
      <c r="DNQ65" s="2"/>
      <c r="DNR65" s="2"/>
      <c r="DNS65" s="2"/>
      <c r="DNT65" s="2"/>
      <c r="DNU65" s="2"/>
      <c r="DNV65" s="2"/>
      <c r="DNW65" s="2"/>
      <c r="DNX65" s="2"/>
      <c r="DNY65" s="2"/>
      <c r="DNZ65" s="2"/>
      <c r="DOA65" s="2"/>
      <c r="DOB65" s="2"/>
      <c r="DOC65" s="2"/>
      <c r="DOD65" s="2"/>
      <c r="DOE65" s="2"/>
      <c r="DOF65" s="2"/>
      <c r="DOG65" s="2"/>
      <c r="DOH65" s="2"/>
      <c r="DOI65" s="2"/>
      <c r="DOJ65" s="2"/>
      <c r="DOK65" s="2"/>
      <c r="DOL65" s="2"/>
      <c r="DOM65" s="2"/>
      <c r="DON65" s="2"/>
      <c r="DOO65" s="2"/>
      <c r="DOP65" s="2"/>
      <c r="DOQ65" s="2"/>
      <c r="DOR65" s="2"/>
      <c r="DOS65" s="2"/>
      <c r="DOT65" s="2"/>
      <c r="DOU65" s="2"/>
      <c r="DOV65" s="2"/>
      <c r="DOW65" s="2"/>
      <c r="DOX65" s="2"/>
      <c r="DOY65" s="2"/>
      <c r="DOZ65" s="2"/>
      <c r="DPA65" s="2"/>
      <c r="DPB65" s="2"/>
      <c r="DPC65" s="2"/>
      <c r="DPD65" s="2"/>
      <c r="DPE65" s="2"/>
      <c r="DPF65" s="2"/>
      <c r="DPG65" s="2"/>
      <c r="DPH65" s="2"/>
      <c r="DPI65" s="2"/>
      <c r="DPJ65" s="2"/>
      <c r="DPK65" s="2"/>
      <c r="DPL65" s="2"/>
      <c r="DPM65" s="2"/>
      <c r="DPN65" s="2"/>
      <c r="DPO65" s="2"/>
      <c r="DPP65" s="2"/>
      <c r="DPQ65" s="2"/>
      <c r="DPR65" s="2"/>
      <c r="DPS65" s="2"/>
      <c r="DPT65" s="2"/>
      <c r="DPU65" s="2"/>
      <c r="DPV65" s="2"/>
      <c r="DPW65" s="2"/>
      <c r="DPX65" s="2"/>
      <c r="DPY65" s="2"/>
      <c r="DPZ65" s="2"/>
      <c r="DQA65" s="2"/>
      <c r="DQB65" s="2"/>
      <c r="DQC65" s="2"/>
      <c r="DQD65" s="2"/>
      <c r="DQE65" s="2"/>
      <c r="DQF65" s="2"/>
      <c r="DQG65" s="2"/>
      <c r="DQH65" s="2"/>
      <c r="DQI65" s="2"/>
      <c r="DQJ65" s="2"/>
      <c r="DQK65" s="2"/>
      <c r="DQL65" s="2"/>
      <c r="DQM65" s="2"/>
      <c r="DQN65" s="2"/>
      <c r="DQO65" s="2"/>
      <c r="DQP65" s="2"/>
      <c r="DQQ65" s="2"/>
      <c r="DQR65" s="2"/>
      <c r="DQS65" s="2"/>
      <c r="DQT65" s="2"/>
      <c r="DQU65" s="2"/>
      <c r="DQV65" s="2"/>
      <c r="DQW65" s="2"/>
      <c r="DQX65" s="2"/>
      <c r="DQY65" s="2"/>
      <c r="DQZ65" s="2"/>
      <c r="DRA65" s="2"/>
      <c r="DRB65" s="2"/>
      <c r="DRC65" s="2"/>
      <c r="DRD65" s="2"/>
      <c r="DRE65" s="2"/>
      <c r="DRF65" s="2"/>
      <c r="DRG65" s="2"/>
      <c r="DRH65" s="2"/>
      <c r="DRI65" s="2"/>
      <c r="DRJ65" s="2"/>
      <c r="DRK65" s="2"/>
      <c r="DRL65" s="2"/>
      <c r="DRM65" s="2"/>
      <c r="DRN65" s="2"/>
      <c r="DRO65" s="2"/>
      <c r="DRP65" s="2"/>
      <c r="DRQ65" s="2"/>
      <c r="DRR65" s="2"/>
      <c r="DRS65" s="2"/>
      <c r="DRT65" s="2"/>
      <c r="DRU65" s="2"/>
      <c r="DRV65" s="2"/>
      <c r="DRW65" s="2"/>
      <c r="DRX65" s="2"/>
      <c r="DRY65" s="2"/>
      <c r="DRZ65" s="2"/>
      <c r="DSA65" s="2"/>
      <c r="DSB65" s="2"/>
      <c r="DSC65" s="2"/>
      <c r="DSD65" s="2"/>
      <c r="DSE65" s="2"/>
      <c r="DSF65" s="2"/>
      <c r="DSG65" s="2"/>
      <c r="DSH65" s="2"/>
      <c r="DSI65" s="2"/>
      <c r="DSJ65" s="2"/>
      <c r="DSK65" s="2"/>
      <c r="DSL65" s="2"/>
      <c r="DSM65" s="2"/>
      <c r="DSN65" s="2"/>
      <c r="DSO65" s="2"/>
      <c r="DSP65" s="2"/>
      <c r="DSQ65" s="2"/>
      <c r="DSR65" s="2"/>
      <c r="DSS65" s="2"/>
      <c r="DST65" s="2"/>
      <c r="DSU65" s="2"/>
      <c r="DSV65" s="2"/>
      <c r="DSW65" s="2"/>
      <c r="DSX65" s="2"/>
      <c r="DSY65" s="2"/>
      <c r="DSZ65" s="2"/>
      <c r="DTA65" s="2"/>
      <c r="DTB65" s="2"/>
      <c r="DTC65" s="2"/>
      <c r="DTD65" s="2"/>
      <c r="DTE65" s="2"/>
      <c r="DTF65" s="2"/>
      <c r="DTG65" s="2"/>
      <c r="DTH65" s="2"/>
      <c r="DTI65" s="2"/>
      <c r="DTJ65" s="2"/>
      <c r="DTK65" s="2"/>
      <c r="DTL65" s="2"/>
      <c r="DTM65" s="2"/>
      <c r="DTN65" s="2"/>
      <c r="DTO65" s="2"/>
      <c r="DTP65" s="2"/>
      <c r="DTQ65" s="2"/>
      <c r="DTR65" s="2"/>
      <c r="DTS65" s="2"/>
      <c r="DTT65" s="2"/>
      <c r="DTU65" s="2"/>
      <c r="DTV65" s="2"/>
      <c r="DTW65" s="2"/>
      <c r="DTX65" s="2"/>
      <c r="DTY65" s="2"/>
      <c r="DTZ65" s="2"/>
      <c r="DUA65" s="2"/>
      <c r="DUB65" s="2"/>
      <c r="DUC65" s="2"/>
      <c r="DUD65" s="2"/>
      <c r="DUE65" s="2"/>
      <c r="DUF65" s="2"/>
      <c r="DUG65" s="2"/>
      <c r="DUH65" s="2"/>
      <c r="DUI65" s="2"/>
      <c r="DUJ65" s="2"/>
      <c r="DUK65" s="2"/>
      <c r="DUL65" s="2"/>
      <c r="DUM65" s="2"/>
      <c r="DUN65" s="2"/>
      <c r="DUO65" s="2"/>
      <c r="DUP65" s="2"/>
      <c r="DUQ65" s="2"/>
      <c r="DUR65" s="2"/>
      <c r="DUS65" s="2"/>
      <c r="DUT65" s="2"/>
      <c r="DUU65" s="2"/>
      <c r="DUV65" s="2"/>
      <c r="DUW65" s="2"/>
      <c r="DUX65" s="2"/>
      <c r="DUY65" s="2"/>
      <c r="DUZ65" s="2"/>
      <c r="DVA65" s="2"/>
      <c r="DVB65" s="2"/>
      <c r="DVC65" s="2"/>
      <c r="DVD65" s="2"/>
      <c r="DVE65" s="2"/>
      <c r="DVF65" s="2"/>
      <c r="DVG65" s="2"/>
      <c r="DVH65" s="2"/>
      <c r="DVI65" s="2"/>
      <c r="DVJ65" s="2"/>
      <c r="DVK65" s="2"/>
      <c r="DVL65" s="2"/>
      <c r="DVM65" s="2"/>
      <c r="DVN65" s="2"/>
      <c r="DVO65" s="2"/>
      <c r="DVP65" s="2"/>
      <c r="DVQ65" s="2"/>
      <c r="DVR65" s="2"/>
      <c r="DVS65" s="2"/>
      <c r="DVT65" s="2"/>
      <c r="DVU65" s="2"/>
      <c r="DVV65" s="2"/>
      <c r="DVW65" s="2"/>
      <c r="DVX65" s="2"/>
      <c r="DVY65" s="2"/>
      <c r="DVZ65" s="2"/>
      <c r="DWA65" s="2"/>
      <c r="DWB65" s="2"/>
      <c r="DWC65" s="2"/>
      <c r="DWD65" s="2"/>
      <c r="DWE65" s="2"/>
      <c r="DWF65" s="2"/>
      <c r="DWG65" s="2"/>
      <c r="DWH65" s="2"/>
      <c r="DWI65" s="2"/>
      <c r="DWJ65" s="2"/>
      <c r="DWK65" s="2"/>
      <c r="DWL65" s="2"/>
      <c r="DWM65" s="2"/>
      <c r="DWN65" s="2"/>
      <c r="DWO65" s="2"/>
      <c r="DWP65" s="2"/>
      <c r="DWQ65" s="2"/>
      <c r="DWR65" s="2"/>
      <c r="DWS65" s="2"/>
      <c r="DWT65" s="2"/>
      <c r="DWU65" s="2"/>
      <c r="DWV65" s="2"/>
      <c r="DWW65" s="2"/>
      <c r="DWX65" s="2"/>
      <c r="DWY65" s="2"/>
      <c r="DWZ65" s="2"/>
      <c r="DXA65" s="2"/>
      <c r="DXB65" s="2"/>
      <c r="DXC65" s="2"/>
      <c r="DXD65" s="2"/>
      <c r="DXE65" s="2"/>
      <c r="DXF65" s="2"/>
      <c r="DXG65" s="2"/>
      <c r="DXH65" s="2"/>
      <c r="DXI65" s="2"/>
      <c r="DXJ65" s="2"/>
      <c r="DXK65" s="2"/>
      <c r="DXL65" s="2"/>
      <c r="DXM65" s="2"/>
      <c r="DXN65" s="2"/>
      <c r="DXO65" s="2"/>
      <c r="DXP65" s="2"/>
      <c r="DXQ65" s="2"/>
      <c r="DXR65" s="2"/>
      <c r="DXS65" s="2"/>
      <c r="DXT65" s="2"/>
      <c r="DXU65" s="2"/>
      <c r="DXV65" s="2"/>
      <c r="DXW65" s="2"/>
      <c r="DXX65" s="2"/>
      <c r="DXY65" s="2"/>
      <c r="DXZ65" s="2"/>
      <c r="DYA65" s="2"/>
      <c r="DYB65" s="2"/>
      <c r="DYC65" s="2"/>
      <c r="DYD65" s="2"/>
      <c r="DYE65" s="2"/>
      <c r="DYF65" s="2"/>
      <c r="DYG65" s="2"/>
      <c r="DYH65" s="2"/>
      <c r="DYI65" s="2"/>
      <c r="DYJ65" s="2"/>
      <c r="DYK65" s="2"/>
      <c r="DYL65" s="2"/>
      <c r="DYM65" s="2"/>
      <c r="DYN65" s="2"/>
      <c r="DYO65" s="2"/>
      <c r="DYP65" s="2"/>
      <c r="DYQ65" s="2"/>
      <c r="DYR65" s="2"/>
      <c r="DYS65" s="2"/>
      <c r="DYT65" s="2"/>
      <c r="DYU65" s="2"/>
      <c r="DYV65" s="2"/>
      <c r="DYW65" s="2"/>
      <c r="DYX65" s="2"/>
      <c r="DYY65" s="2"/>
      <c r="DYZ65" s="2"/>
      <c r="DZA65" s="2"/>
      <c r="DZB65" s="2"/>
      <c r="DZC65" s="2"/>
      <c r="DZD65" s="2"/>
      <c r="DZE65" s="2"/>
      <c r="DZF65" s="2"/>
      <c r="DZG65" s="2"/>
      <c r="DZH65" s="2"/>
      <c r="DZI65" s="2"/>
      <c r="DZJ65" s="2"/>
      <c r="DZK65" s="2"/>
      <c r="DZL65" s="2"/>
      <c r="DZM65" s="2"/>
      <c r="DZN65" s="2"/>
      <c r="DZO65" s="2"/>
      <c r="DZP65" s="2"/>
      <c r="DZQ65" s="2"/>
      <c r="DZR65" s="2"/>
      <c r="DZS65" s="2"/>
      <c r="DZT65" s="2"/>
      <c r="DZU65" s="2"/>
      <c r="DZV65" s="2"/>
      <c r="DZW65" s="2"/>
      <c r="DZX65" s="2"/>
      <c r="DZY65" s="2"/>
      <c r="DZZ65" s="2"/>
      <c r="EAA65" s="2"/>
      <c r="EAB65" s="2"/>
      <c r="EAC65" s="2"/>
      <c r="EAD65" s="2"/>
      <c r="EAE65" s="2"/>
      <c r="EAF65" s="2"/>
      <c r="EAG65" s="2"/>
      <c r="EAH65" s="2"/>
      <c r="EAI65" s="2"/>
      <c r="EAJ65" s="2"/>
      <c r="EAK65" s="2"/>
      <c r="EAL65" s="2"/>
      <c r="EAM65" s="2"/>
      <c r="EAN65" s="2"/>
      <c r="EAO65" s="2"/>
      <c r="EAP65" s="2"/>
      <c r="EAQ65" s="2"/>
      <c r="EAR65" s="2"/>
      <c r="EAS65" s="2"/>
      <c r="EAT65" s="2"/>
      <c r="EAU65" s="2"/>
      <c r="EAV65" s="2"/>
      <c r="EAW65" s="2"/>
      <c r="EAX65" s="2"/>
      <c r="EAY65" s="2"/>
      <c r="EAZ65" s="2"/>
      <c r="EBA65" s="2"/>
      <c r="EBB65" s="2"/>
      <c r="EBC65" s="2"/>
      <c r="EBD65" s="2"/>
      <c r="EBE65" s="2"/>
      <c r="EBF65" s="2"/>
      <c r="EBG65" s="2"/>
      <c r="EBH65" s="2"/>
      <c r="EBI65" s="2"/>
      <c r="EBJ65" s="2"/>
      <c r="EBK65" s="2"/>
      <c r="EBL65" s="2"/>
      <c r="EBM65" s="2"/>
      <c r="EBN65" s="2"/>
      <c r="EBO65" s="2"/>
      <c r="EBP65" s="2"/>
      <c r="EBQ65" s="2"/>
      <c r="EBR65" s="2"/>
      <c r="EBS65" s="2"/>
      <c r="EBT65" s="2"/>
      <c r="EBU65" s="2"/>
      <c r="EBV65" s="2"/>
      <c r="EBW65" s="2"/>
      <c r="EBX65" s="2"/>
      <c r="EBY65" s="2"/>
      <c r="EBZ65" s="2"/>
      <c r="ECA65" s="2"/>
      <c r="ECB65" s="2"/>
      <c r="ECC65" s="2"/>
      <c r="ECD65" s="2"/>
      <c r="ECE65" s="2"/>
      <c r="ECF65" s="2"/>
      <c r="ECG65" s="2"/>
      <c r="ECH65" s="2"/>
      <c r="ECI65" s="2"/>
      <c r="ECJ65" s="2"/>
      <c r="ECK65" s="2"/>
      <c r="ECL65" s="2"/>
      <c r="ECM65" s="2"/>
      <c r="ECN65" s="2"/>
      <c r="ECO65" s="2"/>
      <c r="ECP65" s="2"/>
      <c r="ECQ65" s="2"/>
      <c r="ECR65" s="2"/>
      <c r="ECS65" s="2"/>
      <c r="ECT65" s="2"/>
      <c r="ECU65" s="2"/>
      <c r="ECV65" s="2"/>
      <c r="ECW65" s="2"/>
      <c r="ECX65" s="2"/>
      <c r="ECY65" s="2"/>
      <c r="ECZ65" s="2"/>
      <c r="EDA65" s="2"/>
      <c r="EDB65" s="2"/>
      <c r="EDC65" s="2"/>
      <c r="EDD65" s="2"/>
      <c r="EDE65" s="2"/>
      <c r="EDF65" s="2"/>
      <c r="EDG65" s="2"/>
      <c r="EDH65" s="2"/>
      <c r="EDI65" s="2"/>
      <c r="EDJ65" s="2"/>
      <c r="EDK65" s="2"/>
      <c r="EDL65" s="2"/>
      <c r="EDM65" s="2"/>
      <c r="EDN65" s="2"/>
      <c r="EDO65" s="2"/>
      <c r="EDP65" s="2"/>
      <c r="EDQ65" s="2"/>
      <c r="EDR65" s="2"/>
      <c r="EDS65" s="2"/>
      <c r="EDT65" s="2"/>
      <c r="EDU65" s="2"/>
      <c r="EDV65" s="2"/>
      <c r="EDW65" s="2"/>
      <c r="EDX65" s="2"/>
      <c r="EDY65" s="2"/>
      <c r="EDZ65" s="2"/>
      <c r="EEA65" s="2"/>
      <c r="EEB65" s="2"/>
      <c r="EEC65" s="2"/>
      <c r="EED65" s="2"/>
      <c r="EEE65" s="2"/>
      <c r="EEF65" s="2"/>
      <c r="EEG65" s="2"/>
      <c r="EEH65" s="2"/>
      <c r="EEI65" s="2"/>
      <c r="EEJ65" s="2"/>
      <c r="EEK65" s="2"/>
      <c r="EEL65" s="2"/>
      <c r="EEM65" s="2"/>
      <c r="EEN65" s="2"/>
      <c r="EEO65" s="2"/>
      <c r="EEP65" s="2"/>
      <c r="EEQ65" s="2"/>
      <c r="EER65" s="2"/>
      <c r="EES65" s="2"/>
      <c r="EET65" s="2"/>
      <c r="EEU65" s="2"/>
      <c r="EEV65" s="2"/>
      <c r="EEW65" s="2"/>
      <c r="EEX65" s="2"/>
      <c r="EEY65" s="2"/>
      <c r="EEZ65" s="2"/>
      <c r="EFA65" s="2"/>
      <c r="EFB65" s="2"/>
      <c r="EFC65" s="2"/>
      <c r="EFD65" s="2"/>
      <c r="EFE65" s="2"/>
      <c r="EFF65" s="2"/>
      <c r="EFG65" s="2"/>
      <c r="EFH65" s="2"/>
      <c r="EFI65" s="2"/>
      <c r="EFJ65" s="2"/>
      <c r="EFK65" s="2"/>
      <c r="EFL65" s="2"/>
      <c r="EFM65" s="2"/>
      <c r="EFN65" s="2"/>
      <c r="EFO65" s="2"/>
      <c r="EFP65" s="2"/>
      <c r="EFQ65" s="2"/>
      <c r="EFR65" s="2"/>
      <c r="EFS65" s="2"/>
      <c r="EFT65" s="2"/>
      <c r="EFU65" s="2"/>
      <c r="EFV65" s="2"/>
      <c r="EFW65" s="2"/>
      <c r="EFX65" s="2"/>
      <c r="EFY65" s="2"/>
      <c r="EFZ65" s="2"/>
      <c r="EGA65" s="2"/>
      <c r="EGB65" s="2"/>
      <c r="EGC65" s="2"/>
      <c r="EGD65" s="2"/>
      <c r="EGE65" s="2"/>
      <c r="EGF65" s="2"/>
      <c r="EGG65" s="2"/>
      <c r="EGH65" s="2"/>
      <c r="EGI65" s="2"/>
      <c r="EGJ65" s="2"/>
      <c r="EGK65" s="2"/>
      <c r="EGL65" s="2"/>
      <c r="EGM65" s="2"/>
      <c r="EGN65" s="2"/>
      <c r="EGO65" s="2"/>
      <c r="EGP65" s="2"/>
      <c r="EGQ65" s="2"/>
      <c r="EGR65" s="2"/>
      <c r="EGS65" s="2"/>
      <c r="EGT65" s="2"/>
      <c r="EGU65" s="2"/>
      <c r="EGV65" s="2"/>
      <c r="EGW65" s="2"/>
      <c r="EGX65" s="2"/>
      <c r="EGY65" s="2"/>
      <c r="EGZ65" s="2"/>
      <c r="EHA65" s="2"/>
      <c r="EHB65" s="2"/>
      <c r="EHC65" s="2"/>
      <c r="EHD65" s="2"/>
      <c r="EHE65" s="2"/>
      <c r="EHF65" s="2"/>
      <c r="EHG65" s="2"/>
      <c r="EHH65" s="2"/>
      <c r="EHI65" s="2"/>
      <c r="EHJ65" s="2"/>
      <c r="EHK65" s="2"/>
      <c r="EHL65" s="2"/>
      <c r="EHM65" s="2"/>
      <c r="EHN65" s="2"/>
      <c r="EHO65" s="2"/>
      <c r="EHP65" s="2"/>
      <c r="EHQ65" s="2"/>
      <c r="EHR65" s="2"/>
      <c r="EHS65" s="2"/>
      <c r="EHT65" s="2"/>
      <c r="EHU65" s="2"/>
      <c r="EHV65" s="2"/>
      <c r="EHW65" s="2"/>
      <c r="EHX65" s="2"/>
      <c r="EHY65" s="2"/>
      <c r="EHZ65" s="2"/>
      <c r="EIA65" s="2"/>
      <c r="EIB65" s="2"/>
      <c r="EIC65" s="2"/>
      <c r="EID65" s="2"/>
      <c r="EIE65" s="2"/>
      <c r="EIF65" s="2"/>
      <c r="EIG65" s="2"/>
      <c r="EIH65" s="2"/>
      <c r="EII65" s="2"/>
      <c r="EIJ65" s="2"/>
      <c r="EIK65" s="2"/>
      <c r="EIL65" s="2"/>
      <c r="EIM65" s="2"/>
      <c r="EIN65" s="2"/>
      <c r="EIO65" s="2"/>
      <c r="EIP65" s="2"/>
      <c r="EIQ65" s="2"/>
      <c r="EIR65" s="2"/>
      <c r="EIS65" s="2"/>
      <c r="EIT65" s="2"/>
      <c r="EIU65" s="2"/>
      <c r="EIV65" s="2"/>
      <c r="EIW65" s="2"/>
      <c r="EIX65" s="2"/>
      <c r="EIY65" s="2"/>
      <c r="EIZ65" s="2"/>
      <c r="EJA65" s="2"/>
      <c r="EJB65" s="2"/>
      <c r="EJC65" s="2"/>
      <c r="EJD65" s="2"/>
      <c r="EJE65" s="2"/>
      <c r="EJF65" s="2"/>
      <c r="EJG65" s="2"/>
      <c r="EJH65" s="2"/>
      <c r="EJI65" s="2"/>
      <c r="EJJ65" s="2"/>
      <c r="EJK65" s="2"/>
      <c r="EJL65" s="2"/>
      <c r="EJM65" s="2"/>
      <c r="EJN65" s="2"/>
      <c r="EJO65" s="2"/>
      <c r="EJP65" s="2"/>
      <c r="EJQ65" s="2"/>
      <c r="EJR65" s="2"/>
      <c r="EJS65" s="2"/>
      <c r="EJT65" s="2"/>
      <c r="EJU65" s="2"/>
      <c r="EJV65" s="2"/>
      <c r="EJW65" s="2"/>
      <c r="EJX65" s="2"/>
      <c r="EJY65" s="2"/>
      <c r="EJZ65" s="2"/>
      <c r="EKA65" s="2"/>
      <c r="EKB65" s="2"/>
      <c r="EKC65" s="2"/>
      <c r="EKD65" s="2"/>
      <c r="EKE65" s="2"/>
      <c r="EKF65" s="2"/>
      <c r="EKG65" s="2"/>
      <c r="EKH65" s="2"/>
      <c r="EKI65" s="2"/>
      <c r="EKJ65" s="2"/>
      <c r="EKK65" s="2"/>
      <c r="EKL65" s="2"/>
      <c r="EKM65" s="2"/>
      <c r="EKN65" s="2"/>
      <c r="EKO65" s="2"/>
      <c r="EKP65" s="2"/>
      <c r="EKQ65" s="2"/>
      <c r="EKR65" s="2"/>
      <c r="EKS65" s="2"/>
      <c r="EKT65" s="2"/>
      <c r="EKU65" s="2"/>
      <c r="EKV65" s="2"/>
      <c r="EKW65" s="2"/>
      <c r="EKX65" s="2"/>
      <c r="EKY65" s="2"/>
      <c r="EKZ65" s="2"/>
      <c r="ELA65" s="2"/>
      <c r="ELB65" s="2"/>
      <c r="ELC65" s="2"/>
      <c r="ELD65" s="2"/>
      <c r="ELE65" s="2"/>
      <c r="ELF65" s="2"/>
      <c r="ELG65" s="2"/>
      <c r="ELH65" s="2"/>
      <c r="ELI65" s="2"/>
      <c r="ELJ65" s="2"/>
      <c r="ELK65" s="2"/>
      <c r="ELL65" s="2"/>
      <c r="ELM65" s="2"/>
      <c r="ELN65" s="2"/>
      <c r="ELO65" s="2"/>
      <c r="ELP65" s="2"/>
      <c r="ELQ65" s="2"/>
      <c r="ELR65" s="2"/>
      <c r="ELS65" s="2"/>
      <c r="ELT65" s="2"/>
      <c r="ELU65" s="2"/>
      <c r="ELV65" s="2"/>
      <c r="ELW65" s="2"/>
      <c r="ELX65" s="2"/>
      <c r="ELY65" s="2"/>
      <c r="ELZ65" s="2"/>
      <c r="EMA65" s="2"/>
      <c r="EMB65" s="2"/>
      <c r="EMC65" s="2"/>
      <c r="EMD65" s="2"/>
      <c r="EME65" s="2"/>
      <c r="EMF65" s="2"/>
      <c r="EMG65" s="2"/>
      <c r="EMH65" s="2"/>
      <c r="EMI65" s="2"/>
      <c r="EMJ65" s="2"/>
      <c r="EMK65" s="2"/>
      <c r="EML65" s="2"/>
      <c r="EMM65" s="2"/>
      <c r="EMN65" s="2"/>
      <c r="EMO65" s="2"/>
      <c r="EMP65" s="2"/>
      <c r="EMQ65" s="2"/>
      <c r="EMR65" s="2"/>
      <c r="EMS65" s="2"/>
      <c r="EMT65" s="2"/>
      <c r="EMU65" s="2"/>
      <c r="EMV65" s="2"/>
      <c r="EMW65" s="2"/>
      <c r="EMX65" s="2"/>
      <c r="EMY65" s="2"/>
      <c r="EMZ65" s="2"/>
      <c r="ENA65" s="2"/>
      <c r="ENB65" s="2"/>
      <c r="ENC65" s="2"/>
      <c r="END65" s="2"/>
      <c r="ENE65" s="2"/>
      <c r="ENF65" s="2"/>
      <c r="ENG65" s="2"/>
      <c r="ENH65" s="2"/>
      <c r="ENI65" s="2"/>
      <c r="ENJ65" s="2"/>
      <c r="ENK65" s="2"/>
      <c r="ENL65" s="2"/>
      <c r="ENM65" s="2"/>
      <c r="ENN65" s="2"/>
      <c r="ENO65" s="2"/>
      <c r="ENP65" s="2"/>
      <c r="ENQ65" s="2"/>
      <c r="ENR65" s="2"/>
      <c r="ENS65" s="2"/>
      <c r="ENT65" s="2"/>
      <c r="ENU65" s="2"/>
      <c r="ENV65" s="2"/>
      <c r="ENW65" s="2"/>
      <c r="ENX65" s="2"/>
      <c r="ENY65" s="2"/>
      <c r="ENZ65" s="2"/>
      <c r="EOA65" s="2"/>
      <c r="EOB65" s="2"/>
      <c r="EOC65" s="2"/>
      <c r="EOD65" s="2"/>
      <c r="EOE65" s="2"/>
      <c r="EOF65" s="2"/>
      <c r="EOG65" s="2"/>
      <c r="EOH65" s="2"/>
      <c r="EOI65" s="2"/>
      <c r="EOJ65" s="2"/>
      <c r="EOK65" s="2"/>
      <c r="EOL65" s="2"/>
      <c r="EOM65" s="2"/>
      <c r="EON65" s="2"/>
      <c r="EOO65" s="2"/>
      <c r="EOP65" s="2"/>
      <c r="EOQ65" s="2"/>
      <c r="EOR65" s="2"/>
      <c r="EOS65" s="2"/>
      <c r="EOT65" s="2"/>
      <c r="EOU65" s="2"/>
      <c r="EOV65" s="2"/>
      <c r="EOW65" s="2"/>
      <c r="EOX65" s="2"/>
      <c r="EOY65" s="2"/>
      <c r="EOZ65" s="2"/>
      <c r="EPA65" s="2"/>
      <c r="EPB65" s="2"/>
      <c r="EPC65" s="2"/>
      <c r="EPD65" s="2"/>
      <c r="EPE65" s="2"/>
      <c r="EPF65" s="2"/>
      <c r="EPG65" s="2"/>
      <c r="EPH65" s="2"/>
      <c r="EPI65" s="2"/>
      <c r="EPJ65" s="2"/>
      <c r="EPK65" s="2"/>
      <c r="EPL65" s="2"/>
      <c r="EPM65" s="2"/>
      <c r="EPN65" s="2"/>
      <c r="EPO65" s="2"/>
      <c r="EPP65" s="2"/>
      <c r="EPQ65" s="2"/>
      <c r="EPR65" s="2"/>
      <c r="EPS65" s="2"/>
      <c r="EPT65" s="2"/>
      <c r="EPU65" s="2"/>
      <c r="EPV65" s="2"/>
      <c r="EPW65" s="2"/>
      <c r="EPX65" s="2"/>
      <c r="EPY65" s="2"/>
      <c r="EPZ65" s="2"/>
      <c r="EQA65" s="2"/>
      <c r="EQB65" s="2"/>
      <c r="EQC65" s="2"/>
      <c r="EQD65" s="2"/>
      <c r="EQE65" s="2"/>
      <c r="EQF65" s="2"/>
      <c r="EQG65" s="2"/>
      <c r="EQH65" s="2"/>
      <c r="EQI65" s="2"/>
      <c r="EQJ65" s="2"/>
      <c r="EQK65" s="2"/>
      <c r="EQL65" s="2"/>
      <c r="EQM65" s="2"/>
      <c r="EQN65" s="2"/>
      <c r="EQO65" s="2"/>
      <c r="EQP65" s="2"/>
      <c r="EQQ65" s="2"/>
      <c r="EQR65" s="2"/>
      <c r="EQS65" s="2"/>
      <c r="EQT65" s="2"/>
      <c r="EQU65" s="2"/>
      <c r="EQV65" s="2"/>
      <c r="EQW65" s="2"/>
      <c r="EQX65" s="2"/>
      <c r="EQY65" s="2"/>
      <c r="EQZ65" s="2"/>
      <c r="ERA65" s="2"/>
      <c r="ERB65" s="2"/>
      <c r="ERC65" s="2"/>
      <c r="ERD65" s="2"/>
      <c r="ERE65" s="2"/>
      <c r="ERF65" s="2"/>
      <c r="ERG65" s="2"/>
      <c r="ERH65" s="2"/>
      <c r="ERI65" s="2"/>
      <c r="ERJ65" s="2"/>
      <c r="ERK65" s="2"/>
      <c r="ERL65" s="2"/>
      <c r="ERM65" s="2"/>
      <c r="ERN65" s="2"/>
      <c r="ERO65" s="2"/>
      <c r="ERP65" s="2"/>
      <c r="ERQ65" s="2"/>
      <c r="ERR65" s="2"/>
      <c r="ERS65" s="2"/>
      <c r="ERT65" s="2"/>
      <c r="ERU65" s="2"/>
      <c r="ERV65" s="2"/>
      <c r="ERW65" s="2"/>
      <c r="ERX65" s="2"/>
      <c r="ERY65" s="2"/>
      <c r="ERZ65" s="2"/>
      <c r="ESA65" s="2"/>
      <c r="ESB65" s="2"/>
      <c r="ESC65" s="2"/>
      <c r="ESD65" s="2"/>
      <c r="ESE65" s="2"/>
      <c r="ESF65" s="2"/>
      <c r="ESG65" s="2"/>
      <c r="ESH65" s="2"/>
      <c r="ESI65" s="2"/>
      <c r="ESJ65" s="2"/>
      <c r="ESK65" s="2"/>
      <c r="ESL65" s="2"/>
      <c r="ESM65" s="2"/>
      <c r="ESN65" s="2"/>
      <c r="ESO65" s="2"/>
      <c r="ESP65" s="2"/>
      <c r="ESQ65" s="2"/>
      <c r="ESR65" s="2"/>
      <c r="ESS65" s="2"/>
      <c r="EST65" s="2"/>
      <c r="ESU65" s="2"/>
      <c r="ESV65" s="2"/>
      <c r="ESW65" s="2"/>
      <c r="ESX65" s="2"/>
      <c r="ESY65" s="2"/>
      <c r="ESZ65" s="2"/>
      <c r="ETA65" s="2"/>
      <c r="ETB65" s="2"/>
      <c r="ETC65" s="2"/>
      <c r="ETD65" s="2"/>
      <c r="ETE65" s="2"/>
      <c r="ETF65" s="2"/>
      <c r="ETG65" s="2"/>
      <c r="ETH65" s="2"/>
      <c r="ETI65" s="2"/>
      <c r="ETJ65" s="2"/>
      <c r="ETK65" s="2"/>
      <c r="ETL65" s="2"/>
      <c r="ETM65" s="2"/>
      <c r="ETN65" s="2"/>
      <c r="ETO65" s="2"/>
      <c r="ETP65" s="2"/>
      <c r="ETQ65" s="2"/>
      <c r="ETR65" s="2"/>
      <c r="ETS65" s="2"/>
      <c r="ETT65" s="2"/>
      <c r="ETU65" s="2"/>
      <c r="ETV65" s="2"/>
      <c r="ETW65" s="2"/>
      <c r="ETX65" s="2"/>
      <c r="ETY65" s="2"/>
      <c r="ETZ65" s="2"/>
      <c r="EUA65" s="2"/>
      <c r="EUB65" s="2"/>
      <c r="EUC65" s="2"/>
      <c r="EUD65" s="2"/>
      <c r="EUE65" s="2"/>
      <c r="EUF65" s="2"/>
      <c r="EUG65" s="2"/>
      <c r="EUH65" s="2"/>
      <c r="EUI65" s="2"/>
      <c r="EUJ65" s="2"/>
      <c r="EUK65" s="2"/>
      <c r="EUL65" s="2"/>
      <c r="EUM65" s="2"/>
      <c r="EUN65" s="2"/>
      <c r="EUO65" s="2"/>
      <c r="EUP65" s="2"/>
      <c r="EUQ65" s="2"/>
      <c r="EUR65" s="2"/>
      <c r="EUS65" s="2"/>
      <c r="EUT65" s="2"/>
      <c r="EUU65" s="2"/>
      <c r="EUV65" s="2"/>
      <c r="EUW65" s="2"/>
      <c r="EUX65" s="2"/>
      <c r="EUY65" s="2"/>
      <c r="EUZ65" s="2"/>
      <c r="EVA65" s="2"/>
      <c r="EVB65" s="2"/>
      <c r="EVC65" s="2"/>
      <c r="EVD65" s="2"/>
      <c r="EVE65" s="2"/>
      <c r="EVF65" s="2"/>
      <c r="EVG65" s="2"/>
      <c r="EVH65" s="2"/>
      <c r="EVI65" s="2"/>
      <c r="EVJ65" s="2"/>
      <c r="EVK65" s="2"/>
      <c r="EVL65" s="2"/>
      <c r="EVM65" s="2"/>
      <c r="EVN65" s="2"/>
      <c r="EVO65" s="2"/>
      <c r="EVP65" s="2"/>
      <c r="EVQ65" s="2"/>
      <c r="EVR65" s="2"/>
      <c r="EVS65" s="2"/>
      <c r="EVT65" s="2"/>
      <c r="EVU65" s="2"/>
      <c r="EVV65" s="2"/>
      <c r="EVW65" s="2"/>
      <c r="EVX65" s="2"/>
      <c r="EVY65" s="2"/>
      <c r="EVZ65" s="2"/>
      <c r="EWA65" s="2"/>
      <c r="EWB65" s="2"/>
      <c r="EWC65" s="2"/>
      <c r="EWD65" s="2"/>
      <c r="EWE65" s="2"/>
      <c r="EWF65" s="2"/>
      <c r="EWG65" s="2"/>
      <c r="EWH65" s="2"/>
      <c r="EWI65" s="2"/>
      <c r="EWJ65" s="2"/>
      <c r="EWK65" s="2"/>
      <c r="EWL65" s="2"/>
      <c r="EWM65" s="2"/>
      <c r="EWN65" s="2"/>
      <c r="EWO65" s="2"/>
      <c r="EWP65" s="2"/>
      <c r="EWQ65" s="2"/>
      <c r="EWR65" s="2"/>
      <c r="EWS65" s="2"/>
      <c r="EWT65" s="2"/>
      <c r="EWU65" s="2"/>
      <c r="EWV65" s="2"/>
      <c r="EWW65" s="2"/>
      <c r="EWX65" s="2"/>
      <c r="EWY65" s="2"/>
      <c r="EWZ65" s="2"/>
      <c r="EXA65" s="2"/>
      <c r="EXB65" s="2"/>
      <c r="EXC65" s="2"/>
      <c r="EXD65" s="2"/>
      <c r="EXE65" s="2"/>
      <c r="EXF65" s="2"/>
      <c r="EXG65" s="2"/>
      <c r="EXH65" s="2"/>
      <c r="EXI65" s="2"/>
      <c r="EXJ65" s="2"/>
      <c r="EXK65" s="2"/>
      <c r="EXL65" s="2"/>
      <c r="EXM65" s="2"/>
      <c r="EXN65" s="2"/>
      <c r="EXO65" s="2"/>
      <c r="EXP65" s="2"/>
      <c r="EXQ65" s="2"/>
      <c r="EXR65" s="2"/>
      <c r="EXS65" s="2"/>
      <c r="EXT65" s="2"/>
      <c r="EXU65" s="2"/>
      <c r="EXV65" s="2"/>
      <c r="EXW65" s="2"/>
      <c r="EXX65" s="2"/>
      <c r="EXY65" s="2"/>
      <c r="EXZ65" s="2"/>
      <c r="EYA65" s="2"/>
      <c r="EYB65" s="2"/>
      <c r="EYC65" s="2"/>
      <c r="EYD65" s="2"/>
      <c r="EYE65" s="2"/>
      <c r="EYF65" s="2"/>
      <c r="EYG65" s="2"/>
      <c r="EYH65" s="2"/>
      <c r="EYI65" s="2"/>
      <c r="EYJ65" s="2"/>
      <c r="EYK65" s="2"/>
      <c r="EYL65" s="2"/>
      <c r="EYM65" s="2"/>
      <c r="EYN65" s="2"/>
      <c r="EYO65" s="2"/>
      <c r="EYP65" s="2"/>
      <c r="EYQ65" s="2"/>
      <c r="EYR65" s="2"/>
      <c r="EYS65" s="2"/>
      <c r="EYT65" s="2"/>
      <c r="EYU65" s="2"/>
      <c r="EYV65" s="2"/>
      <c r="EYW65" s="2"/>
      <c r="EYX65" s="2"/>
      <c r="EYY65" s="2"/>
      <c r="EYZ65" s="2"/>
      <c r="EZA65" s="2"/>
      <c r="EZB65" s="2"/>
      <c r="EZC65" s="2"/>
      <c r="EZD65" s="2"/>
      <c r="EZE65" s="2"/>
      <c r="EZF65" s="2"/>
      <c r="EZG65" s="2"/>
      <c r="EZH65" s="2"/>
      <c r="EZI65" s="2"/>
      <c r="EZJ65" s="2"/>
      <c r="EZK65" s="2"/>
      <c r="EZL65" s="2"/>
      <c r="EZM65" s="2"/>
      <c r="EZN65" s="2"/>
      <c r="EZO65" s="2"/>
      <c r="EZP65" s="2"/>
      <c r="EZQ65" s="2"/>
      <c r="EZR65" s="2"/>
      <c r="EZS65" s="2"/>
      <c r="EZT65" s="2"/>
      <c r="EZU65" s="2"/>
      <c r="EZV65" s="2"/>
      <c r="EZW65" s="2"/>
      <c r="EZX65" s="2"/>
      <c r="EZY65" s="2"/>
      <c r="EZZ65" s="2"/>
      <c r="FAA65" s="2"/>
      <c r="FAB65" s="2"/>
      <c r="FAC65" s="2"/>
      <c r="FAD65" s="2"/>
      <c r="FAE65" s="2"/>
      <c r="FAF65" s="2"/>
      <c r="FAG65" s="2"/>
      <c r="FAH65" s="2"/>
      <c r="FAI65" s="2"/>
      <c r="FAJ65" s="2"/>
      <c r="FAK65" s="2"/>
      <c r="FAL65" s="2"/>
      <c r="FAM65" s="2"/>
      <c r="FAN65" s="2"/>
      <c r="FAO65" s="2"/>
      <c r="FAP65" s="2"/>
      <c r="FAQ65" s="2"/>
      <c r="FAR65" s="2"/>
      <c r="FAS65" s="2"/>
      <c r="FAT65" s="2"/>
      <c r="FAU65" s="2"/>
      <c r="FAV65" s="2"/>
      <c r="FAW65" s="2"/>
      <c r="FAX65" s="2"/>
      <c r="FAY65" s="2"/>
      <c r="FAZ65" s="2"/>
      <c r="FBA65" s="2"/>
      <c r="FBB65" s="2"/>
      <c r="FBC65" s="2"/>
      <c r="FBD65" s="2"/>
      <c r="FBE65" s="2"/>
      <c r="FBF65" s="2"/>
      <c r="FBG65" s="2"/>
      <c r="FBH65" s="2"/>
      <c r="FBI65" s="2"/>
      <c r="FBJ65" s="2"/>
      <c r="FBK65" s="2"/>
      <c r="FBL65" s="2"/>
      <c r="FBM65" s="2"/>
      <c r="FBN65" s="2"/>
      <c r="FBO65" s="2"/>
      <c r="FBP65" s="2"/>
      <c r="FBQ65" s="2"/>
      <c r="FBR65" s="2"/>
      <c r="FBS65" s="2"/>
      <c r="FBT65" s="2"/>
      <c r="FBU65" s="2"/>
      <c r="FBV65" s="2"/>
      <c r="FBW65" s="2"/>
      <c r="FBX65" s="2"/>
      <c r="FBY65" s="2"/>
      <c r="FBZ65" s="2"/>
      <c r="FCA65" s="2"/>
      <c r="FCB65" s="2"/>
      <c r="FCC65" s="2"/>
      <c r="FCD65" s="2"/>
      <c r="FCE65" s="2"/>
      <c r="FCF65" s="2"/>
      <c r="FCG65" s="2"/>
      <c r="FCH65" s="2"/>
      <c r="FCI65" s="2"/>
      <c r="FCJ65" s="2"/>
      <c r="FCK65" s="2"/>
      <c r="FCL65" s="2"/>
      <c r="FCM65" s="2"/>
      <c r="FCN65" s="2"/>
      <c r="FCO65" s="2"/>
      <c r="FCP65" s="2"/>
      <c r="FCQ65" s="2"/>
      <c r="FCR65" s="2"/>
      <c r="FCS65" s="2"/>
      <c r="FCT65" s="2"/>
      <c r="FCU65" s="2"/>
      <c r="FCV65" s="2"/>
      <c r="FCW65" s="2"/>
      <c r="FCX65" s="2"/>
      <c r="FCY65" s="2"/>
      <c r="FCZ65" s="2"/>
      <c r="FDA65" s="2"/>
      <c r="FDB65" s="2"/>
      <c r="FDC65" s="2"/>
      <c r="FDD65" s="2"/>
      <c r="FDE65" s="2"/>
      <c r="FDF65" s="2"/>
      <c r="FDG65" s="2"/>
      <c r="FDH65" s="2"/>
      <c r="FDI65" s="2"/>
      <c r="FDJ65" s="2"/>
      <c r="FDK65" s="2"/>
      <c r="FDL65" s="2"/>
      <c r="FDM65" s="2"/>
      <c r="FDN65" s="2"/>
      <c r="FDO65" s="2"/>
      <c r="FDP65" s="2"/>
      <c r="FDQ65" s="2"/>
      <c r="FDR65" s="2"/>
      <c r="FDS65" s="2"/>
      <c r="FDT65" s="2"/>
      <c r="FDU65" s="2"/>
      <c r="FDV65" s="2"/>
      <c r="FDW65" s="2"/>
      <c r="FDX65" s="2"/>
      <c r="FDY65" s="2"/>
      <c r="FDZ65" s="2"/>
      <c r="FEA65" s="2"/>
      <c r="FEB65" s="2"/>
      <c r="FEC65" s="2"/>
      <c r="FED65" s="2"/>
      <c r="FEE65" s="2"/>
      <c r="FEF65" s="2"/>
      <c r="FEG65" s="2"/>
      <c r="FEH65" s="2"/>
      <c r="FEI65" s="2"/>
      <c r="FEJ65" s="2"/>
      <c r="FEK65" s="2"/>
      <c r="FEL65" s="2"/>
      <c r="FEM65" s="2"/>
      <c r="FEN65" s="2"/>
      <c r="FEO65" s="2"/>
      <c r="FEP65" s="2"/>
      <c r="FEQ65" s="2"/>
      <c r="FER65" s="2"/>
      <c r="FES65" s="2"/>
      <c r="FET65" s="2"/>
      <c r="FEU65" s="2"/>
      <c r="FEV65" s="2"/>
      <c r="FEW65" s="2"/>
      <c r="FEX65" s="2"/>
      <c r="FEY65" s="2"/>
      <c r="FEZ65" s="2"/>
      <c r="FFA65" s="2"/>
      <c r="FFB65" s="2"/>
      <c r="FFC65" s="2"/>
      <c r="FFD65" s="2"/>
      <c r="FFE65" s="2"/>
      <c r="FFF65" s="2"/>
      <c r="FFG65" s="2"/>
      <c r="FFH65" s="2"/>
      <c r="FFI65" s="2"/>
      <c r="FFJ65" s="2"/>
      <c r="FFK65" s="2"/>
      <c r="FFL65" s="2"/>
      <c r="FFM65" s="2"/>
      <c r="FFN65" s="2"/>
      <c r="FFO65" s="2"/>
      <c r="FFP65" s="2"/>
      <c r="FFQ65" s="2"/>
      <c r="FFR65" s="2"/>
      <c r="FFS65" s="2"/>
      <c r="FFT65" s="2"/>
      <c r="FFU65" s="2"/>
      <c r="FFV65" s="2"/>
      <c r="FFW65" s="2"/>
      <c r="FFX65" s="2"/>
      <c r="FFY65" s="2"/>
      <c r="FFZ65" s="2"/>
      <c r="FGA65" s="2"/>
      <c r="FGB65" s="2"/>
      <c r="FGC65" s="2"/>
      <c r="FGD65" s="2"/>
      <c r="FGE65" s="2"/>
      <c r="FGF65" s="2"/>
      <c r="FGG65" s="2"/>
      <c r="FGH65" s="2"/>
      <c r="FGI65" s="2"/>
      <c r="FGJ65" s="2"/>
      <c r="FGK65" s="2"/>
      <c r="FGL65" s="2"/>
      <c r="FGM65" s="2"/>
      <c r="FGN65" s="2"/>
      <c r="FGO65" s="2"/>
      <c r="FGP65" s="2"/>
      <c r="FGQ65" s="2"/>
      <c r="FGR65" s="2"/>
      <c r="FGS65" s="2"/>
      <c r="FGT65" s="2"/>
      <c r="FGU65" s="2"/>
      <c r="FGV65" s="2"/>
      <c r="FGW65" s="2"/>
      <c r="FGX65" s="2"/>
      <c r="FGY65" s="2"/>
      <c r="FGZ65" s="2"/>
      <c r="FHA65" s="2"/>
      <c r="FHB65" s="2"/>
      <c r="FHC65" s="2"/>
      <c r="FHD65" s="2"/>
      <c r="FHE65" s="2"/>
      <c r="FHF65" s="2"/>
      <c r="FHG65" s="2"/>
      <c r="FHH65" s="2"/>
      <c r="FHI65" s="2"/>
      <c r="FHJ65" s="2"/>
      <c r="FHK65" s="2"/>
      <c r="FHL65" s="2"/>
      <c r="FHM65" s="2"/>
      <c r="FHN65" s="2"/>
      <c r="FHO65" s="2"/>
      <c r="FHP65" s="2"/>
      <c r="FHQ65" s="2"/>
      <c r="FHR65" s="2"/>
      <c r="FHS65" s="2"/>
      <c r="FHT65" s="2"/>
      <c r="FHU65" s="2"/>
      <c r="FHV65" s="2"/>
      <c r="FHW65" s="2"/>
      <c r="FHX65" s="2"/>
      <c r="FHY65" s="2"/>
      <c r="FHZ65" s="2"/>
      <c r="FIA65" s="2"/>
      <c r="FIB65" s="2"/>
      <c r="FIC65" s="2"/>
      <c r="FID65" s="2"/>
      <c r="FIE65" s="2"/>
      <c r="FIF65" s="2"/>
      <c r="FIG65" s="2"/>
      <c r="FIH65" s="2"/>
      <c r="FII65" s="2"/>
      <c r="FIJ65" s="2"/>
      <c r="FIK65" s="2"/>
      <c r="FIL65" s="2"/>
      <c r="FIM65" s="2"/>
      <c r="FIN65" s="2"/>
      <c r="FIO65" s="2"/>
      <c r="FIP65" s="2"/>
      <c r="FIQ65" s="2"/>
      <c r="FIR65" s="2"/>
      <c r="FIS65" s="2"/>
      <c r="FIT65" s="2"/>
      <c r="FIU65" s="2"/>
      <c r="FIV65" s="2"/>
      <c r="FIW65" s="2"/>
      <c r="FIX65" s="2"/>
      <c r="FIY65" s="2"/>
      <c r="FIZ65" s="2"/>
      <c r="FJA65" s="2"/>
      <c r="FJB65" s="2"/>
      <c r="FJC65" s="2"/>
      <c r="FJD65" s="2"/>
      <c r="FJE65" s="2"/>
      <c r="FJF65" s="2"/>
      <c r="FJG65" s="2"/>
      <c r="FJH65" s="2"/>
      <c r="FJI65" s="2"/>
      <c r="FJJ65" s="2"/>
      <c r="FJK65" s="2"/>
      <c r="FJL65" s="2"/>
      <c r="FJM65" s="2"/>
      <c r="FJN65" s="2"/>
      <c r="FJO65" s="2"/>
      <c r="FJP65" s="2"/>
      <c r="FJQ65" s="2"/>
      <c r="FJR65" s="2"/>
      <c r="FJS65" s="2"/>
      <c r="FJT65" s="2"/>
      <c r="FJU65" s="2"/>
      <c r="FJV65" s="2"/>
      <c r="FJW65" s="2"/>
      <c r="FJX65" s="2"/>
      <c r="FJY65" s="2"/>
      <c r="FJZ65" s="2"/>
      <c r="FKA65" s="2"/>
      <c r="FKB65" s="2"/>
      <c r="FKC65" s="2"/>
      <c r="FKD65" s="2"/>
      <c r="FKE65" s="2"/>
      <c r="FKF65" s="2"/>
      <c r="FKG65" s="2"/>
      <c r="FKH65" s="2"/>
      <c r="FKI65" s="2"/>
      <c r="FKJ65" s="2"/>
      <c r="FKK65" s="2"/>
      <c r="FKL65" s="2"/>
      <c r="FKM65" s="2"/>
      <c r="FKN65" s="2"/>
      <c r="FKO65" s="2"/>
      <c r="FKP65" s="2"/>
      <c r="FKQ65" s="2"/>
      <c r="FKR65" s="2"/>
      <c r="FKS65" s="2"/>
      <c r="FKT65" s="2"/>
      <c r="FKU65" s="2"/>
      <c r="FKV65" s="2"/>
      <c r="FKW65" s="2"/>
      <c r="FKX65" s="2"/>
      <c r="FKY65" s="2"/>
      <c r="FKZ65" s="2"/>
      <c r="FLA65" s="2"/>
      <c r="FLB65" s="2"/>
      <c r="FLC65" s="2"/>
      <c r="FLD65" s="2"/>
      <c r="FLE65" s="2"/>
      <c r="FLF65" s="2"/>
      <c r="FLG65" s="2"/>
      <c r="FLH65" s="2"/>
      <c r="FLI65" s="2"/>
      <c r="FLJ65" s="2"/>
      <c r="FLK65" s="2"/>
      <c r="FLL65" s="2"/>
      <c r="FLM65" s="2"/>
      <c r="FLN65" s="2"/>
      <c r="FLO65" s="2"/>
      <c r="FLP65" s="2"/>
      <c r="FLQ65" s="2"/>
      <c r="FLR65" s="2"/>
      <c r="FLS65" s="2"/>
      <c r="FLT65" s="2"/>
      <c r="FLU65" s="2"/>
      <c r="FLV65" s="2"/>
      <c r="FLW65" s="2"/>
      <c r="FLX65" s="2"/>
      <c r="FLY65" s="2"/>
      <c r="FLZ65" s="2"/>
      <c r="FMA65" s="2"/>
      <c r="FMB65" s="2"/>
      <c r="FMC65" s="2"/>
      <c r="FMD65" s="2"/>
      <c r="FME65" s="2"/>
      <c r="FMF65" s="2"/>
      <c r="FMG65" s="2"/>
      <c r="FMH65" s="2"/>
      <c r="FMI65" s="2"/>
      <c r="FMJ65" s="2"/>
      <c r="FMK65" s="2"/>
      <c r="FML65" s="2"/>
      <c r="FMM65" s="2"/>
      <c r="FMN65" s="2"/>
      <c r="FMO65" s="2"/>
      <c r="FMP65" s="2"/>
      <c r="FMQ65" s="2"/>
      <c r="FMR65" s="2"/>
      <c r="FMS65" s="2"/>
      <c r="FMT65" s="2"/>
      <c r="FMU65" s="2"/>
      <c r="FMV65" s="2"/>
      <c r="FMW65" s="2"/>
      <c r="FMX65" s="2"/>
      <c r="FMY65" s="2"/>
      <c r="FMZ65" s="2"/>
      <c r="FNA65" s="2"/>
      <c r="FNB65" s="2"/>
      <c r="FNC65" s="2"/>
      <c r="FND65" s="2"/>
      <c r="FNE65" s="2"/>
      <c r="FNF65" s="2"/>
      <c r="FNG65" s="2"/>
      <c r="FNH65" s="2"/>
      <c r="FNI65" s="2"/>
      <c r="FNJ65" s="2"/>
      <c r="FNK65" s="2"/>
      <c r="FNL65" s="2"/>
      <c r="FNM65" s="2"/>
      <c r="FNN65" s="2"/>
      <c r="FNO65" s="2"/>
      <c r="FNP65" s="2"/>
      <c r="FNQ65" s="2"/>
      <c r="FNR65" s="2"/>
      <c r="FNS65" s="2"/>
      <c r="FNT65" s="2"/>
      <c r="FNU65" s="2"/>
      <c r="FNV65" s="2"/>
      <c r="FNW65" s="2"/>
      <c r="FNX65" s="2"/>
      <c r="FNY65" s="2"/>
      <c r="FNZ65" s="2"/>
      <c r="FOA65" s="2"/>
      <c r="FOB65" s="2"/>
      <c r="FOC65" s="2"/>
      <c r="FOD65" s="2"/>
      <c r="FOE65" s="2"/>
      <c r="FOF65" s="2"/>
      <c r="FOG65" s="2"/>
      <c r="FOH65" s="2"/>
      <c r="FOI65" s="2"/>
      <c r="FOJ65" s="2"/>
      <c r="FOK65" s="2"/>
      <c r="FOL65" s="2"/>
      <c r="FOM65" s="2"/>
      <c r="FON65" s="2"/>
      <c r="FOO65" s="2"/>
      <c r="FOP65" s="2"/>
      <c r="FOQ65" s="2"/>
      <c r="FOR65" s="2"/>
      <c r="FOS65" s="2"/>
      <c r="FOT65" s="2"/>
      <c r="FOU65" s="2"/>
      <c r="FOV65" s="2"/>
      <c r="FOW65" s="2"/>
      <c r="FOX65" s="2"/>
      <c r="FOY65" s="2"/>
      <c r="FOZ65" s="2"/>
      <c r="FPA65" s="2"/>
      <c r="FPB65" s="2"/>
      <c r="FPC65" s="2"/>
      <c r="FPD65" s="2"/>
      <c r="FPE65" s="2"/>
      <c r="FPF65" s="2"/>
      <c r="FPG65" s="2"/>
      <c r="FPH65" s="2"/>
      <c r="FPI65" s="2"/>
      <c r="FPJ65" s="2"/>
      <c r="FPK65" s="2"/>
      <c r="FPL65" s="2"/>
      <c r="FPM65" s="2"/>
      <c r="FPN65" s="2"/>
      <c r="FPO65" s="2"/>
      <c r="FPP65" s="2"/>
      <c r="FPQ65" s="2"/>
      <c r="FPR65" s="2"/>
      <c r="FPS65" s="2"/>
      <c r="FPT65" s="2"/>
      <c r="FPU65" s="2"/>
      <c r="FPV65" s="2"/>
      <c r="FPW65" s="2"/>
      <c r="FPX65" s="2"/>
      <c r="FPY65" s="2"/>
      <c r="FPZ65" s="2"/>
      <c r="FQA65" s="2"/>
      <c r="FQB65" s="2"/>
      <c r="FQC65" s="2"/>
      <c r="FQD65" s="2"/>
      <c r="FQE65" s="2"/>
      <c r="FQF65" s="2"/>
      <c r="FQG65" s="2"/>
      <c r="FQH65" s="2"/>
      <c r="FQI65" s="2"/>
      <c r="FQJ65" s="2"/>
      <c r="FQK65" s="2"/>
      <c r="FQL65" s="2"/>
      <c r="FQM65" s="2"/>
      <c r="FQN65" s="2"/>
      <c r="FQO65" s="2"/>
      <c r="FQP65" s="2"/>
      <c r="FQQ65" s="2"/>
      <c r="FQR65" s="2"/>
      <c r="FQS65" s="2"/>
      <c r="FQT65" s="2"/>
      <c r="FQU65" s="2"/>
      <c r="FQV65" s="2"/>
      <c r="FQW65" s="2"/>
      <c r="FQX65" s="2"/>
      <c r="FQY65" s="2"/>
      <c r="FQZ65" s="2"/>
      <c r="FRA65" s="2"/>
      <c r="FRB65" s="2"/>
      <c r="FRC65" s="2"/>
      <c r="FRD65" s="2"/>
      <c r="FRE65" s="2"/>
      <c r="FRF65" s="2"/>
      <c r="FRG65" s="2"/>
      <c r="FRH65" s="2"/>
      <c r="FRI65" s="2"/>
      <c r="FRJ65" s="2"/>
      <c r="FRK65" s="2"/>
      <c r="FRL65" s="2"/>
      <c r="FRM65" s="2"/>
      <c r="FRN65" s="2"/>
      <c r="FRO65" s="2"/>
      <c r="FRP65" s="2"/>
      <c r="FRQ65" s="2"/>
      <c r="FRR65" s="2"/>
      <c r="FRS65" s="2"/>
      <c r="FRT65" s="2"/>
      <c r="FRU65" s="2"/>
      <c r="FRV65" s="2"/>
      <c r="FRW65" s="2"/>
      <c r="FRX65" s="2"/>
      <c r="FRY65" s="2"/>
      <c r="FRZ65" s="2"/>
      <c r="FSA65" s="2"/>
      <c r="FSB65" s="2"/>
      <c r="FSC65" s="2"/>
      <c r="FSD65" s="2"/>
      <c r="FSE65" s="2"/>
      <c r="FSF65" s="2"/>
      <c r="FSG65" s="2"/>
      <c r="FSH65" s="2"/>
      <c r="FSI65" s="2"/>
      <c r="FSJ65" s="2"/>
      <c r="FSK65" s="2"/>
      <c r="FSL65" s="2"/>
      <c r="FSM65" s="2"/>
      <c r="FSN65" s="2"/>
      <c r="FSO65" s="2"/>
      <c r="FSP65" s="2"/>
      <c r="FSQ65" s="2"/>
      <c r="FSR65" s="2"/>
      <c r="FSS65" s="2"/>
      <c r="FST65" s="2"/>
      <c r="FSU65" s="2"/>
      <c r="FSV65" s="2"/>
      <c r="FSW65" s="2"/>
      <c r="FSX65" s="2"/>
      <c r="FSY65" s="2"/>
      <c r="FSZ65" s="2"/>
      <c r="FTA65" s="2"/>
      <c r="FTB65" s="2"/>
      <c r="FTC65" s="2"/>
      <c r="FTD65" s="2"/>
      <c r="FTE65" s="2"/>
      <c r="FTF65" s="2"/>
      <c r="FTG65" s="2"/>
      <c r="FTH65" s="2"/>
      <c r="FTI65" s="2"/>
      <c r="FTJ65" s="2"/>
      <c r="FTK65" s="2"/>
      <c r="FTL65" s="2"/>
      <c r="FTM65" s="2"/>
      <c r="FTN65" s="2"/>
      <c r="FTO65" s="2"/>
      <c r="FTP65" s="2"/>
      <c r="FTQ65" s="2"/>
      <c r="FTR65" s="2"/>
      <c r="FTS65" s="2"/>
      <c r="FTT65" s="2"/>
      <c r="FTU65" s="2"/>
      <c r="FTV65" s="2"/>
      <c r="FTW65" s="2"/>
      <c r="FTX65" s="2"/>
      <c r="FTY65" s="2"/>
      <c r="FTZ65" s="2"/>
      <c r="FUA65" s="2"/>
      <c r="FUB65" s="2"/>
      <c r="FUC65" s="2"/>
      <c r="FUD65" s="2"/>
      <c r="FUE65" s="2"/>
      <c r="FUF65" s="2"/>
      <c r="FUG65" s="2"/>
      <c r="FUH65" s="2"/>
      <c r="FUI65" s="2"/>
      <c r="FUJ65" s="2"/>
      <c r="FUK65" s="2"/>
      <c r="FUL65" s="2"/>
      <c r="FUM65" s="2"/>
      <c r="FUN65" s="2"/>
      <c r="FUO65" s="2"/>
      <c r="FUP65" s="2"/>
      <c r="FUQ65" s="2"/>
      <c r="FUR65" s="2"/>
      <c r="FUS65" s="2"/>
      <c r="FUT65" s="2"/>
      <c r="FUU65" s="2"/>
      <c r="FUV65" s="2"/>
      <c r="FUW65" s="2"/>
      <c r="FUX65" s="2"/>
      <c r="FUY65" s="2"/>
      <c r="FUZ65" s="2"/>
      <c r="FVA65" s="2"/>
      <c r="FVB65" s="2"/>
      <c r="FVC65" s="2"/>
      <c r="FVD65" s="2"/>
      <c r="FVE65" s="2"/>
      <c r="FVF65" s="2"/>
      <c r="FVG65" s="2"/>
      <c r="FVH65" s="2"/>
      <c r="FVI65" s="2"/>
      <c r="FVJ65" s="2"/>
      <c r="FVK65" s="2"/>
      <c r="FVL65" s="2"/>
      <c r="FVM65" s="2"/>
      <c r="FVN65" s="2"/>
      <c r="FVO65" s="2"/>
      <c r="FVP65" s="2"/>
      <c r="FVQ65" s="2"/>
      <c r="FVR65" s="2"/>
      <c r="FVS65" s="2"/>
      <c r="FVT65" s="2"/>
      <c r="FVU65" s="2"/>
      <c r="FVV65" s="2"/>
      <c r="FVW65" s="2"/>
      <c r="FVX65" s="2"/>
      <c r="FVY65" s="2"/>
      <c r="FVZ65" s="2"/>
      <c r="FWA65" s="2"/>
      <c r="FWB65" s="2"/>
      <c r="FWC65" s="2"/>
      <c r="FWD65" s="2"/>
      <c r="FWE65" s="2"/>
      <c r="FWF65" s="2"/>
      <c r="FWG65" s="2"/>
      <c r="FWH65" s="2"/>
      <c r="FWI65" s="2"/>
      <c r="FWJ65" s="2"/>
      <c r="FWK65" s="2"/>
      <c r="FWL65" s="2"/>
      <c r="FWM65" s="2"/>
      <c r="FWN65" s="2"/>
      <c r="FWO65" s="2"/>
      <c r="FWP65" s="2"/>
      <c r="FWQ65" s="2"/>
      <c r="FWR65" s="2"/>
      <c r="FWS65" s="2"/>
      <c r="FWT65" s="2"/>
      <c r="FWU65" s="2"/>
      <c r="FWV65" s="2"/>
      <c r="FWW65" s="2"/>
      <c r="FWX65" s="2"/>
      <c r="FWY65" s="2"/>
      <c r="FWZ65" s="2"/>
      <c r="FXA65" s="2"/>
      <c r="FXB65" s="2"/>
      <c r="FXC65" s="2"/>
      <c r="FXD65" s="2"/>
      <c r="FXE65" s="2"/>
      <c r="FXF65" s="2"/>
      <c r="FXG65" s="2"/>
      <c r="FXH65" s="2"/>
      <c r="FXI65" s="2"/>
      <c r="FXJ65" s="2"/>
      <c r="FXK65" s="2"/>
      <c r="FXL65" s="2"/>
      <c r="FXM65" s="2"/>
      <c r="FXN65" s="2"/>
      <c r="FXO65" s="2"/>
      <c r="FXP65" s="2"/>
      <c r="FXQ65" s="2"/>
      <c r="FXR65" s="2"/>
      <c r="FXS65" s="2"/>
      <c r="FXT65" s="2"/>
      <c r="FXU65" s="2"/>
      <c r="FXV65" s="2"/>
      <c r="FXW65" s="2"/>
      <c r="FXX65" s="2"/>
      <c r="FXY65" s="2"/>
      <c r="FXZ65" s="2"/>
      <c r="FYA65" s="2"/>
      <c r="FYB65" s="2"/>
      <c r="FYC65" s="2"/>
      <c r="FYD65" s="2"/>
      <c r="FYE65" s="2"/>
      <c r="FYF65" s="2"/>
      <c r="FYG65" s="2"/>
      <c r="FYH65" s="2"/>
      <c r="FYI65" s="2"/>
      <c r="FYJ65" s="2"/>
      <c r="FYK65" s="2"/>
      <c r="FYL65" s="2"/>
      <c r="FYM65" s="2"/>
      <c r="FYN65" s="2"/>
      <c r="FYO65" s="2"/>
      <c r="FYP65" s="2"/>
      <c r="FYQ65" s="2"/>
      <c r="FYR65" s="2"/>
      <c r="FYS65" s="2"/>
      <c r="FYT65" s="2"/>
      <c r="FYU65" s="2"/>
      <c r="FYV65" s="2"/>
      <c r="FYW65" s="2"/>
      <c r="FYX65" s="2"/>
      <c r="FYY65" s="2"/>
      <c r="FYZ65" s="2"/>
      <c r="FZA65" s="2"/>
      <c r="FZB65" s="2"/>
      <c r="FZC65" s="2"/>
      <c r="FZD65" s="2"/>
      <c r="FZE65" s="2"/>
      <c r="FZF65" s="2"/>
      <c r="FZG65" s="2"/>
      <c r="FZH65" s="2"/>
      <c r="FZI65" s="2"/>
      <c r="FZJ65" s="2"/>
      <c r="FZK65" s="2"/>
      <c r="FZL65" s="2"/>
      <c r="FZM65" s="2"/>
      <c r="FZN65" s="2"/>
      <c r="FZO65" s="2"/>
      <c r="FZP65" s="2"/>
      <c r="FZQ65" s="2"/>
      <c r="FZR65" s="2"/>
      <c r="FZS65" s="2"/>
      <c r="FZT65" s="2"/>
      <c r="FZU65" s="2"/>
      <c r="FZV65" s="2"/>
      <c r="FZW65" s="2"/>
      <c r="FZX65" s="2"/>
      <c r="FZY65" s="2"/>
      <c r="FZZ65" s="2"/>
      <c r="GAA65" s="2"/>
      <c r="GAB65" s="2"/>
      <c r="GAC65" s="2"/>
      <c r="GAD65" s="2"/>
      <c r="GAE65" s="2"/>
      <c r="GAF65" s="2"/>
      <c r="GAG65" s="2"/>
      <c r="GAH65" s="2"/>
      <c r="GAI65" s="2"/>
      <c r="GAJ65" s="2"/>
      <c r="GAK65" s="2"/>
      <c r="GAL65" s="2"/>
      <c r="GAM65" s="2"/>
      <c r="GAN65" s="2"/>
      <c r="GAO65" s="2"/>
      <c r="GAP65" s="2"/>
      <c r="GAQ65" s="2"/>
      <c r="GAR65" s="2"/>
      <c r="GAS65" s="2"/>
      <c r="GAT65" s="2"/>
      <c r="GAU65" s="2"/>
      <c r="GAV65" s="2"/>
      <c r="GAW65" s="2"/>
      <c r="GAX65" s="2"/>
      <c r="GAY65" s="2"/>
      <c r="GAZ65" s="2"/>
      <c r="GBA65" s="2"/>
      <c r="GBB65" s="2"/>
      <c r="GBC65" s="2"/>
      <c r="GBD65" s="2"/>
      <c r="GBE65" s="2"/>
      <c r="GBF65" s="2"/>
      <c r="GBG65" s="2"/>
      <c r="GBH65" s="2"/>
      <c r="GBI65" s="2"/>
      <c r="GBJ65" s="2"/>
      <c r="GBK65" s="2"/>
      <c r="GBL65" s="2"/>
      <c r="GBM65" s="2"/>
      <c r="GBN65" s="2"/>
      <c r="GBO65" s="2"/>
      <c r="GBP65" s="2"/>
      <c r="GBQ65" s="2"/>
      <c r="GBR65" s="2"/>
      <c r="GBS65" s="2"/>
      <c r="GBT65" s="2"/>
      <c r="GBU65" s="2"/>
      <c r="GBV65" s="2"/>
      <c r="GBW65" s="2"/>
      <c r="GBX65" s="2"/>
      <c r="GBY65" s="2"/>
      <c r="GBZ65" s="2"/>
      <c r="GCA65" s="2"/>
      <c r="GCB65" s="2"/>
      <c r="GCC65" s="2"/>
      <c r="GCD65" s="2"/>
      <c r="GCE65" s="2"/>
      <c r="GCF65" s="2"/>
      <c r="GCG65" s="2"/>
      <c r="GCH65" s="2"/>
      <c r="GCI65" s="2"/>
      <c r="GCJ65" s="2"/>
      <c r="GCK65" s="2"/>
      <c r="GCL65" s="2"/>
      <c r="GCM65" s="2"/>
      <c r="GCN65" s="2"/>
      <c r="GCO65" s="2"/>
      <c r="GCP65" s="2"/>
      <c r="GCQ65" s="2"/>
      <c r="GCR65" s="2"/>
      <c r="GCS65" s="2"/>
      <c r="GCT65" s="2"/>
      <c r="GCU65" s="2"/>
      <c r="GCV65" s="2"/>
      <c r="GCW65" s="2"/>
      <c r="GCX65" s="2"/>
      <c r="GCY65" s="2"/>
      <c r="GCZ65" s="2"/>
      <c r="GDA65" s="2"/>
      <c r="GDB65" s="2"/>
      <c r="GDC65" s="2"/>
      <c r="GDD65" s="2"/>
      <c r="GDE65" s="2"/>
      <c r="GDF65" s="2"/>
      <c r="GDG65" s="2"/>
      <c r="GDH65" s="2"/>
      <c r="GDI65" s="2"/>
      <c r="GDJ65" s="2"/>
      <c r="GDK65" s="2"/>
      <c r="GDL65" s="2"/>
      <c r="GDM65" s="2"/>
      <c r="GDN65" s="2"/>
      <c r="GDO65" s="2"/>
      <c r="GDP65" s="2"/>
      <c r="GDQ65" s="2"/>
      <c r="GDR65" s="2"/>
      <c r="GDS65" s="2"/>
      <c r="GDT65" s="2"/>
      <c r="GDU65" s="2"/>
      <c r="GDV65" s="2"/>
      <c r="GDW65" s="2"/>
      <c r="GDX65" s="2"/>
      <c r="GDY65" s="2"/>
      <c r="GDZ65" s="2"/>
      <c r="GEA65" s="2"/>
      <c r="GEB65" s="2"/>
      <c r="GEC65" s="2"/>
      <c r="GED65" s="2"/>
      <c r="GEE65" s="2"/>
      <c r="GEF65" s="2"/>
      <c r="GEG65" s="2"/>
      <c r="GEH65" s="2"/>
      <c r="GEI65" s="2"/>
      <c r="GEJ65" s="2"/>
      <c r="GEK65" s="2"/>
      <c r="GEL65" s="2"/>
      <c r="GEM65" s="2"/>
      <c r="GEN65" s="2"/>
      <c r="GEO65" s="2"/>
      <c r="GEP65" s="2"/>
      <c r="GEQ65" s="2"/>
      <c r="GER65" s="2"/>
      <c r="GES65" s="2"/>
      <c r="GET65" s="2"/>
      <c r="GEU65" s="2"/>
      <c r="GEV65" s="2"/>
      <c r="GEW65" s="2"/>
      <c r="GEX65" s="2"/>
      <c r="GEY65" s="2"/>
      <c r="GEZ65" s="2"/>
      <c r="GFA65" s="2"/>
      <c r="GFB65" s="2"/>
      <c r="GFC65" s="2"/>
      <c r="GFD65" s="2"/>
      <c r="GFE65" s="2"/>
      <c r="GFF65" s="2"/>
      <c r="GFG65" s="2"/>
      <c r="GFH65" s="2"/>
      <c r="GFI65" s="2"/>
      <c r="GFJ65" s="2"/>
      <c r="GFK65" s="2"/>
      <c r="GFL65" s="2"/>
      <c r="GFM65" s="2"/>
      <c r="GFN65" s="2"/>
      <c r="GFO65" s="2"/>
      <c r="GFP65" s="2"/>
      <c r="GFQ65" s="2"/>
      <c r="GFR65" s="2"/>
      <c r="GFS65" s="2"/>
      <c r="GFT65" s="2"/>
      <c r="GFU65" s="2"/>
      <c r="GFV65" s="2"/>
      <c r="GFW65" s="2"/>
      <c r="GFX65" s="2"/>
      <c r="GFY65" s="2"/>
      <c r="GFZ65" s="2"/>
      <c r="GGA65" s="2"/>
      <c r="GGB65" s="2"/>
      <c r="GGC65" s="2"/>
      <c r="GGD65" s="2"/>
      <c r="GGE65" s="2"/>
      <c r="GGF65" s="2"/>
      <c r="GGG65" s="2"/>
      <c r="GGH65" s="2"/>
      <c r="GGI65" s="2"/>
      <c r="GGJ65" s="2"/>
      <c r="GGK65" s="2"/>
      <c r="GGL65" s="2"/>
      <c r="GGM65" s="2"/>
      <c r="GGN65" s="2"/>
      <c r="GGO65" s="2"/>
      <c r="GGP65" s="2"/>
      <c r="GGQ65" s="2"/>
      <c r="GGR65" s="2"/>
      <c r="GGS65" s="2"/>
      <c r="GGT65" s="2"/>
      <c r="GGU65" s="2"/>
      <c r="GGV65" s="2"/>
      <c r="GGW65" s="2"/>
      <c r="GGX65" s="2"/>
      <c r="GGY65" s="2"/>
      <c r="GGZ65" s="2"/>
      <c r="GHA65" s="2"/>
      <c r="GHB65" s="2"/>
      <c r="GHC65" s="2"/>
      <c r="GHD65" s="2"/>
      <c r="GHE65" s="2"/>
      <c r="GHF65" s="2"/>
      <c r="GHG65" s="2"/>
      <c r="GHH65" s="2"/>
      <c r="GHI65" s="2"/>
      <c r="GHJ65" s="2"/>
      <c r="GHK65" s="2"/>
      <c r="GHL65" s="2"/>
      <c r="GHM65" s="2"/>
      <c r="GHN65" s="2"/>
      <c r="GHO65" s="2"/>
      <c r="GHP65" s="2"/>
      <c r="GHQ65" s="2"/>
      <c r="GHR65" s="2"/>
      <c r="GHS65" s="2"/>
      <c r="GHT65" s="2"/>
      <c r="GHU65" s="2"/>
      <c r="GHV65" s="2"/>
      <c r="GHW65" s="2"/>
      <c r="GHX65" s="2"/>
      <c r="GHY65" s="2"/>
      <c r="GHZ65" s="2"/>
      <c r="GIA65" s="2"/>
      <c r="GIB65" s="2"/>
      <c r="GIC65" s="2"/>
      <c r="GID65" s="2"/>
      <c r="GIE65" s="2"/>
      <c r="GIF65" s="2"/>
      <c r="GIG65" s="2"/>
      <c r="GIH65" s="2"/>
      <c r="GII65" s="2"/>
      <c r="GIJ65" s="2"/>
      <c r="GIK65" s="2"/>
      <c r="GIL65" s="2"/>
      <c r="GIM65" s="2"/>
      <c r="GIN65" s="2"/>
      <c r="GIO65" s="2"/>
      <c r="GIP65" s="2"/>
      <c r="GIQ65" s="2"/>
      <c r="GIR65" s="2"/>
      <c r="GIS65" s="2"/>
      <c r="GIT65" s="2"/>
      <c r="GIU65" s="2"/>
      <c r="GIV65" s="2"/>
      <c r="GIW65" s="2"/>
      <c r="GIX65" s="2"/>
      <c r="GIY65" s="2"/>
      <c r="GIZ65" s="2"/>
      <c r="GJA65" s="2"/>
      <c r="GJB65" s="2"/>
      <c r="GJC65" s="2"/>
      <c r="GJD65" s="2"/>
      <c r="GJE65" s="2"/>
      <c r="GJF65" s="2"/>
      <c r="GJG65" s="2"/>
      <c r="GJH65" s="2"/>
      <c r="GJI65" s="2"/>
      <c r="GJJ65" s="2"/>
      <c r="GJK65" s="2"/>
      <c r="GJL65" s="2"/>
      <c r="GJM65" s="2"/>
      <c r="GJN65" s="2"/>
      <c r="GJO65" s="2"/>
      <c r="GJP65" s="2"/>
      <c r="GJQ65" s="2"/>
      <c r="GJR65" s="2"/>
      <c r="GJS65" s="2"/>
      <c r="GJT65" s="2"/>
      <c r="GJU65" s="2"/>
      <c r="GJV65" s="2"/>
      <c r="GJW65" s="2"/>
      <c r="GJX65" s="2"/>
      <c r="GJY65" s="2"/>
      <c r="GJZ65" s="2"/>
      <c r="GKA65" s="2"/>
      <c r="GKB65" s="2"/>
      <c r="GKC65" s="2"/>
      <c r="GKD65" s="2"/>
      <c r="GKE65" s="2"/>
      <c r="GKF65" s="2"/>
      <c r="GKG65" s="2"/>
      <c r="GKH65" s="2"/>
      <c r="GKI65" s="2"/>
      <c r="GKJ65" s="2"/>
      <c r="GKK65" s="2"/>
      <c r="GKL65" s="2"/>
      <c r="GKM65" s="2"/>
      <c r="GKN65" s="2"/>
      <c r="GKO65" s="2"/>
      <c r="GKP65" s="2"/>
      <c r="GKQ65" s="2"/>
      <c r="GKR65" s="2"/>
      <c r="GKS65" s="2"/>
      <c r="GKT65" s="2"/>
      <c r="GKU65" s="2"/>
      <c r="GKV65" s="2"/>
      <c r="GKW65" s="2"/>
      <c r="GKX65" s="2"/>
      <c r="GKY65" s="2"/>
      <c r="GKZ65" s="2"/>
      <c r="GLA65" s="2"/>
      <c r="GLB65" s="2"/>
      <c r="GLC65" s="2"/>
      <c r="GLD65" s="2"/>
      <c r="GLE65" s="2"/>
      <c r="GLF65" s="2"/>
      <c r="GLG65" s="2"/>
      <c r="GLH65" s="2"/>
      <c r="GLI65" s="2"/>
      <c r="GLJ65" s="2"/>
      <c r="GLK65" s="2"/>
      <c r="GLL65" s="2"/>
      <c r="GLM65" s="2"/>
      <c r="GLN65" s="2"/>
      <c r="GLO65" s="2"/>
      <c r="GLP65" s="2"/>
      <c r="GLQ65" s="2"/>
      <c r="GLR65" s="2"/>
      <c r="GLS65" s="2"/>
      <c r="GLT65" s="2"/>
      <c r="GLU65" s="2"/>
      <c r="GLV65" s="2"/>
      <c r="GLW65" s="2"/>
      <c r="GLX65" s="2"/>
      <c r="GLY65" s="2"/>
      <c r="GLZ65" s="2"/>
      <c r="GMA65" s="2"/>
      <c r="GMB65" s="2"/>
      <c r="GMC65" s="2"/>
      <c r="GMD65" s="2"/>
      <c r="GME65" s="2"/>
      <c r="GMF65" s="2"/>
      <c r="GMG65" s="2"/>
      <c r="GMH65" s="2"/>
      <c r="GMI65" s="2"/>
      <c r="GMJ65" s="2"/>
      <c r="GMK65" s="2"/>
      <c r="GML65" s="2"/>
      <c r="GMM65" s="2"/>
      <c r="GMN65" s="2"/>
      <c r="GMO65" s="2"/>
      <c r="GMP65" s="2"/>
      <c r="GMQ65" s="2"/>
      <c r="GMR65" s="2"/>
      <c r="GMS65" s="2"/>
      <c r="GMT65" s="2"/>
      <c r="GMU65" s="2"/>
      <c r="GMV65" s="2"/>
      <c r="GMW65" s="2"/>
      <c r="GMX65" s="2"/>
      <c r="GMY65" s="2"/>
      <c r="GMZ65" s="2"/>
      <c r="GNA65" s="2"/>
      <c r="GNB65" s="2"/>
      <c r="GNC65" s="2"/>
      <c r="GND65" s="2"/>
      <c r="GNE65" s="2"/>
      <c r="GNF65" s="2"/>
      <c r="GNG65" s="2"/>
      <c r="GNH65" s="2"/>
      <c r="GNI65" s="2"/>
      <c r="GNJ65" s="2"/>
      <c r="GNK65" s="2"/>
      <c r="GNL65" s="2"/>
      <c r="GNM65" s="2"/>
      <c r="GNN65" s="2"/>
      <c r="GNO65" s="2"/>
      <c r="GNP65" s="2"/>
      <c r="GNQ65" s="2"/>
      <c r="GNR65" s="2"/>
      <c r="GNS65" s="2"/>
      <c r="GNT65" s="2"/>
      <c r="GNU65" s="2"/>
      <c r="GNV65" s="2"/>
      <c r="GNW65" s="2"/>
      <c r="GNX65" s="2"/>
      <c r="GNY65" s="2"/>
      <c r="GNZ65" s="2"/>
      <c r="GOA65" s="2"/>
      <c r="GOB65" s="2"/>
      <c r="GOC65" s="2"/>
      <c r="GOD65" s="2"/>
      <c r="GOE65" s="2"/>
      <c r="GOF65" s="2"/>
      <c r="GOG65" s="2"/>
      <c r="GOH65" s="2"/>
      <c r="GOI65" s="2"/>
      <c r="GOJ65" s="2"/>
      <c r="GOK65" s="2"/>
      <c r="GOL65" s="2"/>
      <c r="GOM65" s="2"/>
      <c r="GON65" s="2"/>
      <c r="GOO65" s="2"/>
      <c r="GOP65" s="2"/>
      <c r="GOQ65" s="2"/>
      <c r="GOR65" s="2"/>
      <c r="GOS65" s="2"/>
      <c r="GOT65" s="2"/>
      <c r="GOU65" s="2"/>
      <c r="GOV65" s="2"/>
      <c r="GOW65" s="2"/>
      <c r="GOX65" s="2"/>
      <c r="GOY65" s="2"/>
      <c r="GOZ65" s="2"/>
      <c r="GPA65" s="2"/>
      <c r="GPB65" s="2"/>
      <c r="GPC65" s="2"/>
      <c r="GPD65" s="2"/>
      <c r="GPE65" s="2"/>
      <c r="GPF65" s="2"/>
      <c r="GPG65" s="2"/>
      <c r="GPH65" s="2"/>
      <c r="GPI65" s="2"/>
      <c r="GPJ65" s="2"/>
      <c r="GPK65" s="2"/>
      <c r="GPL65" s="2"/>
      <c r="GPM65" s="2"/>
      <c r="GPN65" s="2"/>
      <c r="GPO65" s="2"/>
      <c r="GPP65" s="2"/>
      <c r="GPQ65" s="2"/>
      <c r="GPR65" s="2"/>
      <c r="GPS65" s="2"/>
      <c r="GPT65" s="2"/>
      <c r="GPU65" s="2"/>
      <c r="GPV65" s="2"/>
      <c r="GPW65" s="2"/>
      <c r="GPX65" s="2"/>
      <c r="GPY65" s="2"/>
      <c r="GPZ65" s="2"/>
      <c r="GQA65" s="2"/>
      <c r="GQB65" s="2"/>
      <c r="GQC65" s="2"/>
      <c r="GQD65" s="2"/>
      <c r="GQE65" s="2"/>
      <c r="GQF65" s="2"/>
      <c r="GQG65" s="2"/>
      <c r="GQH65" s="2"/>
      <c r="GQI65" s="2"/>
      <c r="GQJ65" s="2"/>
      <c r="GQK65" s="2"/>
      <c r="GQL65" s="2"/>
      <c r="GQM65" s="2"/>
      <c r="GQN65" s="2"/>
      <c r="GQO65" s="2"/>
      <c r="GQP65" s="2"/>
      <c r="GQQ65" s="2"/>
      <c r="GQR65" s="2"/>
      <c r="GQS65" s="2"/>
      <c r="GQT65" s="2"/>
      <c r="GQU65" s="2"/>
      <c r="GQV65" s="2"/>
      <c r="GQW65" s="2"/>
      <c r="GQX65" s="2"/>
      <c r="GQY65" s="2"/>
      <c r="GQZ65" s="2"/>
      <c r="GRA65" s="2"/>
      <c r="GRB65" s="2"/>
      <c r="GRC65" s="2"/>
      <c r="GRD65" s="2"/>
      <c r="GRE65" s="2"/>
      <c r="GRF65" s="2"/>
      <c r="GRG65" s="2"/>
      <c r="GRH65" s="2"/>
      <c r="GRI65" s="2"/>
      <c r="GRJ65" s="2"/>
      <c r="GRK65" s="2"/>
      <c r="GRL65" s="2"/>
      <c r="GRM65" s="2"/>
      <c r="GRN65" s="2"/>
      <c r="GRO65" s="2"/>
      <c r="GRP65" s="2"/>
      <c r="GRQ65" s="2"/>
      <c r="GRR65" s="2"/>
      <c r="GRS65" s="2"/>
      <c r="GRT65" s="2"/>
      <c r="GRU65" s="2"/>
      <c r="GRV65" s="2"/>
      <c r="GRW65" s="2"/>
      <c r="GRX65" s="2"/>
      <c r="GRY65" s="2"/>
      <c r="GRZ65" s="2"/>
      <c r="GSA65" s="2"/>
      <c r="GSB65" s="2"/>
      <c r="GSC65" s="2"/>
      <c r="GSD65" s="2"/>
      <c r="GSE65" s="2"/>
      <c r="GSF65" s="2"/>
      <c r="GSG65" s="2"/>
      <c r="GSH65" s="2"/>
      <c r="GSI65" s="2"/>
      <c r="GSJ65" s="2"/>
      <c r="GSK65" s="2"/>
      <c r="GSL65" s="2"/>
      <c r="GSM65" s="2"/>
      <c r="GSN65" s="2"/>
      <c r="GSO65" s="2"/>
      <c r="GSP65" s="2"/>
      <c r="GSQ65" s="2"/>
      <c r="GSR65" s="2"/>
      <c r="GSS65" s="2"/>
      <c r="GST65" s="2"/>
      <c r="GSU65" s="2"/>
      <c r="GSV65" s="2"/>
      <c r="GSW65" s="2"/>
      <c r="GSX65" s="2"/>
      <c r="GSY65" s="2"/>
      <c r="GSZ65" s="2"/>
      <c r="GTA65" s="2"/>
      <c r="GTB65" s="2"/>
      <c r="GTC65" s="2"/>
      <c r="GTD65" s="2"/>
      <c r="GTE65" s="2"/>
      <c r="GTF65" s="2"/>
      <c r="GTG65" s="2"/>
      <c r="GTH65" s="2"/>
      <c r="GTI65" s="2"/>
      <c r="GTJ65" s="2"/>
      <c r="GTK65" s="2"/>
      <c r="GTL65" s="2"/>
      <c r="GTM65" s="2"/>
      <c r="GTN65" s="2"/>
      <c r="GTO65" s="2"/>
      <c r="GTP65" s="2"/>
      <c r="GTQ65" s="2"/>
      <c r="GTR65" s="2"/>
      <c r="GTS65" s="2"/>
      <c r="GTT65" s="2"/>
      <c r="GTU65" s="2"/>
      <c r="GTV65" s="2"/>
      <c r="GTW65" s="2"/>
      <c r="GTX65" s="2"/>
      <c r="GTY65" s="2"/>
      <c r="GTZ65" s="2"/>
      <c r="GUA65" s="2"/>
      <c r="GUB65" s="2"/>
      <c r="GUC65" s="2"/>
      <c r="GUD65" s="2"/>
      <c r="GUE65" s="2"/>
      <c r="GUF65" s="2"/>
      <c r="GUG65" s="2"/>
      <c r="GUH65" s="2"/>
      <c r="GUI65" s="2"/>
      <c r="GUJ65" s="2"/>
      <c r="GUK65" s="2"/>
      <c r="GUL65" s="2"/>
      <c r="GUM65" s="2"/>
      <c r="GUN65" s="2"/>
      <c r="GUO65" s="2"/>
      <c r="GUP65" s="2"/>
      <c r="GUQ65" s="2"/>
      <c r="GUR65" s="2"/>
      <c r="GUS65" s="2"/>
      <c r="GUT65" s="2"/>
      <c r="GUU65" s="2"/>
      <c r="GUV65" s="2"/>
      <c r="GUW65" s="2"/>
      <c r="GUX65" s="2"/>
      <c r="GUY65" s="2"/>
      <c r="GUZ65" s="2"/>
      <c r="GVA65" s="2"/>
      <c r="GVB65" s="2"/>
      <c r="GVC65" s="2"/>
      <c r="GVD65" s="2"/>
      <c r="GVE65" s="2"/>
      <c r="GVF65" s="2"/>
      <c r="GVG65" s="2"/>
      <c r="GVH65" s="2"/>
      <c r="GVI65" s="2"/>
      <c r="GVJ65" s="2"/>
      <c r="GVK65" s="2"/>
      <c r="GVL65" s="2"/>
      <c r="GVM65" s="2"/>
      <c r="GVN65" s="2"/>
      <c r="GVO65" s="2"/>
      <c r="GVP65" s="2"/>
      <c r="GVQ65" s="2"/>
      <c r="GVR65" s="2"/>
      <c r="GVS65" s="2"/>
      <c r="GVT65" s="2"/>
      <c r="GVU65" s="2"/>
      <c r="GVV65" s="2"/>
      <c r="GVW65" s="2"/>
      <c r="GVX65" s="2"/>
      <c r="GVY65" s="2"/>
      <c r="GVZ65" s="2"/>
      <c r="GWA65" s="2"/>
      <c r="GWB65" s="2"/>
      <c r="GWC65" s="2"/>
      <c r="GWD65" s="2"/>
      <c r="GWE65" s="2"/>
      <c r="GWF65" s="2"/>
      <c r="GWG65" s="2"/>
      <c r="GWH65" s="2"/>
      <c r="GWI65" s="2"/>
      <c r="GWJ65" s="2"/>
      <c r="GWK65" s="2"/>
      <c r="GWL65" s="2"/>
      <c r="GWM65" s="2"/>
      <c r="GWN65" s="2"/>
      <c r="GWO65" s="2"/>
      <c r="GWP65" s="2"/>
      <c r="GWQ65" s="2"/>
      <c r="GWR65" s="2"/>
      <c r="GWS65" s="2"/>
      <c r="GWT65" s="2"/>
      <c r="GWU65" s="2"/>
      <c r="GWV65" s="2"/>
      <c r="GWW65" s="2"/>
      <c r="GWX65" s="2"/>
      <c r="GWY65" s="2"/>
      <c r="GWZ65" s="2"/>
      <c r="GXA65" s="2"/>
      <c r="GXB65" s="2"/>
      <c r="GXC65" s="2"/>
      <c r="GXD65" s="2"/>
      <c r="GXE65" s="2"/>
      <c r="GXF65" s="2"/>
      <c r="GXG65" s="2"/>
      <c r="GXH65" s="2"/>
      <c r="GXI65" s="2"/>
      <c r="GXJ65" s="2"/>
      <c r="GXK65" s="2"/>
      <c r="GXL65" s="2"/>
      <c r="GXM65" s="2"/>
      <c r="GXN65" s="2"/>
      <c r="GXO65" s="2"/>
      <c r="GXP65" s="2"/>
      <c r="GXQ65" s="2"/>
      <c r="GXR65" s="2"/>
      <c r="GXS65" s="2"/>
      <c r="GXT65" s="2"/>
      <c r="GXU65" s="2"/>
      <c r="GXV65" s="2"/>
      <c r="GXW65" s="2"/>
      <c r="GXX65" s="2"/>
      <c r="GXY65" s="2"/>
      <c r="GXZ65" s="2"/>
      <c r="GYA65" s="2"/>
      <c r="GYB65" s="2"/>
      <c r="GYC65" s="2"/>
      <c r="GYD65" s="2"/>
      <c r="GYE65" s="2"/>
      <c r="GYF65" s="2"/>
      <c r="GYG65" s="2"/>
      <c r="GYH65" s="2"/>
      <c r="GYI65" s="2"/>
      <c r="GYJ65" s="2"/>
      <c r="GYK65" s="2"/>
      <c r="GYL65" s="2"/>
      <c r="GYM65" s="2"/>
      <c r="GYN65" s="2"/>
      <c r="GYO65" s="2"/>
      <c r="GYP65" s="2"/>
      <c r="GYQ65" s="2"/>
      <c r="GYR65" s="2"/>
      <c r="GYS65" s="2"/>
      <c r="GYT65" s="2"/>
      <c r="GYU65" s="2"/>
      <c r="GYV65" s="2"/>
      <c r="GYW65" s="2"/>
      <c r="GYX65" s="2"/>
      <c r="GYY65" s="2"/>
      <c r="GYZ65" s="2"/>
      <c r="GZA65" s="2"/>
      <c r="GZB65" s="2"/>
      <c r="GZC65" s="2"/>
      <c r="GZD65" s="2"/>
      <c r="GZE65" s="2"/>
      <c r="GZF65" s="2"/>
      <c r="GZG65" s="2"/>
      <c r="GZH65" s="2"/>
      <c r="GZI65" s="2"/>
      <c r="GZJ65" s="2"/>
      <c r="GZK65" s="2"/>
      <c r="GZL65" s="2"/>
      <c r="GZM65" s="2"/>
      <c r="GZN65" s="2"/>
      <c r="GZO65" s="2"/>
      <c r="GZP65" s="2"/>
      <c r="GZQ65" s="2"/>
      <c r="GZR65" s="2"/>
      <c r="GZS65" s="2"/>
      <c r="GZT65" s="2"/>
      <c r="GZU65" s="2"/>
      <c r="GZV65" s="2"/>
      <c r="GZW65" s="2"/>
      <c r="GZX65" s="2"/>
      <c r="GZY65" s="2"/>
      <c r="GZZ65" s="2"/>
      <c r="HAA65" s="2"/>
      <c r="HAB65" s="2"/>
      <c r="HAC65" s="2"/>
      <c r="HAD65" s="2"/>
      <c r="HAE65" s="2"/>
      <c r="HAF65" s="2"/>
      <c r="HAG65" s="2"/>
      <c r="HAH65" s="2"/>
      <c r="HAI65" s="2"/>
      <c r="HAJ65" s="2"/>
      <c r="HAK65" s="2"/>
      <c r="HAL65" s="2"/>
      <c r="HAM65" s="2"/>
      <c r="HAN65" s="2"/>
      <c r="HAO65" s="2"/>
      <c r="HAP65" s="2"/>
      <c r="HAQ65" s="2"/>
      <c r="HAR65" s="2"/>
      <c r="HAS65" s="2"/>
      <c r="HAT65" s="2"/>
      <c r="HAU65" s="2"/>
      <c r="HAV65" s="2"/>
      <c r="HAW65" s="2"/>
      <c r="HAX65" s="2"/>
      <c r="HAY65" s="2"/>
      <c r="HAZ65" s="2"/>
      <c r="HBA65" s="2"/>
      <c r="HBB65" s="2"/>
      <c r="HBC65" s="2"/>
      <c r="HBD65" s="2"/>
      <c r="HBE65" s="2"/>
      <c r="HBF65" s="2"/>
      <c r="HBG65" s="2"/>
      <c r="HBH65" s="2"/>
      <c r="HBI65" s="2"/>
      <c r="HBJ65" s="2"/>
      <c r="HBK65" s="2"/>
      <c r="HBL65" s="2"/>
      <c r="HBM65" s="2"/>
      <c r="HBN65" s="2"/>
      <c r="HBO65" s="2"/>
      <c r="HBP65" s="2"/>
      <c r="HBQ65" s="2"/>
      <c r="HBR65" s="2"/>
      <c r="HBS65" s="2"/>
      <c r="HBT65" s="2"/>
      <c r="HBU65" s="2"/>
      <c r="HBV65" s="2"/>
      <c r="HBW65" s="2"/>
      <c r="HBX65" s="2"/>
      <c r="HBY65" s="2"/>
      <c r="HBZ65" s="2"/>
      <c r="HCA65" s="2"/>
      <c r="HCB65" s="2"/>
      <c r="HCC65" s="2"/>
      <c r="HCD65" s="2"/>
      <c r="HCE65" s="2"/>
      <c r="HCF65" s="2"/>
      <c r="HCG65" s="2"/>
      <c r="HCH65" s="2"/>
      <c r="HCI65" s="2"/>
      <c r="HCJ65" s="2"/>
      <c r="HCK65" s="2"/>
      <c r="HCL65" s="2"/>
      <c r="HCM65" s="2"/>
      <c r="HCN65" s="2"/>
      <c r="HCO65" s="2"/>
      <c r="HCP65" s="2"/>
      <c r="HCQ65" s="2"/>
      <c r="HCR65" s="2"/>
      <c r="HCS65" s="2"/>
      <c r="HCT65" s="2"/>
      <c r="HCU65" s="2"/>
      <c r="HCV65" s="2"/>
      <c r="HCW65" s="2"/>
      <c r="HCX65" s="2"/>
      <c r="HCY65" s="2"/>
      <c r="HCZ65" s="2"/>
      <c r="HDA65" s="2"/>
      <c r="HDB65" s="2"/>
      <c r="HDC65" s="2"/>
      <c r="HDD65" s="2"/>
      <c r="HDE65" s="2"/>
      <c r="HDF65" s="2"/>
      <c r="HDG65" s="2"/>
      <c r="HDH65" s="2"/>
      <c r="HDI65" s="2"/>
      <c r="HDJ65" s="2"/>
      <c r="HDK65" s="2"/>
      <c r="HDL65" s="2"/>
      <c r="HDM65" s="2"/>
      <c r="HDN65" s="2"/>
      <c r="HDO65" s="2"/>
      <c r="HDP65" s="2"/>
      <c r="HDQ65" s="2"/>
      <c r="HDR65" s="2"/>
      <c r="HDS65" s="2"/>
      <c r="HDT65" s="2"/>
      <c r="HDU65" s="2"/>
      <c r="HDV65" s="2"/>
      <c r="HDW65" s="2"/>
      <c r="HDX65" s="2"/>
      <c r="HDY65" s="2"/>
      <c r="HDZ65" s="2"/>
      <c r="HEA65" s="2"/>
      <c r="HEB65" s="2"/>
      <c r="HEC65" s="2"/>
      <c r="HED65" s="2"/>
      <c r="HEE65" s="2"/>
      <c r="HEF65" s="2"/>
      <c r="HEG65" s="2"/>
      <c r="HEH65" s="2"/>
      <c r="HEI65" s="2"/>
      <c r="HEJ65" s="2"/>
      <c r="HEK65" s="2"/>
      <c r="HEL65" s="2"/>
      <c r="HEM65" s="2"/>
      <c r="HEN65" s="2"/>
      <c r="HEO65" s="2"/>
      <c r="HEP65" s="2"/>
      <c r="HEQ65" s="2"/>
      <c r="HER65" s="2"/>
      <c r="HES65" s="2"/>
      <c r="HET65" s="2"/>
      <c r="HEU65" s="2"/>
      <c r="HEV65" s="2"/>
      <c r="HEW65" s="2"/>
      <c r="HEX65" s="2"/>
      <c r="HEY65" s="2"/>
      <c r="HEZ65" s="2"/>
      <c r="HFA65" s="2"/>
      <c r="HFB65" s="2"/>
      <c r="HFC65" s="2"/>
      <c r="HFD65" s="2"/>
      <c r="HFE65" s="2"/>
      <c r="HFF65" s="2"/>
      <c r="HFG65" s="2"/>
      <c r="HFH65" s="2"/>
      <c r="HFI65" s="2"/>
      <c r="HFJ65" s="2"/>
      <c r="HFK65" s="2"/>
      <c r="HFL65" s="2"/>
      <c r="HFM65" s="2"/>
      <c r="HFN65" s="2"/>
      <c r="HFO65" s="2"/>
      <c r="HFP65" s="2"/>
      <c r="HFQ65" s="2"/>
      <c r="HFR65" s="2"/>
      <c r="HFS65" s="2"/>
      <c r="HFT65" s="2"/>
      <c r="HFU65" s="2"/>
      <c r="HFV65" s="2"/>
      <c r="HFW65" s="2"/>
      <c r="HFX65" s="2"/>
      <c r="HFY65" s="2"/>
      <c r="HFZ65" s="2"/>
      <c r="HGA65" s="2"/>
      <c r="HGB65" s="2"/>
      <c r="HGC65" s="2"/>
      <c r="HGD65" s="2"/>
      <c r="HGE65" s="2"/>
      <c r="HGF65" s="2"/>
      <c r="HGG65" s="2"/>
      <c r="HGH65" s="2"/>
      <c r="HGI65" s="2"/>
      <c r="HGJ65" s="2"/>
      <c r="HGK65" s="2"/>
      <c r="HGL65" s="2"/>
      <c r="HGM65" s="2"/>
      <c r="HGN65" s="2"/>
      <c r="HGO65" s="2"/>
      <c r="HGP65" s="2"/>
      <c r="HGQ65" s="2"/>
      <c r="HGR65" s="2"/>
      <c r="HGS65" s="2"/>
      <c r="HGT65" s="2"/>
      <c r="HGU65" s="2"/>
      <c r="HGV65" s="2"/>
      <c r="HGW65" s="2"/>
      <c r="HGX65" s="2"/>
      <c r="HGY65" s="2"/>
      <c r="HGZ65" s="2"/>
      <c r="HHA65" s="2"/>
      <c r="HHB65" s="2"/>
      <c r="HHC65" s="2"/>
      <c r="HHD65" s="2"/>
      <c r="HHE65" s="2"/>
      <c r="HHF65" s="2"/>
      <c r="HHG65" s="2"/>
      <c r="HHH65" s="2"/>
      <c r="HHI65" s="2"/>
      <c r="HHJ65" s="2"/>
      <c r="HHK65" s="2"/>
      <c r="HHL65" s="2"/>
      <c r="HHM65" s="2"/>
      <c r="HHN65" s="2"/>
      <c r="HHO65" s="2"/>
      <c r="HHP65" s="2"/>
      <c r="HHQ65" s="2"/>
      <c r="HHR65" s="2"/>
      <c r="HHS65" s="2"/>
      <c r="HHT65" s="2"/>
      <c r="HHU65" s="2"/>
      <c r="HHV65" s="2"/>
      <c r="HHW65" s="2"/>
      <c r="HHX65" s="2"/>
      <c r="HHY65" s="2"/>
      <c r="HHZ65" s="2"/>
      <c r="HIA65" s="2"/>
      <c r="HIB65" s="2"/>
      <c r="HIC65" s="2"/>
      <c r="HID65" s="2"/>
      <c r="HIE65" s="2"/>
      <c r="HIF65" s="2"/>
      <c r="HIG65" s="2"/>
      <c r="HIH65" s="2"/>
      <c r="HII65" s="2"/>
      <c r="HIJ65" s="2"/>
      <c r="HIK65" s="2"/>
      <c r="HIL65" s="2"/>
      <c r="HIM65" s="2"/>
      <c r="HIN65" s="2"/>
      <c r="HIO65" s="2"/>
      <c r="HIP65" s="2"/>
      <c r="HIQ65" s="2"/>
      <c r="HIR65" s="2"/>
      <c r="HIS65" s="2"/>
      <c r="HIT65" s="2"/>
      <c r="HIU65" s="2"/>
      <c r="HIV65" s="2"/>
      <c r="HIW65" s="2"/>
      <c r="HIX65" s="2"/>
      <c r="HIY65" s="2"/>
      <c r="HIZ65" s="2"/>
      <c r="HJA65" s="2"/>
      <c r="HJB65" s="2"/>
      <c r="HJC65" s="2"/>
      <c r="HJD65" s="2"/>
      <c r="HJE65" s="2"/>
      <c r="HJF65" s="2"/>
      <c r="HJG65" s="2"/>
      <c r="HJH65" s="2"/>
      <c r="HJI65" s="2"/>
      <c r="HJJ65" s="2"/>
      <c r="HJK65" s="2"/>
      <c r="HJL65" s="2"/>
      <c r="HJM65" s="2"/>
      <c r="HJN65" s="2"/>
      <c r="HJO65" s="2"/>
      <c r="HJP65" s="2"/>
      <c r="HJQ65" s="2"/>
      <c r="HJR65" s="2"/>
      <c r="HJS65" s="2"/>
      <c r="HJT65" s="2"/>
      <c r="HJU65" s="2"/>
      <c r="HJV65" s="2"/>
      <c r="HJW65" s="2"/>
      <c r="HJX65" s="2"/>
      <c r="HJY65" s="2"/>
      <c r="HJZ65" s="2"/>
      <c r="HKA65" s="2"/>
      <c r="HKB65" s="2"/>
      <c r="HKC65" s="2"/>
      <c r="HKD65" s="2"/>
      <c r="HKE65" s="2"/>
      <c r="HKF65" s="2"/>
      <c r="HKG65" s="2"/>
      <c r="HKH65" s="2"/>
      <c r="HKI65" s="2"/>
      <c r="HKJ65" s="2"/>
      <c r="HKK65" s="2"/>
      <c r="HKL65" s="2"/>
      <c r="HKM65" s="2"/>
      <c r="HKN65" s="2"/>
      <c r="HKO65" s="2"/>
      <c r="HKP65" s="2"/>
      <c r="HKQ65" s="2"/>
      <c r="HKR65" s="2"/>
      <c r="HKS65" s="2"/>
      <c r="HKT65" s="2"/>
      <c r="HKU65" s="2"/>
      <c r="HKV65" s="2"/>
      <c r="HKW65" s="2"/>
      <c r="HKX65" s="2"/>
      <c r="HKY65" s="2"/>
      <c r="HKZ65" s="2"/>
      <c r="HLA65" s="2"/>
      <c r="HLB65" s="2"/>
      <c r="HLC65" s="2"/>
      <c r="HLD65" s="2"/>
      <c r="HLE65" s="2"/>
      <c r="HLF65" s="2"/>
      <c r="HLG65" s="2"/>
      <c r="HLH65" s="2"/>
      <c r="HLI65" s="2"/>
      <c r="HLJ65" s="2"/>
      <c r="HLK65" s="2"/>
      <c r="HLL65" s="2"/>
      <c r="HLM65" s="2"/>
      <c r="HLN65" s="2"/>
      <c r="HLO65" s="2"/>
      <c r="HLP65" s="2"/>
      <c r="HLQ65" s="2"/>
      <c r="HLR65" s="2"/>
      <c r="HLS65" s="2"/>
      <c r="HLT65" s="2"/>
      <c r="HLU65" s="2"/>
      <c r="HLV65" s="2"/>
      <c r="HLW65" s="2"/>
      <c r="HLX65" s="2"/>
      <c r="HLY65" s="2"/>
      <c r="HLZ65" s="2"/>
      <c r="HMA65" s="2"/>
      <c r="HMB65" s="2"/>
      <c r="HMC65" s="2"/>
      <c r="HMD65" s="2"/>
      <c r="HME65" s="2"/>
      <c r="HMF65" s="2"/>
      <c r="HMG65" s="2"/>
      <c r="HMH65" s="2"/>
      <c r="HMI65" s="2"/>
      <c r="HMJ65" s="2"/>
      <c r="HMK65" s="2"/>
      <c r="HML65" s="2"/>
      <c r="HMM65" s="2"/>
      <c r="HMN65" s="2"/>
      <c r="HMO65" s="2"/>
      <c r="HMP65" s="2"/>
      <c r="HMQ65" s="2"/>
      <c r="HMR65" s="2"/>
      <c r="HMS65" s="2"/>
      <c r="HMT65" s="2"/>
      <c r="HMU65" s="2"/>
      <c r="HMV65" s="2"/>
      <c r="HMW65" s="2"/>
      <c r="HMX65" s="2"/>
      <c r="HMY65" s="2"/>
      <c r="HMZ65" s="2"/>
      <c r="HNA65" s="2"/>
      <c r="HNB65" s="2"/>
      <c r="HNC65" s="2"/>
      <c r="HND65" s="2"/>
      <c r="HNE65" s="2"/>
      <c r="HNF65" s="2"/>
      <c r="HNG65" s="2"/>
      <c r="HNH65" s="2"/>
      <c r="HNI65" s="2"/>
      <c r="HNJ65" s="2"/>
      <c r="HNK65" s="2"/>
      <c r="HNL65" s="2"/>
      <c r="HNM65" s="2"/>
      <c r="HNN65" s="2"/>
      <c r="HNO65" s="2"/>
      <c r="HNP65" s="2"/>
      <c r="HNQ65" s="2"/>
      <c r="HNR65" s="2"/>
      <c r="HNS65" s="2"/>
      <c r="HNT65" s="2"/>
      <c r="HNU65" s="2"/>
      <c r="HNV65" s="2"/>
      <c r="HNW65" s="2"/>
      <c r="HNX65" s="2"/>
      <c r="HNY65" s="2"/>
      <c r="HNZ65" s="2"/>
      <c r="HOA65" s="2"/>
      <c r="HOB65" s="2"/>
      <c r="HOC65" s="2"/>
      <c r="HOD65" s="2"/>
      <c r="HOE65" s="2"/>
      <c r="HOF65" s="2"/>
      <c r="HOG65" s="2"/>
      <c r="HOH65" s="2"/>
      <c r="HOI65" s="2"/>
      <c r="HOJ65" s="2"/>
      <c r="HOK65" s="2"/>
      <c r="HOL65" s="2"/>
      <c r="HOM65" s="2"/>
      <c r="HON65" s="2"/>
      <c r="HOO65" s="2"/>
      <c r="HOP65" s="2"/>
      <c r="HOQ65" s="2"/>
      <c r="HOR65" s="2"/>
      <c r="HOS65" s="2"/>
      <c r="HOT65" s="2"/>
      <c r="HOU65" s="2"/>
      <c r="HOV65" s="2"/>
      <c r="HOW65" s="2"/>
      <c r="HOX65" s="2"/>
      <c r="HOY65" s="2"/>
      <c r="HOZ65" s="2"/>
      <c r="HPA65" s="2"/>
      <c r="HPB65" s="2"/>
      <c r="HPC65" s="2"/>
      <c r="HPD65" s="2"/>
      <c r="HPE65" s="2"/>
      <c r="HPF65" s="2"/>
      <c r="HPG65" s="2"/>
      <c r="HPH65" s="2"/>
      <c r="HPI65" s="2"/>
      <c r="HPJ65" s="2"/>
      <c r="HPK65" s="2"/>
      <c r="HPL65" s="2"/>
      <c r="HPM65" s="2"/>
      <c r="HPN65" s="2"/>
      <c r="HPO65" s="2"/>
      <c r="HPP65" s="2"/>
      <c r="HPQ65" s="2"/>
      <c r="HPR65" s="2"/>
      <c r="HPS65" s="2"/>
      <c r="HPT65" s="2"/>
      <c r="HPU65" s="2"/>
      <c r="HPV65" s="2"/>
      <c r="HPW65" s="2"/>
      <c r="HPX65" s="2"/>
      <c r="HPY65" s="2"/>
      <c r="HPZ65" s="2"/>
      <c r="HQA65" s="2"/>
      <c r="HQB65" s="2"/>
      <c r="HQC65" s="2"/>
      <c r="HQD65" s="2"/>
      <c r="HQE65" s="2"/>
      <c r="HQF65" s="2"/>
      <c r="HQG65" s="2"/>
      <c r="HQH65" s="2"/>
      <c r="HQI65" s="2"/>
      <c r="HQJ65" s="2"/>
      <c r="HQK65" s="2"/>
      <c r="HQL65" s="2"/>
      <c r="HQM65" s="2"/>
      <c r="HQN65" s="2"/>
      <c r="HQO65" s="2"/>
      <c r="HQP65" s="2"/>
      <c r="HQQ65" s="2"/>
      <c r="HQR65" s="2"/>
      <c r="HQS65" s="2"/>
      <c r="HQT65" s="2"/>
      <c r="HQU65" s="2"/>
      <c r="HQV65" s="2"/>
      <c r="HQW65" s="2"/>
      <c r="HQX65" s="2"/>
      <c r="HQY65" s="2"/>
      <c r="HQZ65" s="2"/>
      <c r="HRA65" s="2"/>
      <c r="HRB65" s="2"/>
      <c r="HRC65" s="2"/>
      <c r="HRD65" s="2"/>
      <c r="HRE65" s="2"/>
      <c r="HRF65" s="2"/>
      <c r="HRG65" s="2"/>
      <c r="HRH65" s="2"/>
      <c r="HRI65" s="2"/>
      <c r="HRJ65" s="2"/>
      <c r="HRK65" s="2"/>
      <c r="HRL65" s="2"/>
      <c r="HRM65" s="2"/>
      <c r="HRN65" s="2"/>
      <c r="HRO65" s="2"/>
      <c r="HRP65" s="2"/>
      <c r="HRQ65" s="2"/>
      <c r="HRR65" s="2"/>
      <c r="HRS65" s="2"/>
      <c r="HRT65" s="2"/>
      <c r="HRU65" s="2"/>
      <c r="HRV65" s="2"/>
      <c r="HRW65" s="2"/>
      <c r="HRX65" s="2"/>
      <c r="HRY65" s="2"/>
      <c r="HRZ65" s="2"/>
      <c r="HSA65" s="2"/>
      <c r="HSB65" s="2"/>
      <c r="HSC65" s="2"/>
      <c r="HSD65" s="2"/>
      <c r="HSE65" s="2"/>
      <c r="HSF65" s="2"/>
      <c r="HSG65" s="2"/>
      <c r="HSH65" s="2"/>
      <c r="HSI65" s="2"/>
      <c r="HSJ65" s="2"/>
      <c r="HSK65" s="2"/>
      <c r="HSL65" s="2"/>
      <c r="HSM65" s="2"/>
      <c r="HSN65" s="2"/>
      <c r="HSO65" s="2"/>
      <c r="HSP65" s="2"/>
      <c r="HSQ65" s="2"/>
      <c r="HSR65" s="2"/>
      <c r="HSS65" s="2"/>
      <c r="HST65" s="2"/>
      <c r="HSU65" s="2"/>
      <c r="HSV65" s="2"/>
      <c r="HSW65" s="2"/>
      <c r="HSX65" s="2"/>
      <c r="HSY65" s="2"/>
      <c r="HSZ65" s="2"/>
      <c r="HTA65" s="2"/>
      <c r="HTB65" s="2"/>
      <c r="HTC65" s="2"/>
      <c r="HTD65" s="2"/>
      <c r="HTE65" s="2"/>
      <c r="HTF65" s="2"/>
      <c r="HTG65" s="2"/>
      <c r="HTH65" s="2"/>
      <c r="HTI65" s="2"/>
      <c r="HTJ65" s="2"/>
      <c r="HTK65" s="2"/>
      <c r="HTL65" s="2"/>
      <c r="HTM65" s="2"/>
      <c r="HTN65" s="2"/>
      <c r="HTO65" s="2"/>
      <c r="HTP65" s="2"/>
      <c r="HTQ65" s="2"/>
      <c r="HTR65" s="2"/>
      <c r="HTS65" s="2"/>
      <c r="HTT65" s="2"/>
      <c r="HTU65" s="2"/>
      <c r="HTV65" s="2"/>
      <c r="HTW65" s="2"/>
      <c r="HTX65" s="2"/>
      <c r="HTY65" s="2"/>
      <c r="HTZ65" s="2"/>
      <c r="HUA65" s="2"/>
      <c r="HUB65" s="2"/>
      <c r="HUC65" s="2"/>
      <c r="HUD65" s="2"/>
      <c r="HUE65" s="2"/>
      <c r="HUF65" s="2"/>
      <c r="HUG65" s="2"/>
      <c r="HUH65" s="2"/>
      <c r="HUI65" s="2"/>
      <c r="HUJ65" s="2"/>
      <c r="HUK65" s="2"/>
      <c r="HUL65" s="2"/>
      <c r="HUM65" s="2"/>
      <c r="HUN65" s="2"/>
      <c r="HUO65" s="2"/>
      <c r="HUP65" s="2"/>
      <c r="HUQ65" s="2"/>
      <c r="HUR65" s="2"/>
      <c r="HUS65" s="2"/>
      <c r="HUT65" s="2"/>
      <c r="HUU65" s="2"/>
      <c r="HUV65" s="2"/>
      <c r="HUW65" s="2"/>
      <c r="HUX65" s="2"/>
      <c r="HUY65" s="2"/>
      <c r="HUZ65" s="2"/>
      <c r="HVA65" s="2"/>
      <c r="HVB65" s="2"/>
      <c r="HVC65" s="2"/>
      <c r="HVD65" s="2"/>
      <c r="HVE65" s="2"/>
      <c r="HVF65" s="2"/>
      <c r="HVG65" s="2"/>
      <c r="HVH65" s="2"/>
      <c r="HVI65" s="2"/>
      <c r="HVJ65" s="2"/>
      <c r="HVK65" s="2"/>
      <c r="HVL65" s="2"/>
      <c r="HVM65" s="2"/>
      <c r="HVN65" s="2"/>
      <c r="HVO65" s="2"/>
      <c r="HVP65" s="2"/>
      <c r="HVQ65" s="2"/>
      <c r="HVR65" s="2"/>
      <c r="HVS65" s="2"/>
      <c r="HVT65" s="2"/>
      <c r="HVU65" s="2"/>
      <c r="HVV65" s="2"/>
      <c r="HVW65" s="2"/>
      <c r="HVX65" s="2"/>
      <c r="HVY65" s="2"/>
      <c r="HVZ65" s="2"/>
      <c r="HWA65" s="2"/>
      <c r="HWB65" s="2"/>
      <c r="HWC65" s="2"/>
      <c r="HWD65" s="2"/>
      <c r="HWE65" s="2"/>
      <c r="HWF65" s="2"/>
      <c r="HWG65" s="2"/>
      <c r="HWH65" s="2"/>
      <c r="HWI65" s="2"/>
      <c r="HWJ65" s="2"/>
      <c r="HWK65" s="2"/>
      <c r="HWL65" s="2"/>
      <c r="HWM65" s="2"/>
      <c r="HWN65" s="2"/>
      <c r="HWO65" s="2"/>
      <c r="HWP65" s="2"/>
      <c r="HWQ65" s="2"/>
      <c r="HWR65" s="2"/>
      <c r="HWS65" s="2"/>
      <c r="HWT65" s="2"/>
      <c r="HWU65" s="2"/>
      <c r="HWV65" s="2"/>
      <c r="HWW65" s="2"/>
      <c r="HWX65" s="2"/>
      <c r="HWY65" s="2"/>
      <c r="HWZ65" s="2"/>
      <c r="HXA65" s="2"/>
      <c r="HXB65" s="2"/>
      <c r="HXC65" s="2"/>
      <c r="HXD65" s="2"/>
      <c r="HXE65" s="2"/>
      <c r="HXF65" s="2"/>
      <c r="HXG65" s="2"/>
      <c r="HXH65" s="2"/>
      <c r="HXI65" s="2"/>
      <c r="HXJ65" s="2"/>
      <c r="HXK65" s="2"/>
      <c r="HXL65" s="2"/>
      <c r="HXM65" s="2"/>
      <c r="HXN65" s="2"/>
      <c r="HXO65" s="2"/>
      <c r="HXP65" s="2"/>
      <c r="HXQ65" s="2"/>
      <c r="HXR65" s="2"/>
      <c r="HXS65" s="2"/>
      <c r="HXT65" s="2"/>
      <c r="HXU65" s="2"/>
      <c r="HXV65" s="2"/>
      <c r="HXW65" s="2"/>
      <c r="HXX65" s="2"/>
      <c r="HXY65" s="2"/>
      <c r="HXZ65" s="2"/>
      <c r="HYA65" s="2"/>
      <c r="HYB65" s="2"/>
      <c r="HYC65" s="2"/>
      <c r="HYD65" s="2"/>
      <c r="HYE65" s="2"/>
      <c r="HYF65" s="2"/>
      <c r="HYG65" s="2"/>
      <c r="HYH65" s="2"/>
      <c r="HYI65" s="2"/>
      <c r="HYJ65" s="2"/>
      <c r="HYK65" s="2"/>
      <c r="HYL65" s="2"/>
      <c r="HYM65" s="2"/>
      <c r="HYN65" s="2"/>
      <c r="HYO65" s="2"/>
      <c r="HYP65" s="2"/>
      <c r="HYQ65" s="2"/>
      <c r="HYR65" s="2"/>
      <c r="HYS65" s="2"/>
      <c r="HYT65" s="2"/>
      <c r="HYU65" s="2"/>
      <c r="HYV65" s="2"/>
      <c r="HYW65" s="2"/>
      <c r="HYX65" s="2"/>
      <c r="HYY65" s="2"/>
      <c r="HYZ65" s="2"/>
      <c r="HZA65" s="2"/>
      <c r="HZB65" s="2"/>
      <c r="HZC65" s="2"/>
      <c r="HZD65" s="2"/>
      <c r="HZE65" s="2"/>
      <c r="HZF65" s="2"/>
      <c r="HZG65" s="2"/>
      <c r="HZH65" s="2"/>
      <c r="HZI65" s="2"/>
      <c r="HZJ65" s="2"/>
      <c r="HZK65" s="2"/>
      <c r="HZL65" s="2"/>
      <c r="HZM65" s="2"/>
      <c r="HZN65" s="2"/>
      <c r="HZO65" s="2"/>
      <c r="HZP65" s="2"/>
      <c r="HZQ65" s="2"/>
      <c r="HZR65" s="2"/>
      <c r="HZS65" s="2"/>
      <c r="HZT65" s="2"/>
      <c r="HZU65" s="2"/>
      <c r="HZV65" s="2"/>
      <c r="HZW65" s="2"/>
      <c r="HZX65" s="2"/>
      <c r="HZY65" s="2"/>
      <c r="HZZ65" s="2"/>
      <c r="IAA65" s="2"/>
      <c r="IAB65" s="2"/>
      <c r="IAC65" s="2"/>
      <c r="IAD65" s="2"/>
      <c r="IAE65" s="2"/>
      <c r="IAF65" s="2"/>
      <c r="IAG65" s="2"/>
      <c r="IAH65" s="2"/>
      <c r="IAI65" s="2"/>
      <c r="IAJ65" s="2"/>
      <c r="IAK65" s="2"/>
      <c r="IAL65" s="2"/>
      <c r="IAM65" s="2"/>
      <c r="IAN65" s="2"/>
      <c r="IAO65" s="2"/>
      <c r="IAP65" s="2"/>
      <c r="IAQ65" s="2"/>
      <c r="IAR65" s="2"/>
      <c r="IAS65" s="2"/>
      <c r="IAT65" s="2"/>
      <c r="IAU65" s="2"/>
      <c r="IAV65" s="2"/>
      <c r="IAW65" s="2"/>
      <c r="IAX65" s="2"/>
      <c r="IAY65" s="2"/>
      <c r="IAZ65" s="2"/>
      <c r="IBA65" s="2"/>
      <c r="IBB65" s="2"/>
      <c r="IBC65" s="2"/>
      <c r="IBD65" s="2"/>
      <c r="IBE65" s="2"/>
      <c r="IBF65" s="2"/>
      <c r="IBG65" s="2"/>
      <c r="IBH65" s="2"/>
      <c r="IBI65" s="2"/>
      <c r="IBJ65" s="2"/>
      <c r="IBK65" s="2"/>
      <c r="IBL65" s="2"/>
      <c r="IBM65" s="2"/>
      <c r="IBN65" s="2"/>
      <c r="IBO65" s="2"/>
      <c r="IBP65" s="2"/>
      <c r="IBQ65" s="2"/>
      <c r="IBR65" s="2"/>
      <c r="IBS65" s="2"/>
      <c r="IBT65" s="2"/>
      <c r="IBU65" s="2"/>
      <c r="IBV65" s="2"/>
      <c r="IBW65" s="2"/>
      <c r="IBX65" s="2"/>
      <c r="IBY65" s="2"/>
      <c r="IBZ65" s="2"/>
      <c r="ICA65" s="2"/>
      <c r="ICB65" s="2"/>
      <c r="ICC65" s="2"/>
      <c r="ICD65" s="2"/>
      <c r="ICE65" s="2"/>
      <c r="ICF65" s="2"/>
      <c r="ICG65" s="2"/>
      <c r="ICH65" s="2"/>
      <c r="ICI65" s="2"/>
      <c r="ICJ65" s="2"/>
      <c r="ICK65" s="2"/>
      <c r="ICL65" s="2"/>
      <c r="ICM65" s="2"/>
      <c r="ICN65" s="2"/>
      <c r="ICO65" s="2"/>
      <c r="ICP65" s="2"/>
      <c r="ICQ65" s="2"/>
      <c r="ICR65" s="2"/>
      <c r="ICS65" s="2"/>
      <c r="ICT65" s="2"/>
      <c r="ICU65" s="2"/>
      <c r="ICV65" s="2"/>
      <c r="ICW65" s="2"/>
      <c r="ICX65" s="2"/>
      <c r="ICY65" s="2"/>
      <c r="ICZ65" s="2"/>
      <c r="IDA65" s="2"/>
      <c r="IDB65" s="2"/>
      <c r="IDC65" s="2"/>
      <c r="IDD65" s="2"/>
      <c r="IDE65" s="2"/>
      <c r="IDF65" s="2"/>
      <c r="IDG65" s="2"/>
      <c r="IDH65" s="2"/>
      <c r="IDI65" s="2"/>
      <c r="IDJ65" s="2"/>
      <c r="IDK65" s="2"/>
      <c r="IDL65" s="2"/>
      <c r="IDM65" s="2"/>
      <c r="IDN65" s="2"/>
      <c r="IDO65" s="2"/>
      <c r="IDP65" s="2"/>
      <c r="IDQ65" s="2"/>
      <c r="IDR65" s="2"/>
      <c r="IDS65" s="2"/>
      <c r="IDT65" s="2"/>
      <c r="IDU65" s="2"/>
      <c r="IDV65" s="2"/>
      <c r="IDW65" s="2"/>
      <c r="IDX65" s="2"/>
      <c r="IDY65" s="2"/>
      <c r="IDZ65" s="2"/>
      <c r="IEA65" s="2"/>
      <c r="IEB65" s="2"/>
      <c r="IEC65" s="2"/>
      <c r="IED65" s="2"/>
      <c r="IEE65" s="2"/>
      <c r="IEF65" s="2"/>
      <c r="IEG65" s="2"/>
      <c r="IEH65" s="2"/>
      <c r="IEI65" s="2"/>
      <c r="IEJ65" s="2"/>
      <c r="IEK65" s="2"/>
      <c r="IEL65" s="2"/>
      <c r="IEM65" s="2"/>
      <c r="IEN65" s="2"/>
      <c r="IEO65" s="2"/>
      <c r="IEP65" s="2"/>
      <c r="IEQ65" s="2"/>
      <c r="IER65" s="2"/>
      <c r="IES65" s="2"/>
      <c r="IET65" s="2"/>
      <c r="IEU65" s="2"/>
      <c r="IEV65" s="2"/>
      <c r="IEW65" s="2"/>
      <c r="IEX65" s="2"/>
      <c r="IEY65" s="2"/>
      <c r="IEZ65" s="2"/>
      <c r="IFA65" s="2"/>
      <c r="IFB65" s="2"/>
      <c r="IFC65" s="2"/>
      <c r="IFD65" s="2"/>
      <c r="IFE65" s="2"/>
      <c r="IFF65" s="2"/>
      <c r="IFG65" s="2"/>
      <c r="IFH65" s="2"/>
      <c r="IFI65" s="2"/>
      <c r="IFJ65" s="2"/>
      <c r="IFK65" s="2"/>
      <c r="IFL65" s="2"/>
      <c r="IFM65" s="2"/>
      <c r="IFN65" s="2"/>
      <c r="IFO65" s="2"/>
      <c r="IFP65" s="2"/>
      <c r="IFQ65" s="2"/>
      <c r="IFR65" s="2"/>
      <c r="IFS65" s="2"/>
      <c r="IFT65" s="2"/>
      <c r="IFU65" s="2"/>
      <c r="IFV65" s="2"/>
      <c r="IFW65" s="2"/>
      <c r="IFX65" s="2"/>
      <c r="IFY65" s="2"/>
      <c r="IFZ65" s="2"/>
      <c r="IGA65" s="2"/>
      <c r="IGB65" s="2"/>
      <c r="IGC65" s="2"/>
      <c r="IGD65" s="2"/>
      <c r="IGE65" s="2"/>
      <c r="IGF65" s="2"/>
      <c r="IGG65" s="2"/>
      <c r="IGH65" s="2"/>
      <c r="IGI65" s="2"/>
      <c r="IGJ65" s="2"/>
      <c r="IGK65" s="2"/>
      <c r="IGL65" s="2"/>
      <c r="IGM65" s="2"/>
      <c r="IGN65" s="2"/>
      <c r="IGO65" s="2"/>
      <c r="IGP65" s="2"/>
      <c r="IGQ65" s="2"/>
      <c r="IGR65" s="2"/>
      <c r="IGS65" s="2"/>
      <c r="IGT65" s="2"/>
      <c r="IGU65" s="2"/>
      <c r="IGV65" s="2"/>
      <c r="IGW65" s="2"/>
      <c r="IGX65" s="2"/>
      <c r="IGY65" s="2"/>
      <c r="IGZ65" s="2"/>
      <c r="IHA65" s="2"/>
      <c r="IHB65" s="2"/>
      <c r="IHC65" s="2"/>
      <c r="IHD65" s="2"/>
      <c r="IHE65" s="2"/>
      <c r="IHF65" s="2"/>
      <c r="IHG65" s="2"/>
      <c r="IHH65" s="2"/>
      <c r="IHI65" s="2"/>
      <c r="IHJ65" s="2"/>
      <c r="IHK65" s="2"/>
      <c r="IHL65" s="2"/>
      <c r="IHM65" s="2"/>
      <c r="IHN65" s="2"/>
      <c r="IHO65" s="2"/>
      <c r="IHP65" s="2"/>
      <c r="IHQ65" s="2"/>
      <c r="IHR65" s="2"/>
      <c r="IHS65" s="2"/>
      <c r="IHT65" s="2"/>
      <c r="IHU65" s="2"/>
      <c r="IHV65" s="2"/>
      <c r="IHW65" s="2"/>
      <c r="IHX65" s="2"/>
      <c r="IHY65" s="2"/>
      <c r="IHZ65" s="2"/>
      <c r="IIA65" s="2"/>
      <c r="IIB65" s="2"/>
      <c r="IIC65" s="2"/>
      <c r="IID65" s="2"/>
      <c r="IIE65" s="2"/>
      <c r="IIF65" s="2"/>
      <c r="IIG65" s="2"/>
      <c r="IIH65" s="2"/>
      <c r="III65" s="2"/>
      <c r="IIJ65" s="2"/>
      <c r="IIK65" s="2"/>
      <c r="IIL65" s="2"/>
      <c r="IIM65" s="2"/>
      <c r="IIN65" s="2"/>
      <c r="IIO65" s="2"/>
      <c r="IIP65" s="2"/>
      <c r="IIQ65" s="2"/>
      <c r="IIR65" s="2"/>
      <c r="IIS65" s="2"/>
      <c r="IIT65" s="2"/>
      <c r="IIU65" s="2"/>
      <c r="IIV65" s="2"/>
      <c r="IIW65" s="2"/>
      <c r="IIX65" s="2"/>
      <c r="IIY65" s="2"/>
      <c r="IIZ65" s="2"/>
      <c r="IJA65" s="2"/>
      <c r="IJB65" s="2"/>
      <c r="IJC65" s="2"/>
      <c r="IJD65" s="2"/>
      <c r="IJE65" s="2"/>
      <c r="IJF65" s="2"/>
      <c r="IJG65" s="2"/>
      <c r="IJH65" s="2"/>
      <c r="IJI65" s="2"/>
      <c r="IJJ65" s="2"/>
      <c r="IJK65" s="2"/>
      <c r="IJL65" s="2"/>
      <c r="IJM65" s="2"/>
      <c r="IJN65" s="2"/>
      <c r="IJO65" s="2"/>
      <c r="IJP65" s="2"/>
      <c r="IJQ65" s="2"/>
      <c r="IJR65" s="2"/>
      <c r="IJS65" s="2"/>
      <c r="IJT65" s="2"/>
      <c r="IJU65" s="2"/>
      <c r="IJV65" s="2"/>
      <c r="IJW65" s="2"/>
      <c r="IJX65" s="2"/>
      <c r="IJY65" s="2"/>
      <c r="IJZ65" s="2"/>
      <c r="IKA65" s="2"/>
      <c r="IKB65" s="2"/>
      <c r="IKC65" s="2"/>
      <c r="IKD65" s="2"/>
      <c r="IKE65" s="2"/>
      <c r="IKF65" s="2"/>
      <c r="IKG65" s="2"/>
      <c r="IKH65" s="2"/>
      <c r="IKI65" s="2"/>
      <c r="IKJ65" s="2"/>
      <c r="IKK65" s="2"/>
      <c r="IKL65" s="2"/>
      <c r="IKM65" s="2"/>
      <c r="IKN65" s="2"/>
      <c r="IKO65" s="2"/>
      <c r="IKP65" s="2"/>
      <c r="IKQ65" s="2"/>
      <c r="IKR65" s="2"/>
      <c r="IKS65" s="2"/>
      <c r="IKT65" s="2"/>
      <c r="IKU65" s="2"/>
      <c r="IKV65" s="2"/>
      <c r="IKW65" s="2"/>
      <c r="IKX65" s="2"/>
      <c r="IKY65" s="2"/>
      <c r="IKZ65" s="2"/>
      <c r="ILA65" s="2"/>
      <c r="ILB65" s="2"/>
      <c r="ILC65" s="2"/>
      <c r="ILD65" s="2"/>
      <c r="ILE65" s="2"/>
      <c r="ILF65" s="2"/>
      <c r="ILG65" s="2"/>
      <c r="ILH65" s="2"/>
      <c r="ILI65" s="2"/>
      <c r="ILJ65" s="2"/>
      <c r="ILK65" s="2"/>
      <c r="ILL65" s="2"/>
      <c r="ILM65" s="2"/>
      <c r="ILN65" s="2"/>
      <c r="ILO65" s="2"/>
      <c r="ILP65" s="2"/>
      <c r="ILQ65" s="2"/>
      <c r="ILR65" s="2"/>
      <c r="ILS65" s="2"/>
      <c r="ILT65" s="2"/>
      <c r="ILU65" s="2"/>
      <c r="ILV65" s="2"/>
      <c r="ILW65" s="2"/>
      <c r="ILX65" s="2"/>
      <c r="ILY65" s="2"/>
      <c r="ILZ65" s="2"/>
      <c r="IMA65" s="2"/>
      <c r="IMB65" s="2"/>
      <c r="IMC65" s="2"/>
      <c r="IMD65" s="2"/>
      <c r="IME65" s="2"/>
      <c r="IMF65" s="2"/>
      <c r="IMG65" s="2"/>
      <c r="IMH65" s="2"/>
      <c r="IMI65" s="2"/>
      <c r="IMJ65" s="2"/>
      <c r="IMK65" s="2"/>
      <c r="IML65" s="2"/>
      <c r="IMM65" s="2"/>
      <c r="IMN65" s="2"/>
      <c r="IMO65" s="2"/>
      <c r="IMP65" s="2"/>
      <c r="IMQ65" s="2"/>
      <c r="IMR65" s="2"/>
      <c r="IMS65" s="2"/>
      <c r="IMT65" s="2"/>
      <c r="IMU65" s="2"/>
      <c r="IMV65" s="2"/>
      <c r="IMW65" s="2"/>
      <c r="IMX65" s="2"/>
      <c r="IMY65" s="2"/>
      <c r="IMZ65" s="2"/>
      <c r="INA65" s="2"/>
      <c r="INB65" s="2"/>
      <c r="INC65" s="2"/>
      <c r="IND65" s="2"/>
      <c r="INE65" s="2"/>
      <c r="INF65" s="2"/>
      <c r="ING65" s="2"/>
      <c r="INH65" s="2"/>
      <c r="INI65" s="2"/>
      <c r="INJ65" s="2"/>
      <c r="INK65" s="2"/>
      <c r="INL65" s="2"/>
      <c r="INM65" s="2"/>
      <c r="INN65" s="2"/>
      <c r="INO65" s="2"/>
      <c r="INP65" s="2"/>
      <c r="INQ65" s="2"/>
      <c r="INR65" s="2"/>
      <c r="INS65" s="2"/>
      <c r="INT65" s="2"/>
      <c r="INU65" s="2"/>
      <c r="INV65" s="2"/>
      <c r="INW65" s="2"/>
      <c r="INX65" s="2"/>
      <c r="INY65" s="2"/>
      <c r="INZ65" s="2"/>
      <c r="IOA65" s="2"/>
      <c r="IOB65" s="2"/>
      <c r="IOC65" s="2"/>
      <c r="IOD65" s="2"/>
      <c r="IOE65" s="2"/>
      <c r="IOF65" s="2"/>
      <c r="IOG65" s="2"/>
      <c r="IOH65" s="2"/>
      <c r="IOI65" s="2"/>
      <c r="IOJ65" s="2"/>
      <c r="IOK65" s="2"/>
      <c r="IOL65" s="2"/>
      <c r="IOM65" s="2"/>
      <c r="ION65" s="2"/>
      <c r="IOO65" s="2"/>
      <c r="IOP65" s="2"/>
      <c r="IOQ65" s="2"/>
      <c r="IOR65" s="2"/>
      <c r="IOS65" s="2"/>
      <c r="IOT65" s="2"/>
      <c r="IOU65" s="2"/>
      <c r="IOV65" s="2"/>
      <c r="IOW65" s="2"/>
      <c r="IOX65" s="2"/>
      <c r="IOY65" s="2"/>
      <c r="IOZ65" s="2"/>
      <c r="IPA65" s="2"/>
      <c r="IPB65" s="2"/>
      <c r="IPC65" s="2"/>
      <c r="IPD65" s="2"/>
      <c r="IPE65" s="2"/>
      <c r="IPF65" s="2"/>
      <c r="IPG65" s="2"/>
      <c r="IPH65" s="2"/>
      <c r="IPI65" s="2"/>
      <c r="IPJ65" s="2"/>
      <c r="IPK65" s="2"/>
      <c r="IPL65" s="2"/>
      <c r="IPM65" s="2"/>
      <c r="IPN65" s="2"/>
      <c r="IPO65" s="2"/>
      <c r="IPP65" s="2"/>
      <c r="IPQ65" s="2"/>
      <c r="IPR65" s="2"/>
      <c r="IPS65" s="2"/>
      <c r="IPT65" s="2"/>
      <c r="IPU65" s="2"/>
      <c r="IPV65" s="2"/>
      <c r="IPW65" s="2"/>
      <c r="IPX65" s="2"/>
      <c r="IPY65" s="2"/>
      <c r="IPZ65" s="2"/>
      <c r="IQA65" s="2"/>
      <c r="IQB65" s="2"/>
      <c r="IQC65" s="2"/>
      <c r="IQD65" s="2"/>
      <c r="IQE65" s="2"/>
      <c r="IQF65" s="2"/>
      <c r="IQG65" s="2"/>
      <c r="IQH65" s="2"/>
      <c r="IQI65" s="2"/>
      <c r="IQJ65" s="2"/>
      <c r="IQK65" s="2"/>
      <c r="IQL65" s="2"/>
      <c r="IQM65" s="2"/>
      <c r="IQN65" s="2"/>
      <c r="IQO65" s="2"/>
      <c r="IQP65" s="2"/>
      <c r="IQQ65" s="2"/>
      <c r="IQR65" s="2"/>
      <c r="IQS65" s="2"/>
      <c r="IQT65" s="2"/>
      <c r="IQU65" s="2"/>
      <c r="IQV65" s="2"/>
      <c r="IQW65" s="2"/>
      <c r="IQX65" s="2"/>
      <c r="IQY65" s="2"/>
      <c r="IQZ65" s="2"/>
      <c r="IRA65" s="2"/>
      <c r="IRB65" s="2"/>
      <c r="IRC65" s="2"/>
      <c r="IRD65" s="2"/>
      <c r="IRE65" s="2"/>
      <c r="IRF65" s="2"/>
      <c r="IRG65" s="2"/>
      <c r="IRH65" s="2"/>
      <c r="IRI65" s="2"/>
      <c r="IRJ65" s="2"/>
      <c r="IRK65" s="2"/>
      <c r="IRL65" s="2"/>
      <c r="IRM65" s="2"/>
      <c r="IRN65" s="2"/>
      <c r="IRO65" s="2"/>
      <c r="IRP65" s="2"/>
      <c r="IRQ65" s="2"/>
      <c r="IRR65" s="2"/>
      <c r="IRS65" s="2"/>
      <c r="IRT65" s="2"/>
      <c r="IRU65" s="2"/>
      <c r="IRV65" s="2"/>
      <c r="IRW65" s="2"/>
      <c r="IRX65" s="2"/>
      <c r="IRY65" s="2"/>
      <c r="IRZ65" s="2"/>
      <c r="ISA65" s="2"/>
      <c r="ISB65" s="2"/>
      <c r="ISC65" s="2"/>
      <c r="ISD65" s="2"/>
      <c r="ISE65" s="2"/>
      <c r="ISF65" s="2"/>
      <c r="ISG65" s="2"/>
      <c r="ISH65" s="2"/>
      <c r="ISI65" s="2"/>
      <c r="ISJ65" s="2"/>
      <c r="ISK65" s="2"/>
      <c r="ISL65" s="2"/>
      <c r="ISM65" s="2"/>
      <c r="ISN65" s="2"/>
      <c r="ISO65" s="2"/>
      <c r="ISP65" s="2"/>
      <c r="ISQ65" s="2"/>
      <c r="ISR65" s="2"/>
      <c r="ISS65" s="2"/>
      <c r="IST65" s="2"/>
      <c r="ISU65" s="2"/>
      <c r="ISV65" s="2"/>
      <c r="ISW65" s="2"/>
      <c r="ISX65" s="2"/>
      <c r="ISY65" s="2"/>
      <c r="ISZ65" s="2"/>
      <c r="ITA65" s="2"/>
      <c r="ITB65" s="2"/>
      <c r="ITC65" s="2"/>
      <c r="ITD65" s="2"/>
      <c r="ITE65" s="2"/>
      <c r="ITF65" s="2"/>
      <c r="ITG65" s="2"/>
      <c r="ITH65" s="2"/>
      <c r="ITI65" s="2"/>
      <c r="ITJ65" s="2"/>
      <c r="ITK65" s="2"/>
      <c r="ITL65" s="2"/>
      <c r="ITM65" s="2"/>
      <c r="ITN65" s="2"/>
      <c r="ITO65" s="2"/>
      <c r="ITP65" s="2"/>
      <c r="ITQ65" s="2"/>
      <c r="ITR65" s="2"/>
      <c r="ITS65" s="2"/>
      <c r="ITT65" s="2"/>
      <c r="ITU65" s="2"/>
      <c r="ITV65" s="2"/>
      <c r="ITW65" s="2"/>
      <c r="ITX65" s="2"/>
      <c r="ITY65" s="2"/>
      <c r="ITZ65" s="2"/>
      <c r="IUA65" s="2"/>
      <c r="IUB65" s="2"/>
      <c r="IUC65" s="2"/>
      <c r="IUD65" s="2"/>
      <c r="IUE65" s="2"/>
      <c r="IUF65" s="2"/>
      <c r="IUG65" s="2"/>
      <c r="IUH65" s="2"/>
      <c r="IUI65" s="2"/>
      <c r="IUJ65" s="2"/>
      <c r="IUK65" s="2"/>
      <c r="IUL65" s="2"/>
      <c r="IUM65" s="2"/>
      <c r="IUN65" s="2"/>
      <c r="IUO65" s="2"/>
      <c r="IUP65" s="2"/>
      <c r="IUQ65" s="2"/>
      <c r="IUR65" s="2"/>
      <c r="IUS65" s="2"/>
      <c r="IUT65" s="2"/>
      <c r="IUU65" s="2"/>
      <c r="IUV65" s="2"/>
      <c r="IUW65" s="2"/>
      <c r="IUX65" s="2"/>
      <c r="IUY65" s="2"/>
      <c r="IUZ65" s="2"/>
      <c r="IVA65" s="2"/>
      <c r="IVB65" s="2"/>
      <c r="IVC65" s="2"/>
      <c r="IVD65" s="2"/>
      <c r="IVE65" s="2"/>
      <c r="IVF65" s="2"/>
      <c r="IVG65" s="2"/>
      <c r="IVH65" s="2"/>
      <c r="IVI65" s="2"/>
      <c r="IVJ65" s="2"/>
      <c r="IVK65" s="2"/>
      <c r="IVL65" s="2"/>
      <c r="IVM65" s="2"/>
      <c r="IVN65" s="2"/>
      <c r="IVO65" s="2"/>
      <c r="IVP65" s="2"/>
      <c r="IVQ65" s="2"/>
      <c r="IVR65" s="2"/>
      <c r="IVS65" s="2"/>
      <c r="IVT65" s="2"/>
      <c r="IVU65" s="2"/>
      <c r="IVV65" s="2"/>
      <c r="IVW65" s="2"/>
      <c r="IVX65" s="2"/>
      <c r="IVY65" s="2"/>
      <c r="IVZ65" s="2"/>
      <c r="IWA65" s="2"/>
      <c r="IWB65" s="2"/>
      <c r="IWC65" s="2"/>
      <c r="IWD65" s="2"/>
      <c r="IWE65" s="2"/>
      <c r="IWF65" s="2"/>
      <c r="IWG65" s="2"/>
      <c r="IWH65" s="2"/>
      <c r="IWI65" s="2"/>
      <c r="IWJ65" s="2"/>
      <c r="IWK65" s="2"/>
      <c r="IWL65" s="2"/>
      <c r="IWM65" s="2"/>
      <c r="IWN65" s="2"/>
      <c r="IWO65" s="2"/>
      <c r="IWP65" s="2"/>
      <c r="IWQ65" s="2"/>
      <c r="IWR65" s="2"/>
      <c r="IWS65" s="2"/>
      <c r="IWT65" s="2"/>
      <c r="IWU65" s="2"/>
      <c r="IWV65" s="2"/>
      <c r="IWW65" s="2"/>
      <c r="IWX65" s="2"/>
      <c r="IWY65" s="2"/>
      <c r="IWZ65" s="2"/>
      <c r="IXA65" s="2"/>
      <c r="IXB65" s="2"/>
      <c r="IXC65" s="2"/>
      <c r="IXD65" s="2"/>
      <c r="IXE65" s="2"/>
      <c r="IXF65" s="2"/>
      <c r="IXG65" s="2"/>
      <c r="IXH65" s="2"/>
      <c r="IXI65" s="2"/>
      <c r="IXJ65" s="2"/>
      <c r="IXK65" s="2"/>
      <c r="IXL65" s="2"/>
      <c r="IXM65" s="2"/>
      <c r="IXN65" s="2"/>
      <c r="IXO65" s="2"/>
      <c r="IXP65" s="2"/>
      <c r="IXQ65" s="2"/>
      <c r="IXR65" s="2"/>
      <c r="IXS65" s="2"/>
      <c r="IXT65" s="2"/>
      <c r="IXU65" s="2"/>
      <c r="IXV65" s="2"/>
      <c r="IXW65" s="2"/>
      <c r="IXX65" s="2"/>
      <c r="IXY65" s="2"/>
      <c r="IXZ65" s="2"/>
      <c r="IYA65" s="2"/>
      <c r="IYB65" s="2"/>
      <c r="IYC65" s="2"/>
      <c r="IYD65" s="2"/>
      <c r="IYE65" s="2"/>
      <c r="IYF65" s="2"/>
      <c r="IYG65" s="2"/>
      <c r="IYH65" s="2"/>
      <c r="IYI65" s="2"/>
      <c r="IYJ65" s="2"/>
      <c r="IYK65" s="2"/>
      <c r="IYL65" s="2"/>
      <c r="IYM65" s="2"/>
      <c r="IYN65" s="2"/>
      <c r="IYO65" s="2"/>
      <c r="IYP65" s="2"/>
      <c r="IYQ65" s="2"/>
      <c r="IYR65" s="2"/>
      <c r="IYS65" s="2"/>
      <c r="IYT65" s="2"/>
      <c r="IYU65" s="2"/>
      <c r="IYV65" s="2"/>
      <c r="IYW65" s="2"/>
      <c r="IYX65" s="2"/>
      <c r="IYY65" s="2"/>
      <c r="IYZ65" s="2"/>
      <c r="IZA65" s="2"/>
      <c r="IZB65" s="2"/>
      <c r="IZC65" s="2"/>
      <c r="IZD65" s="2"/>
      <c r="IZE65" s="2"/>
      <c r="IZF65" s="2"/>
      <c r="IZG65" s="2"/>
      <c r="IZH65" s="2"/>
      <c r="IZI65" s="2"/>
      <c r="IZJ65" s="2"/>
      <c r="IZK65" s="2"/>
      <c r="IZL65" s="2"/>
      <c r="IZM65" s="2"/>
      <c r="IZN65" s="2"/>
      <c r="IZO65" s="2"/>
      <c r="IZP65" s="2"/>
      <c r="IZQ65" s="2"/>
      <c r="IZR65" s="2"/>
      <c r="IZS65" s="2"/>
      <c r="IZT65" s="2"/>
      <c r="IZU65" s="2"/>
      <c r="IZV65" s="2"/>
      <c r="IZW65" s="2"/>
      <c r="IZX65" s="2"/>
      <c r="IZY65" s="2"/>
      <c r="IZZ65" s="2"/>
      <c r="JAA65" s="2"/>
      <c r="JAB65" s="2"/>
      <c r="JAC65" s="2"/>
      <c r="JAD65" s="2"/>
      <c r="JAE65" s="2"/>
      <c r="JAF65" s="2"/>
      <c r="JAG65" s="2"/>
      <c r="JAH65" s="2"/>
      <c r="JAI65" s="2"/>
      <c r="JAJ65" s="2"/>
      <c r="JAK65" s="2"/>
      <c r="JAL65" s="2"/>
      <c r="JAM65" s="2"/>
      <c r="JAN65" s="2"/>
      <c r="JAO65" s="2"/>
      <c r="JAP65" s="2"/>
      <c r="JAQ65" s="2"/>
      <c r="JAR65" s="2"/>
      <c r="JAS65" s="2"/>
      <c r="JAT65" s="2"/>
      <c r="JAU65" s="2"/>
      <c r="JAV65" s="2"/>
      <c r="JAW65" s="2"/>
      <c r="JAX65" s="2"/>
      <c r="JAY65" s="2"/>
      <c r="JAZ65" s="2"/>
      <c r="JBA65" s="2"/>
      <c r="JBB65" s="2"/>
      <c r="JBC65" s="2"/>
      <c r="JBD65" s="2"/>
      <c r="JBE65" s="2"/>
      <c r="JBF65" s="2"/>
      <c r="JBG65" s="2"/>
      <c r="JBH65" s="2"/>
      <c r="JBI65" s="2"/>
      <c r="JBJ65" s="2"/>
      <c r="JBK65" s="2"/>
      <c r="JBL65" s="2"/>
      <c r="JBM65" s="2"/>
      <c r="JBN65" s="2"/>
      <c r="JBO65" s="2"/>
      <c r="JBP65" s="2"/>
      <c r="JBQ65" s="2"/>
      <c r="JBR65" s="2"/>
      <c r="JBS65" s="2"/>
      <c r="JBT65" s="2"/>
      <c r="JBU65" s="2"/>
      <c r="JBV65" s="2"/>
      <c r="JBW65" s="2"/>
      <c r="JBX65" s="2"/>
      <c r="JBY65" s="2"/>
      <c r="JBZ65" s="2"/>
      <c r="JCA65" s="2"/>
      <c r="JCB65" s="2"/>
      <c r="JCC65" s="2"/>
      <c r="JCD65" s="2"/>
      <c r="JCE65" s="2"/>
      <c r="JCF65" s="2"/>
      <c r="JCG65" s="2"/>
      <c r="JCH65" s="2"/>
      <c r="JCI65" s="2"/>
      <c r="JCJ65" s="2"/>
      <c r="JCK65" s="2"/>
      <c r="JCL65" s="2"/>
      <c r="JCM65" s="2"/>
      <c r="JCN65" s="2"/>
      <c r="JCO65" s="2"/>
      <c r="JCP65" s="2"/>
      <c r="JCQ65" s="2"/>
      <c r="JCR65" s="2"/>
      <c r="JCS65" s="2"/>
      <c r="JCT65" s="2"/>
      <c r="JCU65" s="2"/>
      <c r="JCV65" s="2"/>
      <c r="JCW65" s="2"/>
      <c r="JCX65" s="2"/>
      <c r="JCY65" s="2"/>
      <c r="JCZ65" s="2"/>
      <c r="JDA65" s="2"/>
      <c r="JDB65" s="2"/>
      <c r="JDC65" s="2"/>
      <c r="JDD65" s="2"/>
      <c r="JDE65" s="2"/>
      <c r="JDF65" s="2"/>
      <c r="JDG65" s="2"/>
      <c r="JDH65" s="2"/>
      <c r="JDI65" s="2"/>
      <c r="JDJ65" s="2"/>
      <c r="JDK65" s="2"/>
      <c r="JDL65" s="2"/>
      <c r="JDM65" s="2"/>
      <c r="JDN65" s="2"/>
      <c r="JDO65" s="2"/>
      <c r="JDP65" s="2"/>
      <c r="JDQ65" s="2"/>
      <c r="JDR65" s="2"/>
      <c r="JDS65" s="2"/>
      <c r="JDT65" s="2"/>
      <c r="JDU65" s="2"/>
      <c r="JDV65" s="2"/>
      <c r="JDW65" s="2"/>
      <c r="JDX65" s="2"/>
      <c r="JDY65" s="2"/>
      <c r="JDZ65" s="2"/>
      <c r="JEA65" s="2"/>
      <c r="JEB65" s="2"/>
      <c r="JEC65" s="2"/>
      <c r="JED65" s="2"/>
      <c r="JEE65" s="2"/>
      <c r="JEF65" s="2"/>
      <c r="JEG65" s="2"/>
      <c r="JEH65" s="2"/>
      <c r="JEI65" s="2"/>
      <c r="JEJ65" s="2"/>
      <c r="JEK65" s="2"/>
      <c r="JEL65" s="2"/>
      <c r="JEM65" s="2"/>
      <c r="JEN65" s="2"/>
      <c r="JEO65" s="2"/>
      <c r="JEP65" s="2"/>
      <c r="JEQ65" s="2"/>
      <c r="JER65" s="2"/>
      <c r="JES65" s="2"/>
      <c r="JET65" s="2"/>
      <c r="JEU65" s="2"/>
      <c r="JEV65" s="2"/>
      <c r="JEW65" s="2"/>
      <c r="JEX65" s="2"/>
      <c r="JEY65" s="2"/>
      <c r="JEZ65" s="2"/>
      <c r="JFA65" s="2"/>
      <c r="JFB65" s="2"/>
      <c r="JFC65" s="2"/>
      <c r="JFD65" s="2"/>
      <c r="JFE65" s="2"/>
      <c r="JFF65" s="2"/>
      <c r="JFG65" s="2"/>
      <c r="JFH65" s="2"/>
      <c r="JFI65" s="2"/>
      <c r="JFJ65" s="2"/>
      <c r="JFK65" s="2"/>
      <c r="JFL65" s="2"/>
      <c r="JFM65" s="2"/>
      <c r="JFN65" s="2"/>
      <c r="JFO65" s="2"/>
      <c r="JFP65" s="2"/>
      <c r="JFQ65" s="2"/>
      <c r="JFR65" s="2"/>
      <c r="JFS65" s="2"/>
      <c r="JFT65" s="2"/>
      <c r="JFU65" s="2"/>
      <c r="JFV65" s="2"/>
      <c r="JFW65" s="2"/>
      <c r="JFX65" s="2"/>
      <c r="JFY65" s="2"/>
      <c r="JFZ65" s="2"/>
      <c r="JGA65" s="2"/>
      <c r="JGB65" s="2"/>
      <c r="JGC65" s="2"/>
      <c r="JGD65" s="2"/>
      <c r="JGE65" s="2"/>
      <c r="JGF65" s="2"/>
      <c r="JGG65" s="2"/>
      <c r="JGH65" s="2"/>
      <c r="JGI65" s="2"/>
      <c r="JGJ65" s="2"/>
      <c r="JGK65" s="2"/>
      <c r="JGL65" s="2"/>
      <c r="JGM65" s="2"/>
      <c r="JGN65" s="2"/>
      <c r="JGO65" s="2"/>
      <c r="JGP65" s="2"/>
      <c r="JGQ65" s="2"/>
      <c r="JGR65" s="2"/>
      <c r="JGS65" s="2"/>
      <c r="JGT65" s="2"/>
      <c r="JGU65" s="2"/>
      <c r="JGV65" s="2"/>
      <c r="JGW65" s="2"/>
      <c r="JGX65" s="2"/>
      <c r="JGY65" s="2"/>
      <c r="JGZ65" s="2"/>
      <c r="JHA65" s="2"/>
      <c r="JHB65" s="2"/>
      <c r="JHC65" s="2"/>
      <c r="JHD65" s="2"/>
      <c r="JHE65" s="2"/>
      <c r="JHF65" s="2"/>
      <c r="JHG65" s="2"/>
      <c r="JHH65" s="2"/>
      <c r="JHI65" s="2"/>
      <c r="JHJ65" s="2"/>
      <c r="JHK65" s="2"/>
      <c r="JHL65" s="2"/>
      <c r="JHM65" s="2"/>
      <c r="JHN65" s="2"/>
      <c r="JHO65" s="2"/>
      <c r="JHP65" s="2"/>
      <c r="JHQ65" s="2"/>
      <c r="JHR65" s="2"/>
      <c r="JHS65" s="2"/>
      <c r="JHT65" s="2"/>
      <c r="JHU65" s="2"/>
      <c r="JHV65" s="2"/>
      <c r="JHW65" s="2"/>
      <c r="JHX65" s="2"/>
      <c r="JHY65" s="2"/>
      <c r="JHZ65" s="2"/>
      <c r="JIA65" s="2"/>
      <c r="JIB65" s="2"/>
      <c r="JIC65" s="2"/>
      <c r="JID65" s="2"/>
      <c r="JIE65" s="2"/>
      <c r="JIF65" s="2"/>
      <c r="JIG65" s="2"/>
      <c r="JIH65" s="2"/>
      <c r="JII65" s="2"/>
      <c r="JIJ65" s="2"/>
      <c r="JIK65" s="2"/>
      <c r="JIL65" s="2"/>
      <c r="JIM65" s="2"/>
      <c r="JIN65" s="2"/>
      <c r="JIO65" s="2"/>
      <c r="JIP65" s="2"/>
      <c r="JIQ65" s="2"/>
      <c r="JIR65" s="2"/>
      <c r="JIS65" s="2"/>
      <c r="JIT65" s="2"/>
      <c r="JIU65" s="2"/>
      <c r="JIV65" s="2"/>
      <c r="JIW65" s="2"/>
      <c r="JIX65" s="2"/>
      <c r="JIY65" s="2"/>
      <c r="JIZ65" s="2"/>
      <c r="JJA65" s="2"/>
      <c r="JJB65" s="2"/>
      <c r="JJC65" s="2"/>
      <c r="JJD65" s="2"/>
      <c r="JJE65" s="2"/>
      <c r="JJF65" s="2"/>
      <c r="JJG65" s="2"/>
      <c r="JJH65" s="2"/>
      <c r="JJI65" s="2"/>
      <c r="JJJ65" s="2"/>
      <c r="JJK65" s="2"/>
      <c r="JJL65" s="2"/>
      <c r="JJM65" s="2"/>
      <c r="JJN65" s="2"/>
      <c r="JJO65" s="2"/>
      <c r="JJP65" s="2"/>
      <c r="JJQ65" s="2"/>
      <c r="JJR65" s="2"/>
      <c r="JJS65" s="2"/>
      <c r="JJT65" s="2"/>
      <c r="JJU65" s="2"/>
      <c r="JJV65" s="2"/>
      <c r="JJW65" s="2"/>
      <c r="JJX65" s="2"/>
      <c r="JJY65" s="2"/>
      <c r="JJZ65" s="2"/>
      <c r="JKA65" s="2"/>
      <c r="JKB65" s="2"/>
      <c r="JKC65" s="2"/>
      <c r="JKD65" s="2"/>
      <c r="JKE65" s="2"/>
      <c r="JKF65" s="2"/>
      <c r="JKG65" s="2"/>
      <c r="JKH65" s="2"/>
      <c r="JKI65" s="2"/>
      <c r="JKJ65" s="2"/>
      <c r="JKK65" s="2"/>
      <c r="JKL65" s="2"/>
      <c r="JKM65" s="2"/>
      <c r="JKN65" s="2"/>
      <c r="JKO65" s="2"/>
      <c r="JKP65" s="2"/>
      <c r="JKQ65" s="2"/>
      <c r="JKR65" s="2"/>
      <c r="JKS65" s="2"/>
      <c r="JKT65" s="2"/>
      <c r="JKU65" s="2"/>
      <c r="JKV65" s="2"/>
      <c r="JKW65" s="2"/>
      <c r="JKX65" s="2"/>
      <c r="JKY65" s="2"/>
      <c r="JKZ65" s="2"/>
      <c r="JLA65" s="2"/>
      <c r="JLB65" s="2"/>
      <c r="JLC65" s="2"/>
      <c r="JLD65" s="2"/>
      <c r="JLE65" s="2"/>
      <c r="JLF65" s="2"/>
      <c r="JLG65" s="2"/>
      <c r="JLH65" s="2"/>
      <c r="JLI65" s="2"/>
      <c r="JLJ65" s="2"/>
      <c r="JLK65" s="2"/>
      <c r="JLL65" s="2"/>
      <c r="JLM65" s="2"/>
      <c r="JLN65" s="2"/>
      <c r="JLO65" s="2"/>
      <c r="JLP65" s="2"/>
      <c r="JLQ65" s="2"/>
      <c r="JLR65" s="2"/>
      <c r="JLS65" s="2"/>
      <c r="JLT65" s="2"/>
      <c r="JLU65" s="2"/>
      <c r="JLV65" s="2"/>
      <c r="JLW65" s="2"/>
      <c r="JLX65" s="2"/>
      <c r="JLY65" s="2"/>
      <c r="JLZ65" s="2"/>
      <c r="JMA65" s="2"/>
      <c r="JMB65" s="2"/>
      <c r="JMC65" s="2"/>
      <c r="JMD65" s="2"/>
      <c r="JME65" s="2"/>
      <c r="JMF65" s="2"/>
      <c r="JMG65" s="2"/>
      <c r="JMH65" s="2"/>
      <c r="JMI65" s="2"/>
      <c r="JMJ65" s="2"/>
      <c r="JMK65" s="2"/>
      <c r="JML65" s="2"/>
      <c r="JMM65" s="2"/>
      <c r="JMN65" s="2"/>
      <c r="JMO65" s="2"/>
      <c r="JMP65" s="2"/>
      <c r="JMQ65" s="2"/>
      <c r="JMR65" s="2"/>
      <c r="JMS65" s="2"/>
      <c r="JMT65" s="2"/>
      <c r="JMU65" s="2"/>
      <c r="JMV65" s="2"/>
      <c r="JMW65" s="2"/>
      <c r="JMX65" s="2"/>
      <c r="JMY65" s="2"/>
      <c r="JMZ65" s="2"/>
      <c r="JNA65" s="2"/>
      <c r="JNB65" s="2"/>
      <c r="JNC65" s="2"/>
      <c r="JND65" s="2"/>
      <c r="JNE65" s="2"/>
      <c r="JNF65" s="2"/>
      <c r="JNG65" s="2"/>
      <c r="JNH65" s="2"/>
      <c r="JNI65" s="2"/>
      <c r="JNJ65" s="2"/>
      <c r="JNK65" s="2"/>
      <c r="JNL65" s="2"/>
      <c r="JNM65" s="2"/>
      <c r="JNN65" s="2"/>
      <c r="JNO65" s="2"/>
      <c r="JNP65" s="2"/>
      <c r="JNQ65" s="2"/>
      <c r="JNR65" s="2"/>
      <c r="JNS65" s="2"/>
      <c r="JNT65" s="2"/>
      <c r="JNU65" s="2"/>
      <c r="JNV65" s="2"/>
      <c r="JNW65" s="2"/>
      <c r="JNX65" s="2"/>
      <c r="JNY65" s="2"/>
      <c r="JNZ65" s="2"/>
      <c r="JOA65" s="2"/>
      <c r="JOB65" s="2"/>
      <c r="JOC65" s="2"/>
      <c r="JOD65" s="2"/>
      <c r="JOE65" s="2"/>
      <c r="JOF65" s="2"/>
      <c r="JOG65" s="2"/>
      <c r="JOH65" s="2"/>
      <c r="JOI65" s="2"/>
      <c r="JOJ65" s="2"/>
      <c r="JOK65" s="2"/>
      <c r="JOL65" s="2"/>
      <c r="JOM65" s="2"/>
      <c r="JON65" s="2"/>
      <c r="JOO65" s="2"/>
      <c r="JOP65" s="2"/>
      <c r="JOQ65" s="2"/>
      <c r="JOR65" s="2"/>
      <c r="JOS65" s="2"/>
      <c r="JOT65" s="2"/>
      <c r="JOU65" s="2"/>
      <c r="JOV65" s="2"/>
      <c r="JOW65" s="2"/>
      <c r="JOX65" s="2"/>
      <c r="JOY65" s="2"/>
      <c r="JOZ65" s="2"/>
      <c r="JPA65" s="2"/>
      <c r="JPB65" s="2"/>
      <c r="JPC65" s="2"/>
      <c r="JPD65" s="2"/>
      <c r="JPE65" s="2"/>
      <c r="JPF65" s="2"/>
      <c r="JPG65" s="2"/>
      <c r="JPH65" s="2"/>
      <c r="JPI65" s="2"/>
      <c r="JPJ65" s="2"/>
      <c r="JPK65" s="2"/>
      <c r="JPL65" s="2"/>
      <c r="JPM65" s="2"/>
      <c r="JPN65" s="2"/>
      <c r="JPO65" s="2"/>
      <c r="JPP65" s="2"/>
      <c r="JPQ65" s="2"/>
      <c r="JPR65" s="2"/>
      <c r="JPS65" s="2"/>
      <c r="JPT65" s="2"/>
      <c r="JPU65" s="2"/>
      <c r="JPV65" s="2"/>
      <c r="JPW65" s="2"/>
      <c r="JPX65" s="2"/>
      <c r="JPY65" s="2"/>
      <c r="JPZ65" s="2"/>
      <c r="JQA65" s="2"/>
      <c r="JQB65" s="2"/>
      <c r="JQC65" s="2"/>
      <c r="JQD65" s="2"/>
      <c r="JQE65" s="2"/>
      <c r="JQF65" s="2"/>
      <c r="JQG65" s="2"/>
      <c r="JQH65" s="2"/>
      <c r="JQI65" s="2"/>
      <c r="JQJ65" s="2"/>
      <c r="JQK65" s="2"/>
      <c r="JQL65" s="2"/>
      <c r="JQM65" s="2"/>
      <c r="JQN65" s="2"/>
      <c r="JQO65" s="2"/>
      <c r="JQP65" s="2"/>
      <c r="JQQ65" s="2"/>
      <c r="JQR65" s="2"/>
      <c r="JQS65" s="2"/>
      <c r="JQT65" s="2"/>
      <c r="JQU65" s="2"/>
      <c r="JQV65" s="2"/>
      <c r="JQW65" s="2"/>
      <c r="JQX65" s="2"/>
      <c r="JQY65" s="2"/>
      <c r="JQZ65" s="2"/>
      <c r="JRA65" s="2"/>
      <c r="JRB65" s="2"/>
      <c r="JRC65" s="2"/>
      <c r="JRD65" s="2"/>
      <c r="JRE65" s="2"/>
      <c r="JRF65" s="2"/>
      <c r="JRG65" s="2"/>
      <c r="JRH65" s="2"/>
      <c r="JRI65" s="2"/>
      <c r="JRJ65" s="2"/>
      <c r="JRK65" s="2"/>
      <c r="JRL65" s="2"/>
      <c r="JRM65" s="2"/>
      <c r="JRN65" s="2"/>
      <c r="JRO65" s="2"/>
      <c r="JRP65" s="2"/>
      <c r="JRQ65" s="2"/>
      <c r="JRR65" s="2"/>
      <c r="JRS65" s="2"/>
      <c r="JRT65" s="2"/>
      <c r="JRU65" s="2"/>
      <c r="JRV65" s="2"/>
      <c r="JRW65" s="2"/>
      <c r="JRX65" s="2"/>
      <c r="JRY65" s="2"/>
      <c r="JRZ65" s="2"/>
      <c r="JSA65" s="2"/>
      <c r="JSB65" s="2"/>
      <c r="JSC65" s="2"/>
      <c r="JSD65" s="2"/>
      <c r="JSE65" s="2"/>
      <c r="JSF65" s="2"/>
      <c r="JSG65" s="2"/>
      <c r="JSH65" s="2"/>
      <c r="JSI65" s="2"/>
      <c r="JSJ65" s="2"/>
      <c r="JSK65" s="2"/>
      <c r="JSL65" s="2"/>
      <c r="JSM65" s="2"/>
      <c r="JSN65" s="2"/>
      <c r="JSO65" s="2"/>
      <c r="JSP65" s="2"/>
      <c r="JSQ65" s="2"/>
      <c r="JSR65" s="2"/>
      <c r="JSS65" s="2"/>
      <c r="JST65" s="2"/>
      <c r="JSU65" s="2"/>
      <c r="JSV65" s="2"/>
      <c r="JSW65" s="2"/>
      <c r="JSX65" s="2"/>
      <c r="JSY65" s="2"/>
      <c r="JSZ65" s="2"/>
      <c r="JTA65" s="2"/>
      <c r="JTB65" s="2"/>
      <c r="JTC65" s="2"/>
      <c r="JTD65" s="2"/>
      <c r="JTE65" s="2"/>
      <c r="JTF65" s="2"/>
      <c r="JTG65" s="2"/>
      <c r="JTH65" s="2"/>
      <c r="JTI65" s="2"/>
      <c r="JTJ65" s="2"/>
      <c r="JTK65" s="2"/>
      <c r="JTL65" s="2"/>
      <c r="JTM65" s="2"/>
      <c r="JTN65" s="2"/>
      <c r="JTO65" s="2"/>
      <c r="JTP65" s="2"/>
      <c r="JTQ65" s="2"/>
      <c r="JTR65" s="2"/>
      <c r="JTS65" s="2"/>
      <c r="JTT65" s="2"/>
      <c r="JTU65" s="2"/>
      <c r="JTV65" s="2"/>
      <c r="JTW65" s="2"/>
      <c r="JTX65" s="2"/>
      <c r="JTY65" s="2"/>
      <c r="JTZ65" s="2"/>
      <c r="JUA65" s="2"/>
      <c r="JUB65" s="2"/>
      <c r="JUC65" s="2"/>
      <c r="JUD65" s="2"/>
      <c r="JUE65" s="2"/>
      <c r="JUF65" s="2"/>
      <c r="JUG65" s="2"/>
      <c r="JUH65" s="2"/>
      <c r="JUI65" s="2"/>
      <c r="JUJ65" s="2"/>
      <c r="JUK65" s="2"/>
      <c r="JUL65" s="2"/>
      <c r="JUM65" s="2"/>
      <c r="JUN65" s="2"/>
      <c r="JUO65" s="2"/>
      <c r="JUP65" s="2"/>
      <c r="JUQ65" s="2"/>
      <c r="JUR65" s="2"/>
      <c r="JUS65" s="2"/>
      <c r="JUT65" s="2"/>
      <c r="JUU65" s="2"/>
      <c r="JUV65" s="2"/>
      <c r="JUW65" s="2"/>
      <c r="JUX65" s="2"/>
      <c r="JUY65" s="2"/>
      <c r="JUZ65" s="2"/>
      <c r="JVA65" s="2"/>
      <c r="JVB65" s="2"/>
      <c r="JVC65" s="2"/>
      <c r="JVD65" s="2"/>
      <c r="JVE65" s="2"/>
      <c r="JVF65" s="2"/>
      <c r="JVG65" s="2"/>
      <c r="JVH65" s="2"/>
      <c r="JVI65" s="2"/>
      <c r="JVJ65" s="2"/>
      <c r="JVK65" s="2"/>
      <c r="JVL65" s="2"/>
      <c r="JVM65" s="2"/>
      <c r="JVN65" s="2"/>
      <c r="JVO65" s="2"/>
      <c r="JVP65" s="2"/>
      <c r="JVQ65" s="2"/>
      <c r="JVR65" s="2"/>
      <c r="JVS65" s="2"/>
      <c r="JVT65" s="2"/>
      <c r="JVU65" s="2"/>
      <c r="JVV65" s="2"/>
      <c r="JVW65" s="2"/>
      <c r="JVX65" s="2"/>
      <c r="JVY65" s="2"/>
      <c r="JVZ65" s="2"/>
      <c r="JWA65" s="2"/>
      <c r="JWB65" s="2"/>
      <c r="JWC65" s="2"/>
      <c r="JWD65" s="2"/>
      <c r="JWE65" s="2"/>
      <c r="JWF65" s="2"/>
      <c r="JWG65" s="2"/>
      <c r="JWH65" s="2"/>
      <c r="JWI65" s="2"/>
      <c r="JWJ65" s="2"/>
      <c r="JWK65" s="2"/>
      <c r="JWL65" s="2"/>
      <c r="JWM65" s="2"/>
      <c r="JWN65" s="2"/>
      <c r="JWO65" s="2"/>
      <c r="JWP65" s="2"/>
      <c r="JWQ65" s="2"/>
      <c r="JWR65" s="2"/>
      <c r="JWS65" s="2"/>
      <c r="JWT65" s="2"/>
      <c r="JWU65" s="2"/>
      <c r="JWV65" s="2"/>
      <c r="JWW65" s="2"/>
      <c r="JWX65" s="2"/>
      <c r="JWY65" s="2"/>
      <c r="JWZ65" s="2"/>
      <c r="JXA65" s="2"/>
      <c r="JXB65" s="2"/>
      <c r="JXC65" s="2"/>
      <c r="JXD65" s="2"/>
      <c r="JXE65" s="2"/>
      <c r="JXF65" s="2"/>
      <c r="JXG65" s="2"/>
      <c r="JXH65" s="2"/>
      <c r="JXI65" s="2"/>
      <c r="JXJ65" s="2"/>
      <c r="JXK65" s="2"/>
      <c r="JXL65" s="2"/>
      <c r="JXM65" s="2"/>
      <c r="JXN65" s="2"/>
      <c r="JXO65" s="2"/>
      <c r="JXP65" s="2"/>
      <c r="JXQ65" s="2"/>
      <c r="JXR65" s="2"/>
      <c r="JXS65" s="2"/>
      <c r="JXT65" s="2"/>
      <c r="JXU65" s="2"/>
      <c r="JXV65" s="2"/>
      <c r="JXW65" s="2"/>
      <c r="JXX65" s="2"/>
      <c r="JXY65" s="2"/>
      <c r="JXZ65" s="2"/>
      <c r="JYA65" s="2"/>
      <c r="JYB65" s="2"/>
      <c r="JYC65" s="2"/>
      <c r="JYD65" s="2"/>
      <c r="JYE65" s="2"/>
      <c r="JYF65" s="2"/>
      <c r="JYG65" s="2"/>
      <c r="JYH65" s="2"/>
      <c r="JYI65" s="2"/>
      <c r="JYJ65" s="2"/>
      <c r="JYK65" s="2"/>
      <c r="JYL65" s="2"/>
      <c r="JYM65" s="2"/>
      <c r="JYN65" s="2"/>
      <c r="JYO65" s="2"/>
      <c r="JYP65" s="2"/>
      <c r="JYQ65" s="2"/>
      <c r="JYR65" s="2"/>
      <c r="JYS65" s="2"/>
      <c r="JYT65" s="2"/>
      <c r="JYU65" s="2"/>
      <c r="JYV65" s="2"/>
      <c r="JYW65" s="2"/>
      <c r="JYX65" s="2"/>
      <c r="JYY65" s="2"/>
      <c r="JYZ65" s="2"/>
      <c r="JZA65" s="2"/>
      <c r="JZB65" s="2"/>
      <c r="JZC65" s="2"/>
      <c r="JZD65" s="2"/>
      <c r="JZE65" s="2"/>
      <c r="JZF65" s="2"/>
      <c r="JZG65" s="2"/>
      <c r="JZH65" s="2"/>
      <c r="JZI65" s="2"/>
      <c r="JZJ65" s="2"/>
      <c r="JZK65" s="2"/>
      <c r="JZL65" s="2"/>
      <c r="JZM65" s="2"/>
      <c r="JZN65" s="2"/>
      <c r="JZO65" s="2"/>
      <c r="JZP65" s="2"/>
      <c r="JZQ65" s="2"/>
      <c r="JZR65" s="2"/>
      <c r="JZS65" s="2"/>
      <c r="JZT65" s="2"/>
      <c r="JZU65" s="2"/>
      <c r="JZV65" s="2"/>
      <c r="JZW65" s="2"/>
      <c r="JZX65" s="2"/>
      <c r="JZY65" s="2"/>
      <c r="JZZ65" s="2"/>
      <c r="KAA65" s="2"/>
      <c r="KAB65" s="2"/>
      <c r="KAC65" s="2"/>
      <c r="KAD65" s="2"/>
      <c r="KAE65" s="2"/>
      <c r="KAF65" s="2"/>
      <c r="KAG65" s="2"/>
      <c r="KAH65" s="2"/>
      <c r="KAI65" s="2"/>
      <c r="KAJ65" s="2"/>
      <c r="KAK65" s="2"/>
      <c r="KAL65" s="2"/>
      <c r="KAM65" s="2"/>
      <c r="KAN65" s="2"/>
      <c r="KAO65" s="2"/>
      <c r="KAP65" s="2"/>
      <c r="KAQ65" s="2"/>
      <c r="KAR65" s="2"/>
      <c r="KAS65" s="2"/>
      <c r="KAT65" s="2"/>
      <c r="KAU65" s="2"/>
      <c r="KAV65" s="2"/>
      <c r="KAW65" s="2"/>
      <c r="KAX65" s="2"/>
      <c r="KAY65" s="2"/>
      <c r="KAZ65" s="2"/>
      <c r="KBA65" s="2"/>
      <c r="KBB65" s="2"/>
      <c r="KBC65" s="2"/>
      <c r="KBD65" s="2"/>
      <c r="KBE65" s="2"/>
      <c r="KBF65" s="2"/>
      <c r="KBG65" s="2"/>
      <c r="KBH65" s="2"/>
      <c r="KBI65" s="2"/>
      <c r="KBJ65" s="2"/>
      <c r="KBK65" s="2"/>
      <c r="KBL65" s="2"/>
      <c r="KBM65" s="2"/>
      <c r="KBN65" s="2"/>
      <c r="KBO65" s="2"/>
      <c r="KBP65" s="2"/>
      <c r="KBQ65" s="2"/>
      <c r="KBR65" s="2"/>
      <c r="KBS65" s="2"/>
      <c r="KBT65" s="2"/>
      <c r="KBU65" s="2"/>
      <c r="KBV65" s="2"/>
      <c r="KBW65" s="2"/>
      <c r="KBX65" s="2"/>
      <c r="KBY65" s="2"/>
      <c r="KBZ65" s="2"/>
      <c r="KCA65" s="2"/>
      <c r="KCB65" s="2"/>
      <c r="KCC65" s="2"/>
      <c r="KCD65" s="2"/>
      <c r="KCE65" s="2"/>
      <c r="KCF65" s="2"/>
      <c r="KCG65" s="2"/>
      <c r="KCH65" s="2"/>
      <c r="KCI65" s="2"/>
      <c r="KCJ65" s="2"/>
      <c r="KCK65" s="2"/>
      <c r="KCL65" s="2"/>
      <c r="KCM65" s="2"/>
      <c r="KCN65" s="2"/>
      <c r="KCO65" s="2"/>
      <c r="KCP65" s="2"/>
      <c r="KCQ65" s="2"/>
      <c r="KCR65" s="2"/>
      <c r="KCS65" s="2"/>
      <c r="KCT65" s="2"/>
      <c r="KCU65" s="2"/>
      <c r="KCV65" s="2"/>
      <c r="KCW65" s="2"/>
      <c r="KCX65" s="2"/>
      <c r="KCY65" s="2"/>
      <c r="KCZ65" s="2"/>
      <c r="KDA65" s="2"/>
      <c r="KDB65" s="2"/>
      <c r="KDC65" s="2"/>
      <c r="KDD65" s="2"/>
      <c r="KDE65" s="2"/>
      <c r="KDF65" s="2"/>
      <c r="KDG65" s="2"/>
      <c r="KDH65" s="2"/>
      <c r="KDI65" s="2"/>
      <c r="KDJ65" s="2"/>
      <c r="KDK65" s="2"/>
      <c r="KDL65" s="2"/>
      <c r="KDM65" s="2"/>
      <c r="KDN65" s="2"/>
      <c r="KDO65" s="2"/>
      <c r="KDP65" s="2"/>
      <c r="KDQ65" s="2"/>
      <c r="KDR65" s="2"/>
      <c r="KDS65" s="2"/>
      <c r="KDT65" s="2"/>
      <c r="KDU65" s="2"/>
      <c r="KDV65" s="2"/>
      <c r="KDW65" s="2"/>
      <c r="KDX65" s="2"/>
      <c r="KDY65" s="2"/>
      <c r="KDZ65" s="2"/>
      <c r="KEA65" s="2"/>
      <c r="KEB65" s="2"/>
      <c r="KEC65" s="2"/>
      <c r="KED65" s="2"/>
      <c r="KEE65" s="2"/>
      <c r="KEF65" s="2"/>
      <c r="KEG65" s="2"/>
      <c r="KEH65" s="2"/>
      <c r="KEI65" s="2"/>
      <c r="KEJ65" s="2"/>
      <c r="KEK65" s="2"/>
      <c r="KEL65" s="2"/>
      <c r="KEM65" s="2"/>
      <c r="KEN65" s="2"/>
      <c r="KEO65" s="2"/>
      <c r="KEP65" s="2"/>
      <c r="KEQ65" s="2"/>
      <c r="KER65" s="2"/>
      <c r="KES65" s="2"/>
      <c r="KET65" s="2"/>
      <c r="KEU65" s="2"/>
      <c r="KEV65" s="2"/>
      <c r="KEW65" s="2"/>
      <c r="KEX65" s="2"/>
      <c r="KEY65" s="2"/>
      <c r="KEZ65" s="2"/>
      <c r="KFA65" s="2"/>
      <c r="KFB65" s="2"/>
      <c r="KFC65" s="2"/>
      <c r="KFD65" s="2"/>
      <c r="KFE65" s="2"/>
      <c r="KFF65" s="2"/>
      <c r="KFG65" s="2"/>
      <c r="KFH65" s="2"/>
      <c r="KFI65" s="2"/>
      <c r="KFJ65" s="2"/>
      <c r="KFK65" s="2"/>
      <c r="KFL65" s="2"/>
      <c r="KFM65" s="2"/>
      <c r="KFN65" s="2"/>
      <c r="KFO65" s="2"/>
      <c r="KFP65" s="2"/>
      <c r="KFQ65" s="2"/>
      <c r="KFR65" s="2"/>
      <c r="KFS65" s="2"/>
      <c r="KFT65" s="2"/>
      <c r="KFU65" s="2"/>
      <c r="KFV65" s="2"/>
      <c r="KFW65" s="2"/>
      <c r="KFX65" s="2"/>
      <c r="KFY65" s="2"/>
      <c r="KFZ65" s="2"/>
      <c r="KGA65" s="2"/>
      <c r="KGB65" s="2"/>
      <c r="KGC65" s="2"/>
      <c r="KGD65" s="2"/>
      <c r="KGE65" s="2"/>
      <c r="KGF65" s="2"/>
      <c r="KGG65" s="2"/>
      <c r="KGH65" s="2"/>
      <c r="KGI65" s="2"/>
      <c r="KGJ65" s="2"/>
      <c r="KGK65" s="2"/>
      <c r="KGL65" s="2"/>
      <c r="KGM65" s="2"/>
      <c r="KGN65" s="2"/>
      <c r="KGO65" s="2"/>
      <c r="KGP65" s="2"/>
      <c r="KGQ65" s="2"/>
      <c r="KGR65" s="2"/>
      <c r="KGS65" s="2"/>
      <c r="KGT65" s="2"/>
      <c r="KGU65" s="2"/>
      <c r="KGV65" s="2"/>
      <c r="KGW65" s="2"/>
      <c r="KGX65" s="2"/>
      <c r="KGY65" s="2"/>
      <c r="KGZ65" s="2"/>
      <c r="KHA65" s="2"/>
      <c r="KHB65" s="2"/>
      <c r="KHC65" s="2"/>
      <c r="KHD65" s="2"/>
      <c r="KHE65" s="2"/>
      <c r="KHF65" s="2"/>
      <c r="KHG65" s="2"/>
      <c r="KHH65" s="2"/>
      <c r="KHI65" s="2"/>
      <c r="KHJ65" s="2"/>
      <c r="KHK65" s="2"/>
      <c r="KHL65" s="2"/>
      <c r="KHM65" s="2"/>
      <c r="KHN65" s="2"/>
      <c r="KHO65" s="2"/>
      <c r="KHP65" s="2"/>
      <c r="KHQ65" s="2"/>
      <c r="KHR65" s="2"/>
      <c r="KHS65" s="2"/>
      <c r="KHT65" s="2"/>
      <c r="KHU65" s="2"/>
      <c r="KHV65" s="2"/>
      <c r="KHW65" s="2"/>
      <c r="KHX65" s="2"/>
      <c r="KHY65" s="2"/>
      <c r="KHZ65" s="2"/>
      <c r="KIA65" s="2"/>
      <c r="KIB65" s="2"/>
      <c r="KIC65" s="2"/>
      <c r="KID65" s="2"/>
      <c r="KIE65" s="2"/>
      <c r="KIF65" s="2"/>
      <c r="KIG65" s="2"/>
      <c r="KIH65" s="2"/>
      <c r="KII65" s="2"/>
      <c r="KIJ65" s="2"/>
      <c r="KIK65" s="2"/>
      <c r="KIL65" s="2"/>
      <c r="KIM65" s="2"/>
      <c r="KIN65" s="2"/>
      <c r="KIO65" s="2"/>
      <c r="KIP65" s="2"/>
      <c r="KIQ65" s="2"/>
      <c r="KIR65" s="2"/>
      <c r="KIS65" s="2"/>
      <c r="KIT65" s="2"/>
      <c r="KIU65" s="2"/>
      <c r="KIV65" s="2"/>
      <c r="KIW65" s="2"/>
      <c r="KIX65" s="2"/>
      <c r="KIY65" s="2"/>
      <c r="KIZ65" s="2"/>
      <c r="KJA65" s="2"/>
      <c r="KJB65" s="2"/>
      <c r="KJC65" s="2"/>
      <c r="KJD65" s="2"/>
      <c r="KJE65" s="2"/>
      <c r="KJF65" s="2"/>
      <c r="KJG65" s="2"/>
      <c r="KJH65" s="2"/>
      <c r="KJI65" s="2"/>
      <c r="KJJ65" s="2"/>
      <c r="KJK65" s="2"/>
      <c r="KJL65" s="2"/>
      <c r="KJM65" s="2"/>
      <c r="KJN65" s="2"/>
      <c r="KJO65" s="2"/>
      <c r="KJP65" s="2"/>
      <c r="KJQ65" s="2"/>
      <c r="KJR65" s="2"/>
      <c r="KJS65" s="2"/>
      <c r="KJT65" s="2"/>
      <c r="KJU65" s="2"/>
      <c r="KJV65" s="2"/>
      <c r="KJW65" s="2"/>
      <c r="KJX65" s="2"/>
      <c r="KJY65" s="2"/>
      <c r="KJZ65" s="2"/>
      <c r="KKA65" s="2"/>
      <c r="KKB65" s="2"/>
      <c r="KKC65" s="2"/>
      <c r="KKD65" s="2"/>
      <c r="KKE65" s="2"/>
      <c r="KKF65" s="2"/>
      <c r="KKG65" s="2"/>
      <c r="KKH65" s="2"/>
      <c r="KKI65" s="2"/>
      <c r="KKJ65" s="2"/>
      <c r="KKK65" s="2"/>
      <c r="KKL65" s="2"/>
      <c r="KKM65" s="2"/>
      <c r="KKN65" s="2"/>
      <c r="KKO65" s="2"/>
      <c r="KKP65" s="2"/>
      <c r="KKQ65" s="2"/>
      <c r="KKR65" s="2"/>
      <c r="KKS65" s="2"/>
      <c r="KKT65" s="2"/>
      <c r="KKU65" s="2"/>
      <c r="KKV65" s="2"/>
      <c r="KKW65" s="2"/>
      <c r="KKX65" s="2"/>
      <c r="KKY65" s="2"/>
      <c r="KKZ65" s="2"/>
      <c r="KLA65" s="2"/>
      <c r="KLB65" s="2"/>
      <c r="KLC65" s="2"/>
      <c r="KLD65" s="2"/>
      <c r="KLE65" s="2"/>
      <c r="KLF65" s="2"/>
      <c r="KLG65" s="2"/>
      <c r="KLH65" s="2"/>
      <c r="KLI65" s="2"/>
      <c r="KLJ65" s="2"/>
      <c r="KLK65" s="2"/>
      <c r="KLL65" s="2"/>
      <c r="KLM65" s="2"/>
      <c r="KLN65" s="2"/>
      <c r="KLO65" s="2"/>
      <c r="KLP65" s="2"/>
      <c r="KLQ65" s="2"/>
      <c r="KLR65" s="2"/>
      <c r="KLS65" s="2"/>
      <c r="KLT65" s="2"/>
      <c r="KLU65" s="2"/>
      <c r="KLV65" s="2"/>
      <c r="KLW65" s="2"/>
      <c r="KLX65" s="2"/>
      <c r="KLY65" s="2"/>
      <c r="KLZ65" s="2"/>
      <c r="KMA65" s="2"/>
      <c r="KMB65" s="2"/>
      <c r="KMC65" s="2"/>
      <c r="KMD65" s="2"/>
      <c r="KME65" s="2"/>
      <c r="KMF65" s="2"/>
      <c r="KMG65" s="2"/>
      <c r="KMH65" s="2"/>
      <c r="KMI65" s="2"/>
      <c r="KMJ65" s="2"/>
      <c r="KMK65" s="2"/>
      <c r="KML65" s="2"/>
      <c r="KMM65" s="2"/>
      <c r="KMN65" s="2"/>
      <c r="KMO65" s="2"/>
      <c r="KMP65" s="2"/>
      <c r="KMQ65" s="2"/>
      <c r="KMR65" s="2"/>
      <c r="KMS65" s="2"/>
      <c r="KMT65" s="2"/>
      <c r="KMU65" s="2"/>
      <c r="KMV65" s="2"/>
      <c r="KMW65" s="2"/>
      <c r="KMX65" s="2"/>
      <c r="KMY65" s="2"/>
      <c r="KMZ65" s="2"/>
      <c r="KNA65" s="2"/>
      <c r="KNB65" s="2"/>
      <c r="KNC65" s="2"/>
      <c r="KND65" s="2"/>
      <c r="KNE65" s="2"/>
      <c r="KNF65" s="2"/>
      <c r="KNG65" s="2"/>
      <c r="KNH65" s="2"/>
      <c r="KNI65" s="2"/>
      <c r="KNJ65" s="2"/>
      <c r="KNK65" s="2"/>
      <c r="KNL65" s="2"/>
      <c r="KNM65" s="2"/>
      <c r="KNN65" s="2"/>
      <c r="KNO65" s="2"/>
      <c r="KNP65" s="2"/>
      <c r="KNQ65" s="2"/>
      <c r="KNR65" s="2"/>
      <c r="KNS65" s="2"/>
      <c r="KNT65" s="2"/>
      <c r="KNU65" s="2"/>
      <c r="KNV65" s="2"/>
      <c r="KNW65" s="2"/>
      <c r="KNX65" s="2"/>
      <c r="KNY65" s="2"/>
      <c r="KNZ65" s="2"/>
      <c r="KOA65" s="2"/>
      <c r="KOB65" s="2"/>
      <c r="KOC65" s="2"/>
      <c r="KOD65" s="2"/>
      <c r="KOE65" s="2"/>
      <c r="KOF65" s="2"/>
      <c r="KOG65" s="2"/>
      <c r="KOH65" s="2"/>
      <c r="KOI65" s="2"/>
      <c r="KOJ65" s="2"/>
      <c r="KOK65" s="2"/>
      <c r="KOL65" s="2"/>
      <c r="KOM65" s="2"/>
      <c r="KON65" s="2"/>
      <c r="KOO65" s="2"/>
      <c r="KOP65" s="2"/>
      <c r="KOQ65" s="2"/>
      <c r="KOR65" s="2"/>
      <c r="KOS65" s="2"/>
      <c r="KOT65" s="2"/>
      <c r="KOU65" s="2"/>
      <c r="KOV65" s="2"/>
      <c r="KOW65" s="2"/>
      <c r="KOX65" s="2"/>
      <c r="KOY65" s="2"/>
      <c r="KOZ65" s="2"/>
      <c r="KPA65" s="2"/>
      <c r="KPB65" s="2"/>
      <c r="KPC65" s="2"/>
      <c r="KPD65" s="2"/>
      <c r="KPE65" s="2"/>
      <c r="KPF65" s="2"/>
      <c r="KPG65" s="2"/>
      <c r="KPH65" s="2"/>
      <c r="KPI65" s="2"/>
      <c r="KPJ65" s="2"/>
      <c r="KPK65" s="2"/>
      <c r="KPL65" s="2"/>
      <c r="KPM65" s="2"/>
      <c r="KPN65" s="2"/>
      <c r="KPO65" s="2"/>
      <c r="KPP65" s="2"/>
      <c r="KPQ65" s="2"/>
      <c r="KPR65" s="2"/>
      <c r="KPS65" s="2"/>
      <c r="KPT65" s="2"/>
      <c r="KPU65" s="2"/>
      <c r="KPV65" s="2"/>
      <c r="KPW65" s="2"/>
      <c r="KPX65" s="2"/>
      <c r="KPY65" s="2"/>
      <c r="KPZ65" s="2"/>
      <c r="KQA65" s="2"/>
      <c r="KQB65" s="2"/>
      <c r="KQC65" s="2"/>
      <c r="KQD65" s="2"/>
      <c r="KQE65" s="2"/>
      <c r="KQF65" s="2"/>
      <c r="KQG65" s="2"/>
      <c r="KQH65" s="2"/>
      <c r="KQI65" s="2"/>
      <c r="KQJ65" s="2"/>
      <c r="KQK65" s="2"/>
      <c r="KQL65" s="2"/>
      <c r="KQM65" s="2"/>
      <c r="KQN65" s="2"/>
      <c r="KQO65" s="2"/>
      <c r="KQP65" s="2"/>
      <c r="KQQ65" s="2"/>
      <c r="KQR65" s="2"/>
      <c r="KQS65" s="2"/>
      <c r="KQT65" s="2"/>
      <c r="KQU65" s="2"/>
      <c r="KQV65" s="2"/>
      <c r="KQW65" s="2"/>
      <c r="KQX65" s="2"/>
      <c r="KQY65" s="2"/>
      <c r="KQZ65" s="2"/>
      <c r="KRA65" s="2"/>
      <c r="KRB65" s="2"/>
      <c r="KRC65" s="2"/>
      <c r="KRD65" s="2"/>
      <c r="KRE65" s="2"/>
      <c r="KRF65" s="2"/>
      <c r="KRG65" s="2"/>
      <c r="KRH65" s="2"/>
      <c r="KRI65" s="2"/>
      <c r="KRJ65" s="2"/>
      <c r="KRK65" s="2"/>
      <c r="KRL65" s="2"/>
      <c r="KRM65" s="2"/>
      <c r="KRN65" s="2"/>
      <c r="KRO65" s="2"/>
      <c r="KRP65" s="2"/>
      <c r="KRQ65" s="2"/>
      <c r="KRR65" s="2"/>
      <c r="KRS65" s="2"/>
      <c r="KRT65" s="2"/>
      <c r="KRU65" s="2"/>
      <c r="KRV65" s="2"/>
      <c r="KRW65" s="2"/>
      <c r="KRX65" s="2"/>
      <c r="KRY65" s="2"/>
      <c r="KRZ65" s="2"/>
      <c r="KSA65" s="2"/>
      <c r="KSB65" s="2"/>
      <c r="KSC65" s="2"/>
      <c r="KSD65" s="2"/>
      <c r="KSE65" s="2"/>
      <c r="KSF65" s="2"/>
      <c r="KSG65" s="2"/>
      <c r="KSH65" s="2"/>
      <c r="KSI65" s="2"/>
      <c r="KSJ65" s="2"/>
      <c r="KSK65" s="2"/>
      <c r="KSL65" s="2"/>
      <c r="KSM65" s="2"/>
      <c r="KSN65" s="2"/>
      <c r="KSO65" s="2"/>
      <c r="KSP65" s="2"/>
      <c r="KSQ65" s="2"/>
      <c r="KSR65" s="2"/>
      <c r="KSS65" s="2"/>
      <c r="KST65" s="2"/>
      <c r="KSU65" s="2"/>
      <c r="KSV65" s="2"/>
      <c r="KSW65" s="2"/>
      <c r="KSX65" s="2"/>
      <c r="KSY65" s="2"/>
      <c r="KSZ65" s="2"/>
      <c r="KTA65" s="2"/>
      <c r="KTB65" s="2"/>
      <c r="KTC65" s="2"/>
      <c r="KTD65" s="2"/>
      <c r="KTE65" s="2"/>
      <c r="KTF65" s="2"/>
      <c r="KTG65" s="2"/>
      <c r="KTH65" s="2"/>
      <c r="KTI65" s="2"/>
      <c r="KTJ65" s="2"/>
      <c r="KTK65" s="2"/>
      <c r="KTL65" s="2"/>
      <c r="KTM65" s="2"/>
      <c r="KTN65" s="2"/>
      <c r="KTO65" s="2"/>
      <c r="KTP65" s="2"/>
      <c r="KTQ65" s="2"/>
      <c r="KTR65" s="2"/>
      <c r="KTS65" s="2"/>
      <c r="KTT65" s="2"/>
      <c r="KTU65" s="2"/>
      <c r="KTV65" s="2"/>
      <c r="KTW65" s="2"/>
      <c r="KTX65" s="2"/>
      <c r="KTY65" s="2"/>
      <c r="KTZ65" s="2"/>
      <c r="KUA65" s="2"/>
      <c r="KUB65" s="2"/>
      <c r="KUC65" s="2"/>
      <c r="KUD65" s="2"/>
      <c r="KUE65" s="2"/>
      <c r="KUF65" s="2"/>
      <c r="KUG65" s="2"/>
      <c r="KUH65" s="2"/>
      <c r="KUI65" s="2"/>
      <c r="KUJ65" s="2"/>
      <c r="KUK65" s="2"/>
      <c r="KUL65" s="2"/>
      <c r="KUM65" s="2"/>
      <c r="KUN65" s="2"/>
      <c r="KUO65" s="2"/>
      <c r="KUP65" s="2"/>
      <c r="KUQ65" s="2"/>
      <c r="KUR65" s="2"/>
      <c r="KUS65" s="2"/>
      <c r="KUT65" s="2"/>
      <c r="KUU65" s="2"/>
      <c r="KUV65" s="2"/>
      <c r="KUW65" s="2"/>
      <c r="KUX65" s="2"/>
      <c r="KUY65" s="2"/>
      <c r="KUZ65" s="2"/>
      <c r="KVA65" s="2"/>
      <c r="KVB65" s="2"/>
      <c r="KVC65" s="2"/>
      <c r="KVD65" s="2"/>
      <c r="KVE65" s="2"/>
      <c r="KVF65" s="2"/>
      <c r="KVG65" s="2"/>
      <c r="KVH65" s="2"/>
      <c r="KVI65" s="2"/>
      <c r="KVJ65" s="2"/>
      <c r="KVK65" s="2"/>
      <c r="KVL65" s="2"/>
      <c r="KVM65" s="2"/>
      <c r="KVN65" s="2"/>
      <c r="KVO65" s="2"/>
      <c r="KVP65" s="2"/>
      <c r="KVQ65" s="2"/>
      <c r="KVR65" s="2"/>
      <c r="KVS65" s="2"/>
      <c r="KVT65" s="2"/>
      <c r="KVU65" s="2"/>
      <c r="KVV65" s="2"/>
      <c r="KVW65" s="2"/>
      <c r="KVX65" s="2"/>
      <c r="KVY65" s="2"/>
      <c r="KVZ65" s="2"/>
      <c r="KWA65" s="2"/>
      <c r="KWB65" s="2"/>
      <c r="KWC65" s="2"/>
      <c r="KWD65" s="2"/>
      <c r="KWE65" s="2"/>
      <c r="KWF65" s="2"/>
      <c r="KWG65" s="2"/>
      <c r="KWH65" s="2"/>
      <c r="KWI65" s="2"/>
      <c r="KWJ65" s="2"/>
      <c r="KWK65" s="2"/>
      <c r="KWL65" s="2"/>
      <c r="KWM65" s="2"/>
      <c r="KWN65" s="2"/>
      <c r="KWO65" s="2"/>
      <c r="KWP65" s="2"/>
      <c r="KWQ65" s="2"/>
      <c r="KWR65" s="2"/>
      <c r="KWS65" s="2"/>
      <c r="KWT65" s="2"/>
      <c r="KWU65" s="2"/>
      <c r="KWV65" s="2"/>
      <c r="KWW65" s="2"/>
      <c r="KWX65" s="2"/>
      <c r="KWY65" s="2"/>
      <c r="KWZ65" s="2"/>
      <c r="KXA65" s="2"/>
      <c r="KXB65" s="2"/>
      <c r="KXC65" s="2"/>
      <c r="KXD65" s="2"/>
      <c r="KXE65" s="2"/>
      <c r="KXF65" s="2"/>
      <c r="KXG65" s="2"/>
      <c r="KXH65" s="2"/>
      <c r="KXI65" s="2"/>
      <c r="KXJ65" s="2"/>
      <c r="KXK65" s="2"/>
      <c r="KXL65" s="2"/>
      <c r="KXM65" s="2"/>
      <c r="KXN65" s="2"/>
      <c r="KXO65" s="2"/>
      <c r="KXP65" s="2"/>
      <c r="KXQ65" s="2"/>
      <c r="KXR65" s="2"/>
      <c r="KXS65" s="2"/>
      <c r="KXT65" s="2"/>
      <c r="KXU65" s="2"/>
      <c r="KXV65" s="2"/>
      <c r="KXW65" s="2"/>
      <c r="KXX65" s="2"/>
      <c r="KXY65" s="2"/>
      <c r="KXZ65" s="2"/>
      <c r="KYA65" s="2"/>
      <c r="KYB65" s="2"/>
      <c r="KYC65" s="2"/>
      <c r="KYD65" s="2"/>
      <c r="KYE65" s="2"/>
      <c r="KYF65" s="2"/>
      <c r="KYG65" s="2"/>
      <c r="KYH65" s="2"/>
      <c r="KYI65" s="2"/>
      <c r="KYJ65" s="2"/>
      <c r="KYK65" s="2"/>
      <c r="KYL65" s="2"/>
      <c r="KYM65" s="2"/>
      <c r="KYN65" s="2"/>
      <c r="KYO65" s="2"/>
      <c r="KYP65" s="2"/>
      <c r="KYQ65" s="2"/>
      <c r="KYR65" s="2"/>
      <c r="KYS65" s="2"/>
      <c r="KYT65" s="2"/>
      <c r="KYU65" s="2"/>
      <c r="KYV65" s="2"/>
      <c r="KYW65" s="2"/>
      <c r="KYX65" s="2"/>
      <c r="KYY65" s="2"/>
      <c r="KYZ65" s="2"/>
      <c r="KZA65" s="2"/>
      <c r="KZB65" s="2"/>
      <c r="KZC65" s="2"/>
      <c r="KZD65" s="2"/>
      <c r="KZE65" s="2"/>
      <c r="KZF65" s="2"/>
      <c r="KZG65" s="2"/>
      <c r="KZH65" s="2"/>
      <c r="KZI65" s="2"/>
      <c r="KZJ65" s="2"/>
      <c r="KZK65" s="2"/>
      <c r="KZL65" s="2"/>
      <c r="KZM65" s="2"/>
      <c r="KZN65" s="2"/>
      <c r="KZO65" s="2"/>
      <c r="KZP65" s="2"/>
      <c r="KZQ65" s="2"/>
      <c r="KZR65" s="2"/>
      <c r="KZS65" s="2"/>
      <c r="KZT65" s="2"/>
      <c r="KZU65" s="2"/>
      <c r="KZV65" s="2"/>
      <c r="KZW65" s="2"/>
      <c r="KZX65" s="2"/>
      <c r="KZY65" s="2"/>
      <c r="KZZ65" s="2"/>
      <c r="LAA65" s="2"/>
      <c r="LAB65" s="2"/>
      <c r="LAC65" s="2"/>
      <c r="LAD65" s="2"/>
      <c r="LAE65" s="2"/>
      <c r="LAF65" s="2"/>
      <c r="LAG65" s="2"/>
      <c r="LAH65" s="2"/>
      <c r="LAI65" s="2"/>
      <c r="LAJ65" s="2"/>
      <c r="LAK65" s="2"/>
      <c r="LAL65" s="2"/>
      <c r="LAM65" s="2"/>
      <c r="LAN65" s="2"/>
      <c r="LAO65" s="2"/>
      <c r="LAP65" s="2"/>
      <c r="LAQ65" s="2"/>
      <c r="LAR65" s="2"/>
      <c r="LAS65" s="2"/>
      <c r="LAT65" s="2"/>
      <c r="LAU65" s="2"/>
      <c r="LAV65" s="2"/>
      <c r="LAW65" s="2"/>
      <c r="LAX65" s="2"/>
      <c r="LAY65" s="2"/>
      <c r="LAZ65" s="2"/>
      <c r="LBA65" s="2"/>
      <c r="LBB65" s="2"/>
      <c r="LBC65" s="2"/>
      <c r="LBD65" s="2"/>
      <c r="LBE65" s="2"/>
      <c r="LBF65" s="2"/>
      <c r="LBG65" s="2"/>
      <c r="LBH65" s="2"/>
      <c r="LBI65" s="2"/>
      <c r="LBJ65" s="2"/>
      <c r="LBK65" s="2"/>
      <c r="LBL65" s="2"/>
      <c r="LBM65" s="2"/>
      <c r="LBN65" s="2"/>
      <c r="LBO65" s="2"/>
      <c r="LBP65" s="2"/>
      <c r="LBQ65" s="2"/>
      <c r="LBR65" s="2"/>
      <c r="LBS65" s="2"/>
      <c r="LBT65" s="2"/>
      <c r="LBU65" s="2"/>
      <c r="LBV65" s="2"/>
      <c r="LBW65" s="2"/>
      <c r="LBX65" s="2"/>
      <c r="LBY65" s="2"/>
      <c r="LBZ65" s="2"/>
      <c r="LCA65" s="2"/>
      <c r="LCB65" s="2"/>
      <c r="LCC65" s="2"/>
      <c r="LCD65" s="2"/>
      <c r="LCE65" s="2"/>
      <c r="LCF65" s="2"/>
      <c r="LCG65" s="2"/>
      <c r="LCH65" s="2"/>
      <c r="LCI65" s="2"/>
      <c r="LCJ65" s="2"/>
      <c r="LCK65" s="2"/>
      <c r="LCL65" s="2"/>
      <c r="LCM65" s="2"/>
      <c r="LCN65" s="2"/>
      <c r="LCO65" s="2"/>
      <c r="LCP65" s="2"/>
      <c r="LCQ65" s="2"/>
      <c r="LCR65" s="2"/>
      <c r="LCS65" s="2"/>
      <c r="LCT65" s="2"/>
      <c r="LCU65" s="2"/>
      <c r="LCV65" s="2"/>
      <c r="LCW65" s="2"/>
      <c r="LCX65" s="2"/>
      <c r="LCY65" s="2"/>
      <c r="LCZ65" s="2"/>
      <c r="LDA65" s="2"/>
      <c r="LDB65" s="2"/>
      <c r="LDC65" s="2"/>
      <c r="LDD65" s="2"/>
      <c r="LDE65" s="2"/>
      <c r="LDF65" s="2"/>
      <c r="LDG65" s="2"/>
      <c r="LDH65" s="2"/>
      <c r="LDI65" s="2"/>
      <c r="LDJ65" s="2"/>
      <c r="LDK65" s="2"/>
      <c r="LDL65" s="2"/>
      <c r="LDM65" s="2"/>
      <c r="LDN65" s="2"/>
      <c r="LDO65" s="2"/>
      <c r="LDP65" s="2"/>
      <c r="LDQ65" s="2"/>
      <c r="LDR65" s="2"/>
      <c r="LDS65" s="2"/>
      <c r="LDT65" s="2"/>
      <c r="LDU65" s="2"/>
      <c r="LDV65" s="2"/>
      <c r="LDW65" s="2"/>
      <c r="LDX65" s="2"/>
      <c r="LDY65" s="2"/>
      <c r="LDZ65" s="2"/>
      <c r="LEA65" s="2"/>
      <c r="LEB65" s="2"/>
      <c r="LEC65" s="2"/>
      <c r="LED65" s="2"/>
      <c r="LEE65" s="2"/>
      <c r="LEF65" s="2"/>
      <c r="LEG65" s="2"/>
      <c r="LEH65" s="2"/>
      <c r="LEI65" s="2"/>
      <c r="LEJ65" s="2"/>
      <c r="LEK65" s="2"/>
      <c r="LEL65" s="2"/>
      <c r="LEM65" s="2"/>
      <c r="LEN65" s="2"/>
      <c r="LEO65" s="2"/>
      <c r="LEP65" s="2"/>
      <c r="LEQ65" s="2"/>
      <c r="LER65" s="2"/>
      <c r="LES65" s="2"/>
      <c r="LET65" s="2"/>
      <c r="LEU65" s="2"/>
      <c r="LEV65" s="2"/>
      <c r="LEW65" s="2"/>
      <c r="LEX65" s="2"/>
      <c r="LEY65" s="2"/>
      <c r="LEZ65" s="2"/>
      <c r="LFA65" s="2"/>
      <c r="LFB65" s="2"/>
      <c r="LFC65" s="2"/>
      <c r="LFD65" s="2"/>
      <c r="LFE65" s="2"/>
      <c r="LFF65" s="2"/>
      <c r="LFG65" s="2"/>
      <c r="LFH65" s="2"/>
      <c r="LFI65" s="2"/>
      <c r="LFJ65" s="2"/>
      <c r="LFK65" s="2"/>
      <c r="LFL65" s="2"/>
      <c r="LFM65" s="2"/>
      <c r="LFN65" s="2"/>
      <c r="LFO65" s="2"/>
      <c r="LFP65" s="2"/>
      <c r="LFQ65" s="2"/>
      <c r="LFR65" s="2"/>
      <c r="LFS65" s="2"/>
      <c r="LFT65" s="2"/>
      <c r="LFU65" s="2"/>
      <c r="LFV65" s="2"/>
      <c r="LFW65" s="2"/>
      <c r="LFX65" s="2"/>
      <c r="LFY65" s="2"/>
      <c r="LFZ65" s="2"/>
      <c r="LGA65" s="2"/>
      <c r="LGB65" s="2"/>
      <c r="LGC65" s="2"/>
      <c r="LGD65" s="2"/>
      <c r="LGE65" s="2"/>
      <c r="LGF65" s="2"/>
      <c r="LGG65" s="2"/>
      <c r="LGH65" s="2"/>
      <c r="LGI65" s="2"/>
      <c r="LGJ65" s="2"/>
      <c r="LGK65" s="2"/>
      <c r="LGL65" s="2"/>
      <c r="LGM65" s="2"/>
      <c r="LGN65" s="2"/>
      <c r="LGO65" s="2"/>
      <c r="LGP65" s="2"/>
      <c r="LGQ65" s="2"/>
      <c r="LGR65" s="2"/>
      <c r="LGS65" s="2"/>
      <c r="LGT65" s="2"/>
      <c r="LGU65" s="2"/>
      <c r="LGV65" s="2"/>
      <c r="LGW65" s="2"/>
      <c r="LGX65" s="2"/>
      <c r="LGY65" s="2"/>
      <c r="LGZ65" s="2"/>
      <c r="LHA65" s="2"/>
      <c r="LHB65" s="2"/>
      <c r="LHC65" s="2"/>
      <c r="LHD65" s="2"/>
      <c r="LHE65" s="2"/>
      <c r="LHF65" s="2"/>
      <c r="LHG65" s="2"/>
      <c r="LHH65" s="2"/>
      <c r="LHI65" s="2"/>
      <c r="LHJ65" s="2"/>
      <c r="LHK65" s="2"/>
      <c r="LHL65" s="2"/>
      <c r="LHM65" s="2"/>
      <c r="LHN65" s="2"/>
      <c r="LHO65" s="2"/>
      <c r="LHP65" s="2"/>
      <c r="LHQ65" s="2"/>
      <c r="LHR65" s="2"/>
      <c r="LHS65" s="2"/>
      <c r="LHT65" s="2"/>
      <c r="LHU65" s="2"/>
      <c r="LHV65" s="2"/>
      <c r="LHW65" s="2"/>
      <c r="LHX65" s="2"/>
      <c r="LHY65" s="2"/>
      <c r="LHZ65" s="2"/>
      <c r="LIA65" s="2"/>
      <c r="LIB65" s="2"/>
      <c r="LIC65" s="2"/>
      <c r="LID65" s="2"/>
      <c r="LIE65" s="2"/>
      <c r="LIF65" s="2"/>
      <c r="LIG65" s="2"/>
      <c r="LIH65" s="2"/>
      <c r="LII65" s="2"/>
      <c r="LIJ65" s="2"/>
      <c r="LIK65" s="2"/>
      <c r="LIL65" s="2"/>
      <c r="LIM65" s="2"/>
      <c r="LIN65" s="2"/>
      <c r="LIO65" s="2"/>
      <c r="LIP65" s="2"/>
      <c r="LIQ65" s="2"/>
      <c r="LIR65" s="2"/>
      <c r="LIS65" s="2"/>
      <c r="LIT65" s="2"/>
      <c r="LIU65" s="2"/>
      <c r="LIV65" s="2"/>
      <c r="LIW65" s="2"/>
      <c r="LIX65" s="2"/>
      <c r="LIY65" s="2"/>
      <c r="LIZ65" s="2"/>
      <c r="LJA65" s="2"/>
      <c r="LJB65" s="2"/>
      <c r="LJC65" s="2"/>
      <c r="LJD65" s="2"/>
      <c r="LJE65" s="2"/>
      <c r="LJF65" s="2"/>
      <c r="LJG65" s="2"/>
      <c r="LJH65" s="2"/>
      <c r="LJI65" s="2"/>
      <c r="LJJ65" s="2"/>
      <c r="LJK65" s="2"/>
      <c r="LJL65" s="2"/>
      <c r="LJM65" s="2"/>
      <c r="LJN65" s="2"/>
      <c r="LJO65" s="2"/>
      <c r="LJP65" s="2"/>
      <c r="LJQ65" s="2"/>
      <c r="LJR65" s="2"/>
      <c r="LJS65" s="2"/>
      <c r="LJT65" s="2"/>
      <c r="LJU65" s="2"/>
      <c r="LJV65" s="2"/>
      <c r="LJW65" s="2"/>
      <c r="LJX65" s="2"/>
      <c r="LJY65" s="2"/>
      <c r="LJZ65" s="2"/>
      <c r="LKA65" s="2"/>
      <c r="LKB65" s="2"/>
      <c r="LKC65" s="2"/>
      <c r="LKD65" s="2"/>
      <c r="LKE65" s="2"/>
      <c r="LKF65" s="2"/>
      <c r="LKG65" s="2"/>
      <c r="LKH65" s="2"/>
      <c r="LKI65" s="2"/>
      <c r="LKJ65" s="2"/>
      <c r="LKK65" s="2"/>
      <c r="LKL65" s="2"/>
      <c r="LKM65" s="2"/>
      <c r="LKN65" s="2"/>
      <c r="LKO65" s="2"/>
      <c r="LKP65" s="2"/>
      <c r="LKQ65" s="2"/>
      <c r="LKR65" s="2"/>
      <c r="LKS65" s="2"/>
      <c r="LKT65" s="2"/>
      <c r="LKU65" s="2"/>
      <c r="LKV65" s="2"/>
      <c r="LKW65" s="2"/>
      <c r="LKX65" s="2"/>
      <c r="LKY65" s="2"/>
      <c r="LKZ65" s="2"/>
      <c r="LLA65" s="2"/>
      <c r="LLB65" s="2"/>
      <c r="LLC65" s="2"/>
      <c r="LLD65" s="2"/>
      <c r="LLE65" s="2"/>
      <c r="LLF65" s="2"/>
      <c r="LLG65" s="2"/>
      <c r="LLH65" s="2"/>
      <c r="LLI65" s="2"/>
      <c r="LLJ65" s="2"/>
      <c r="LLK65" s="2"/>
      <c r="LLL65" s="2"/>
      <c r="LLM65" s="2"/>
      <c r="LLN65" s="2"/>
      <c r="LLO65" s="2"/>
      <c r="LLP65" s="2"/>
      <c r="LLQ65" s="2"/>
      <c r="LLR65" s="2"/>
      <c r="LLS65" s="2"/>
      <c r="LLT65" s="2"/>
      <c r="LLU65" s="2"/>
      <c r="LLV65" s="2"/>
      <c r="LLW65" s="2"/>
      <c r="LLX65" s="2"/>
      <c r="LLY65" s="2"/>
      <c r="LLZ65" s="2"/>
      <c r="LMA65" s="2"/>
      <c r="LMB65" s="2"/>
      <c r="LMC65" s="2"/>
      <c r="LMD65" s="2"/>
      <c r="LME65" s="2"/>
      <c r="LMF65" s="2"/>
      <c r="LMG65" s="2"/>
      <c r="LMH65" s="2"/>
      <c r="LMI65" s="2"/>
      <c r="LMJ65" s="2"/>
      <c r="LMK65" s="2"/>
      <c r="LML65" s="2"/>
      <c r="LMM65" s="2"/>
      <c r="LMN65" s="2"/>
      <c r="LMO65" s="2"/>
      <c r="LMP65" s="2"/>
      <c r="LMQ65" s="2"/>
      <c r="LMR65" s="2"/>
      <c r="LMS65" s="2"/>
      <c r="LMT65" s="2"/>
      <c r="LMU65" s="2"/>
      <c r="LMV65" s="2"/>
      <c r="LMW65" s="2"/>
      <c r="LMX65" s="2"/>
      <c r="LMY65" s="2"/>
      <c r="LMZ65" s="2"/>
      <c r="LNA65" s="2"/>
      <c r="LNB65" s="2"/>
      <c r="LNC65" s="2"/>
      <c r="LND65" s="2"/>
      <c r="LNE65" s="2"/>
      <c r="LNF65" s="2"/>
      <c r="LNG65" s="2"/>
      <c r="LNH65" s="2"/>
      <c r="LNI65" s="2"/>
      <c r="LNJ65" s="2"/>
      <c r="LNK65" s="2"/>
      <c r="LNL65" s="2"/>
      <c r="LNM65" s="2"/>
      <c r="LNN65" s="2"/>
      <c r="LNO65" s="2"/>
      <c r="LNP65" s="2"/>
      <c r="LNQ65" s="2"/>
      <c r="LNR65" s="2"/>
      <c r="LNS65" s="2"/>
      <c r="LNT65" s="2"/>
      <c r="LNU65" s="2"/>
      <c r="LNV65" s="2"/>
      <c r="LNW65" s="2"/>
      <c r="LNX65" s="2"/>
      <c r="LNY65" s="2"/>
      <c r="LNZ65" s="2"/>
      <c r="LOA65" s="2"/>
      <c r="LOB65" s="2"/>
      <c r="LOC65" s="2"/>
      <c r="LOD65" s="2"/>
      <c r="LOE65" s="2"/>
      <c r="LOF65" s="2"/>
      <c r="LOG65" s="2"/>
      <c r="LOH65" s="2"/>
      <c r="LOI65" s="2"/>
      <c r="LOJ65" s="2"/>
      <c r="LOK65" s="2"/>
      <c r="LOL65" s="2"/>
      <c r="LOM65" s="2"/>
      <c r="LON65" s="2"/>
      <c r="LOO65" s="2"/>
      <c r="LOP65" s="2"/>
      <c r="LOQ65" s="2"/>
      <c r="LOR65" s="2"/>
      <c r="LOS65" s="2"/>
      <c r="LOT65" s="2"/>
      <c r="LOU65" s="2"/>
      <c r="LOV65" s="2"/>
      <c r="LOW65" s="2"/>
      <c r="LOX65" s="2"/>
      <c r="LOY65" s="2"/>
      <c r="LOZ65" s="2"/>
      <c r="LPA65" s="2"/>
      <c r="LPB65" s="2"/>
      <c r="LPC65" s="2"/>
      <c r="LPD65" s="2"/>
      <c r="LPE65" s="2"/>
      <c r="LPF65" s="2"/>
      <c r="LPG65" s="2"/>
      <c r="LPH65" s="2"/>
      <c r="LPI65" s="2"/>
      <c r="LPJ65" s="2"/>
      <c r="LPK65" s="2"/>
      <c r="LPL65" s="2"/>
      <c r="LPM65" s="2"/>
      <c r="LPN65" s="2"/>
      <c r="LPO65" s="2"/>
      <c r="LPP65" s="2"/>
      <c r="LPQ65" s="2"/>
      <c r="LPR65" s="2"/>
      <c r="LPS65" s="2"/>
      <c r="LPT65" s="2"/>
      <c r="LPU65" s="2"/>
      <c r="LPV65" s="2"/>
      <c r="LPW65" s="2"/>
      <c r="LPX65" s="2"/>
      <c r="LPY65" s="2"/>
      <c r="LPZ65" s="2"/>
      <c r="LQA65" s="2"/>
      <c r="LQB65" s="2"/>
      <c r="LQC65" s="2"/>
      <c r="LQD65" s="2"/>
      <c r="LQE65" s="2"/>
      <c r="LQF65" s="2"/>
      <c r="LQG65" s="2"/>
      <c r="LQH65" s="2"/>
      <c r="LQI65" s="2"/>
      <c r="LQJ65" s="2"/>
      <c r="LQK65" s="2"/>
      <c r="LQL65" s="2"/>
      <c r="LQM65" s="2"/>
      <c r="LQN65" s="2"/>
      <c r="LQO65" s="2"/>
      <c r="LQP65" s="2"/>
      <c r="LQQ65" s="2"/>
      <c r="LQR65" s="2"/>
      <c r="LQS65" s="2"/>
      <c r="LQT65" s="2"/>
      <c r="LQU65" s="2"/>
      <c r="LQV65" s="2"/>
      <c r="LQW65" s="2"/>
      <c r="LQX65" s="2"/>
      <c r="LQY65" s="2"/>
      <c r="LQZ65" s="2"/>
      <c r="LRA65" s="2"/>
      <c r="LRB65" s="2"/>
      <c r="LRC65" s="2"/>
      <c r="LRD65" s="2"/>
      <c r="LRE65" s="2"/>
      <c r="LRF65" s="2"/>
      <c r="LRG65" s="2"/>
      <c r="LRH65" s="2"/>
      <c r="LRI65" s="2"/>
      <c r="LRJ65" s="2"/>
      <c r="LRK65" s="2"/>
      <c r="LRL65" s="2"/>
      <c r="LRM65" s="2"/>
      <c r="LRN65" s="2"/>
      <c r="LRO65" s="2"/>
      <c r="LRP65" s="2"/>
      <c r="LRQ65" s="2"/>
      <c r="LRR65" s="2"/>
      <c r="LRS65" s="2"/>
      <c r="LRT65" s="2"/>
      <c r="LRU65" s="2"/>
      <c r="LRV65" s="2"/>
      <c r="LRW65" s="2"/>
      <c r="LRX65" s="2"/>
      <c r="LRY65" s="2"/>
      <c r="LRZ65" s="2"/>
      <c r="LSA65" s="2"/>
      <c r="LSB65" s="2"/>
      <c r="LSC65" s="2"/>
      <c r="LSD65" s="2"/>
      <c r="LSE65" s="2"/>
      <c r="LSF65" s="2"/>
      <c r="LSG65" s="2"/>
      <c r="LSH65" s="2"/>
      <c r="LSI65" s="2"/>
      <c r="LSJ65" s="2"/>
      <c r="LSK65" s="2"/>
      <c r="LSL65" s="2"/>
      <c r="LSM65" s="2"/>
      <c r="LSN65" s="2"/>
      <c r="LSO65" s="2"/>
      <c r="LSP65" s="2"/>
      <c r="LSQ65" s="2"/>
      <c r="LSR65" s="2"/>
      <c r="LSS65" s="2"/>
      <c r="LST65" s="2"/>
      <c r="LSU65" s="2"/>
      <c r="LSV65" s="2"/>
      <c r="LSW65" s="2"/>
      <c r="LSX65" s="2"/>
      <c r="LSY65" s="2"/>
      <c r="LSZ65" s="2"/>
      <c r="LTA65" s="2"/>
      <c r="LTB65" s="2"/>
      <c r="LTC65" s="2"/>
      <c r="LTD65" s="2"/>
      <c r="LTE65" s="2"/>
      <c r="LTF65" s="2"/>
      <c r="LTG65" s="2"/>
      <c r="LTH65" s="2"/>
      <c r="LTI65" s="2"/>
      <c r="LTJ65" s="2"/>
      <c r="LTK65" s="2"/>
      <c r="LTL65" s="2"/>
      <c r="LTM65" s="2"/>
      <c r="LTN65" s="2"/>
      <c r="LTO65" s="2"/>
      <c r="LTP65" s="2"/>
      <c r="LTQ65" s="2"/>
      <c r="LTR65" s="2"/>
      <c r="LTS65" s="2"/>
      <c r="LTT65" s="2"/>
      <c r="LTU65" s="2"/>
      <c r="LTV65" s="2"/>
      <c r="LTW65" s="2"/>
      <c r="LTX65" s="2"/>
      <c r="LTY65" s="2"/>
      <c r="LTZ65" s="2"/>
      <c r="LUA65" s="2"/>
      <c r="LUB65" s="2"/>
      <c r="LUC65" s="2"/>
      <c r="LUD65" s="2"/>
      <c r="LUE65" s="2"/>
      <c r="LUF65" s="2"/>
      <c r="LUG65" s="2"/>
      <c r="LUH65" s="2"/>
      <c r="LUI65" s="2"/>
      <c r="LUJ65" s="2"/>
      <c r="LUK65" s="2"/>
      <c r="LUL65" s="2"/>
      <c r="LUM65" s="2"/>
      <c r="LUN65" s="2"/>
      <c r="LUO65" s="2"/>
      <c r="LUP65" s="2"/>
      <c r="LUQ65" s="2"/>
      <c r="LUR65" s="2"/>
      <c r="LUS65" s="2"/>
      <c r="LUT65" s="2"/>
      <c r="LUU65" s="2"/>
      <c r="LUV65" s="2"/>
      <c r="LUW65" s="2"/>
      <c r="LUX65" s="2"/>
      <c r="LUY65" s="2"/>
      <c r="LUZ65" s="2"/>
      <c r="LVA65" s="2"/>
      <c r="LVB65" s="2"/>
      <c r="LVC65" s="2"/>
      <c r="LVD65" s="2"/>
      <c r="LVE65" s="2"/>
      <c r="LVF65" s="2"/>
      <c r="LVG65" s="2"/>
      <c r="LVH65" s="2"/>
      <c r="LVI65" s="2"/>
      <c r="LVJ65" s="2"/>
      <c r="LVK65" s="2"/>
      <c r="LVL65" s="2"/>
      <c r="LVM65" s="2"/>
      <c r="LVN65" s="2"/>
      <c r="LVO65" s="2"/>
      <c r="LVP65" s="2"/>
      <c r="LVQ65" s="2"/>
      <c r="LVR65" s="2"/>
      <c r="LVS65" s="2"/>
      <c r="LVT65" s="2"/>
      <c r="LVU65" s="2"/>
      <c r="LVV65" s="2"/>
      <c r="LVW65" s="2"/>
      <c r="LVX65" s="2"/>
      <c r="LVY65" s="2"/>
      <c r="LVZ65" s="2"/>
      <c r="LWA65" s="2"/>
      <c r="LWB65" s="2"/>
      <c r="LWC65" s="2"/>
      <c r="LWD65" s="2"/>
      <c r="LWE65" s="2"/>
      <c r="LWF65" s="2"/>
      <c r="LWG65" s="2"/>
      <c r="LWH65" s="2"/>
      <c r="LWI65" s="2"/>
      <c r="LWJ65" s="2"/>
      <c r="LWK65" s="2"/>
      <c r="LWL65" s="2"/>
      <c r="LWM65" s="2"/>
      <c r="LWN65" s="2"/>
      <c r="LWO65" s="2"/>
      <c r="LWP65" s="2"/>
      <c r="LWQ65" s="2"/>
      <c r="LWR65" s="2"/>
      <c r="LWS65" s="2"/>
      <c r="LWT65" s="2"/>
      <c r="LWU65" s="2"/>
      <c r="LWV65" s="2"/>
      <c r="LWW65" s="2"/>
      <c r="LWX65" s="2"/>
      <c r="LWY65" s="2"/>
      <c r="LWZ65" s="2"/>
      <c r="LXA65" s="2"/>
      <c r="LXB65" s="2"/>
      <c r="LXC65" s="2"/>
      <c r="LXD65" s="2"/>
      <c r="LXE65" s="2"/>
      <c r="LXF65" s="2"/>
      <c r="LXG65" s="2"/>
      <c r="LXH65" s="2"/>
      <c r="LXI65" s="2"/>
      <c r="LXJ65" s="2"/>
      <c r="LXK65" s="2"/>
      <c r="LXL65" s="2"/>
      <c r="LXM65" s="2"/>
      <c r="LXN65" s="2"/>
      <c r="LXO65" s="2"/>
      <c r="LXP65" s="2"/>
      <c r="LXQ65" s="2"/>
      <c r="LXR65" s="2"/>
      <c r="LXS65" s="2"/>
      <c r="LXT65" s="2"/>
      <c r="LXU65" s="2"/>
      <c r="LXV65" s="2"/>
      <c r="LXW65" s="2"/>
      <c r="LXX65" s="2"/>
      <c r="LXY65" s="2"/>
      <c r="LXZ65" s="2"/>
      <c r="LYA65" s="2"/>
      <c r="LYB65" s="2"/>
      <c r="LYC65" s="2"/>
      <c r="LYD65" s="2"/>
      <c r="LYE65" s="2"/>
      <c r="LYF65" s="2"/>
      <c r="LYG65" s="2"/>
      <c r="LYH65" s="2"/>
      <c r="LYI65" s="2"/>
      <c r="LYJ65" s="2"/>
      <c r="LYK65" s="2"/>
      <c r="LYL65" s="2"/>
      <c r="LYM65" s="2"/>
      <c r="LYN65" s="2"/>
      <c r="LYO65" s="2"/>
      <c r="LYP65" s="2"/>
      <c r="LYQ65" s="2"/>
      <c r="LYR65" s="2"/>
      <c r="LYS65" s="2"/>
      <c r="LYT65" s="2"/>
      <c r="LYU65" s="2"/>
      <c r="LYV65" s="2"/>
      <c r="LYW65" s="2"/>
      <c r="LYX65" s="2"/>
      <c r="LYY65" s="2"/>
      <c r="LYZ65" s="2"/>
      <c r="LZA65" s="2"/>
      <c r="LZB65" s="2"/>
      <c r="LZC65" s="2"/>
      <c r="LZD65" s="2"/>
      <c r="LZE65" s="2"/>
      <c r="LZF65" s="2"/>
      <c r="LZG65" s="2"/>
      <c r="LZH65" s="2"/>
      <c r="LZI65" s="2"/>
      <c r="LZJ65" s="2"/>
      <c r="LZK65" s="2"/>
      <c r="LZL65" s="2"/>
      <c r="LZM65" s="2"/>
      <c r="LZN65" s="2"/>
      <c r="LZO65" s="2"/>
      <c r="LZP65" s="2"/>
      <c r="LZQ65" s="2"/>
      <c r="LZR65" s="2"/>
      <c r="LZS65" s="2"/>
      <c r="LZT65" s="2"/>
      <c r="LZU65" s="2"/>
      <c r="LZV65" s="2"/>
      <c r="LZW65" s="2"/>
      <c r="LZX65" s="2"/>
      <c r="LZY65" s="2"/>
      <c r="LZZ65" s="2"/>
      <c r="MAA65" s="2"/>
      <c r="MAB65" s="2"/>
      <c r="MAC65" s="2"/>
      <c r="MAD65" s="2"/>
      <c r="MAE65" s="2"/>
      <c r="MAF65" s="2"/>
      <c r="MAG65" s="2"/>
      <c r="MAH65" s="2"/>
      <c r="MAI65" s="2"/>
      <c r="MAJ65" s="2"/>
      <c r="MAK65" s="2"/>
      <c r="MAL65" s="2"/>
      <c r="MAM65" s="2"/>
      <c r="MAN65" s="2"/>
      <c r="MAO65" s="2"/>
      <c r="MAP65" s="2"/>
      <c r="MAQ65" s="2"/>
      <c r="MAR65" s="2"/>
      <c r="MAS65" s="2"/>
      <c r="MAT65" s="2"/>
      <c r="MAU65" s="2"/>
      <c r="MAV65" s="2"/>
      <c r="MAW65" s="2"/>
      <c r="MAX65" s="2"/>
      <c r="MAY65" s="2"/>
      <c r="MAZ65" s="2"/>
      <c r="MBA65" s="2"/>
      <c r="MBB65" s="2"/>
      <c r="MBC65" s="2"/>
      <c r="MBD65" s="2"/>
      <c r="MBE65" s="2"/>
      <c r="MBF65" s="2"/>
      <c r="MBG65" s="2"/>
      <c r="MBH65" s="2"/>
      <c r="MBI65" s="2"/>
      <c r="MBJ65" s="2"/>
      <c r="MBK65" s="2"/>
      <c r="MBL65" s="2"/>
      <c r="MBM65" s="2"/>
      <c r="MBN65" s="2"/>
      <c r="MBO65" s="2"/>
      <c r="MBP65" s="2"/>
      <c r="MBQ65" s="2"/>
      <c r="MBR65" s="2"/>
      <c r="MBS65" s="2"/>
      <c r="MBT65" s="2"/>
      <c r="MBU65" s="2"/>
      <c r="MBV65" s="2"/>
      <c r="MBW65" s="2"/>
      <c r="MBX65" s="2"/>
      <c r="MBY65" s="2"/>
      <c r="MBZ65" s="2"/>
      <c r="MCA65" s="2"/>
      <c r="MCB65" s="2"/>
      <c r="MCC65" s="2"/>
      <c r="MCD65" s="2"/>
      <c r="MCE65" s="2"/>
      <c r="MCF65" s="2"/>
      <c r="MCG65" s="2"/>
      <c r="MCH65" s="2"/>
      <c r="MCI65" s="2"/>
      <c r="MCJ65" s="2"/>
      <c r="MCK65" s="2"/>
      <c r="MCL65" s="2"/>
      <c r="MCM65" s="2"/>
      <c r="MCN65" s="2"/>
      <c r="MCO65" s="2"/>
      <c r="MCP65" s="2"/>
      <c r="MCQ65" s="2"/>
      <c r="MCR65" s="2"/>
      <c r="MCS65" s="2"/>
      <c r="MCT65" s="2"/>
      <c r="MCU65" s="2"/>
      <c r="MCV65" s="2"/>
      <c r="MCW65" s="2"/>
      <c r="MCX65" s="2"/>
      <c r="MCY65" s="2"/>
      <c r="MCZ65" s="2"/>
      <c r="MDA65" s="2"/>
      <c r="MDB65" s="2"/>
      <c r="MDC65" s="2"/>
      <c r="MDD65" s="2"/>
      <c r="MDE65" s="2"/>
      <c r="MDF65" s="2"/>
      <c r="MDG65" s="2"/>
      <c r="MDH65" s="2"/>
      <c r="MDI65" s="2"/>
      <c r="MDJ65" s="2"/>
      <c r="MDK65" s="2"/>
      <c r="MDL65" s="2"/>
      <c r="MDM65" s="2"/>
      <c r="MDN65" s="2"/>
      <c r="MDO65" s="2"/>
      <c r="MDP65" s="2"/>
      <c r="MDQ65" s="2"/>
      <c r="MDR65" s="2"/>
      <c r="MDS65" s="2"/>
      <c r="MDT65" s="2"/>
      <c r="MDU65" s="2"/>
      <c r="MDV65" s="2"/>
      <c r="MDW65" s="2"/>
      <c r="MDX65" s="2"/>
      <c r="MDY65" s="2"/>
      <c r="MDZ65" s="2"/>
      <c r="MEA65" s="2"/>
      <c r="MEB65" s="2"/>
      <c r="MEC65" s="2"/>
      <c r="MED65" s="2"/>
      <c r="MEE65" s="2"/>
      <c r="MEF65" s="2"/>
      <c r="MEG65" s="2"/>
      <c r="MEH65" s="2"/>
      <c r="MEI65" s="2"/>
      <c r="MEJ65" s="2"/>
      <c r="MEK65" s="2"/>
      <c r="MEL65" s="2"/>
      <c r="MEM65" s="2"/>
      <c r="MEN65" s="2"/>
      <c r="MEO65" s="2"/>
      <c r="MEP65" s="2"/>
      <c r="MEQ65" s="2"/>
      <c r="MER65" s="2"/>
      <c r="MES65" s="2"/>
      <c r="MET65" s="2"/>
      <c r="MEU65" s="2"/>
      <c r="MEV65" s="2"/>
      <c r="MEW65" s="2"/>
      <c r="MEX65" s="2"/>
      <c r="MEY65" s="2"/>
      <c r="MEZ65" s="2"/>
      <c r="MFA65" s="2"/>
      <c r="MFB65" s="2"/>
      <c r="MFC65" s="2"/>
      <c r="MFD65" s="2"/>
      <c r="MFE65" s="2"/>
      <c r="MFF65" s="2"/>
      <c r="MFG65" s="2"/>
      <c r="MFH65" s="2"/>
      <c r="MFI65" s="2"/>
      <c r="MFJ65" s="2"/>
      <c r="MFK65" s="2"/>
      <c r="MFL65" s="2"/>
      <c r="MFM65" s="2"/>
      <c r="MFN65" s="2"/>
      <c r="MFO65" s="2"/>
      <c r="MFP65" s="2"/>
      <c r="MFQ65" s="2"/>
      <c r="MFR65" s="2"/>
      <c r="MFS65" s="2"/>
      <c r="MFT65" s="2"/>
      <c r="MFU65" s="2"/>
      <c r="MFV65" s="2"/>
      <c r="MFW65" s="2"/>
      <c r="MFX65" s="2"/>
      <c r="MFY65" s="2"/>
      <c r="MFZ65" s="2"/>
      <c r="MGA65" s="2"/>
      <c r="MGB65" s="2"/>
      <c r="MGC65" s="2"/>
      <c r="MGD65" s="2"/>
      <c r="MGE65" s="2"/>
      <c r="MGF65" s="2"/>
      <c r="MGG65" s="2"/>
      <c r="MGH65" s="2"/>
      <c r="MGI65" s="2"/>
      <c r="MGJ65" s="2"/>
      <c r="MGK65" s="2"/>
      <c r="MGL65" s="2"/>
      <c r="MGM65" s="2"/>
      <c r="MGN65" s="2"/>
      <c r="MGO65" s="2"/>
      <c r="MGP65" s="2"/>
      <c r="MGQ65" s="2"/>
      <c r="MGR65" s="2"/>
      <c r="MGS65" s="2"/>
      <c r="MGT65" s="2"/>
      <c r="MGU65" s="2"/>
      <c r="MGV65" s="2"/>
      <c r="MGW65" s="2"/>
      <c r="MGX65" s="2"/>
      <c r="MGY65" s="2"/>
      <c r="MGZ65" s="2"/>
      <c r="MHA65" s="2"/>
      <c r="MHB65" s="2"/>
      <c r="MHC65" s="2"/>
      <c r="MHD65" s="2"/>
      <c r="MHE65" s="2"/>
      <c r="MHF65" s="2"/>
      <c r="MHG65" s="2"/>
      <c r="MHH65" s="2"/>
      <c r="MHI65" s="2"/>
      <c r="MHJ65" s="2"/>
      <c r="MHK65" s="2"/>
      <c r="MHL65" s="2"/>
      <c r="MHM65" s="2"/>
      <c r="MHN65" s="2"/>
      <c r="MHO65" s="2"/>
      <c r="MHP65" s="2"/>
      <c r="MHQ65" s="2"/>
      <c r="MHR65" s="2"/>
      <c r="MHS65" s="2"/>
      <c r="MHT65" s="2"/>
      <c r="MHU65" s="2"/>
      <c r="MHV65" s="2"/>
      <c r="MHW65" s="2"/>
      <c r="MHX65" s="2"/>
      <c r="MHY65" s="2"/>
      <c r="MHZ65" s="2"/>
      <c r="MIA65" s="2"/>
      <c r="MIB65" s="2"/>
      <c r="MIC65" s="2"/>
      <c r="MID65" s="2"/>
      <c r="MIE65" s="2"/>
      <c r="MIF65" s="2"/>
      <c r="MIG65" s="2"/>
      <c r="MIH65" s="2"/>
      <c r="MII65" s="2"/>
      <c r="MIJ65" s="2"/>
      <c r="MIK65" s="2"/>
      <c r="MIL65" s="2"/>
      <c r="MIM65" s="2"/>
      <c r="MIN65" s="2"/>
      <c r="MIO65" s="2"/>
      <c r="MIP65" s="2"/>
      <c r="MIQ65" s="2"/>
      <c r="MIR65" s="2"/>
      <c r="MIS65" s="2"/>
      <c r="MIT65" s="2"/>
      <c r="MIU65" s="2"/>
      <c r="MIV65" s="2"/>
      <c r="MIW65" s="2"/>
      <c r="MIX65" s="2"/>
      <c r="MIY65" s="2"/>
      <c r="MIZ65" s="2"/>
      <c r="MJA65" s="2"/>
      <c r="MJB65" s="2"/>
      <c r="MJC65" s="2"/>
      <c r="MJD65" s="2"/>
      <c r="MJE65" s="2"/>
      <c r="MJF65" s="2"/>
      <c r="MJG65" s="2"/>
      <c r="MJH65" s="2"/>
      <c r="MJI65" s="2"/>
      <c r="MJJ65" s="2"/>
      <c r="MJK65" s="2"/>
      <c r="MJL65" s="2"/>
      <c r="MJM65" s="2"/>
      <c r="MJN65" s="2"/>
      <c r="MJO65" s="2"/>
      <c r="MJP65" s="2"/>
      <c r="MJQ65" s="2"/>
      <c r="MJR65" s="2"/>
      <c r="MJS65" s="2"/>
      <c r="MJT65" s="2"/>
      <c r="MJU65" s="2"/>
      <c r="MJV65" s="2"/>
      <c r="MJW65" s="2"/>
      <c r="MJX65" s="2"/>
      <c r="MJY65" s="2"/>
      <c r="MJZ65" s="2"/>
      <c r="MKA65" s="2"/>
      <c r="MKB65" s="2"/>
      <c r="MKC65" s="2"/>
      <c r="MKD65" s="2"/>
      <c r="MKE65" s="2"/>
      <c r="MKF65" s="2"/>
      <c r="MKG65" s="2"/>
      <c r="MKH65" s="2"/>
      <c r="MKI65" s="2"/>
      <c r="MKJ65" s="2"/>
      <c r="MKK65" s="2"/>
      <c r="MKL65" s="2"/>
      <c r="MKM65" s="2"/>
      <c r="MKN65" s="2"/>
      <c r="MKO65" s="2"/>
      <c r="MKP65" s="2"/>
      <c r="MKQ65" s="2"/>
      <c r="MKR65" s="2"/>
      <c r="MKS65" s="2"/>
      <c r="MKT65" s="2"/>
      <c r="MKU65" s="2"/>
      <c r="MKV65" s="2"/>
      <c r="MKW65" s="2"/>
      <c r="MKX65" s="2"/>
      <c r="MKY65" s="2"/>
      <c r="MKZ65" s="2"/>
      <c r="MLA65" s="2"/>
      <c r="MLB65" s="2"/>
      <c r="MLC65" s="2"/>
      <c r="MLD65" s="2"/>
      <c r="MLE65" s="2"/>
      <c r="MLF65" s="2"/>
      <c r="MLG65" s="2"/>
      <c r="MLH65" s="2"/>
      <c r="MLI65" s="2"/>
      <c r="MLJ65" s="2"/>
      <c r="MLK65" s="2"/>
      <c r="MLL65" s="2"/>
      <c r="MLM65" s="2"/>
      <c r="MLN65" s="2"/>
      <c r="MLO65" s="2"/>
      <c r="MLP65" s="2"/>
      <c r="MLQ65" s="2"/>
      <c r="MLR65" s="2"/>
      <c r="MLS65" s="2"/>
      <c r="MLT65" s="2"/>
      <c r="MLU65" s="2"/>
      <c r="MLV65" s="2"/>
      <c r="MLW65" s="2"/>
      <c r="MLX65" s="2"/>
      <c r="MLY65" s="2"/>
      <c r="MLZ65" s="2"/>
      <c r="MMA65" s="2"/>
      <c r="MMB65" s="2"/>
      <c r="MMC65" s="2"/>
      <c r="MMD65" s="2"/>
      <c r="MME65" s="2"/>
      <c r="MMF65" s="2"/>
      <c r="MMG65" s="2"/>
      <c r="MMH65" s="2"/>
      <c r="MMI65" s="2"/>
      <c r="MMJ65" s="2"/>
      <c r="MMK65" s="2"/>
      <c r="MML65" s="2"/>
      <c r="MMM65" s="2"/>
      <c r="MMN65" s="2"/>
      <c r="MMO65" s="2"/>
      <c r="MMP65" s="2"/>
      <c r="MMQ65" s="2"/>
      <c r="MMR65" s="2"/>
      <c r="MMS65" s="2"/>
      <c r="MMT65" s="2"/>
      <c r="MMU65" s="2"/>
      <c r="MMV65" s="2"/>
      <c r="MMW65" s="2"/>
      <c r="MMX65" s="2"/>
      <c r="MMY65" s="2"/>
      <c r="MMZ65" s="2"/>
      <c r="MNA65" s="2"/>
      <c r="MNB65" s="2"/>
      <c r="MNC65" s="2"/>
      <c r="MND65" s="2"/>
      <c r="MNE65" s="2"/>
      <c r="MNF65" s="2"/>
      <c r="MNG65" s="2"/>
      <c r="MNH65" s="2"/>
      <c r="MNI65" s="2"/>
      <c r="MNJ65" s="2"/>
      <c r="MNK65" s="2"/>
      <c r="MNL65" s="2"/>
      <c r="MNM65" s="2"/>
      <c r="MNN65" s="2"/>
      <c r="MNO65" s="2"/>
      <c r="MNP65" s="2"/>
      <c r="MNQ65" s="2"/>
      <c r="MNR65" s="2"/>
      <c r="MNS65" s="2"/>
      <c r="MNT65" s="2"/>
      <c r="MNU65" s="2"/>
      <c r="MNV65" s="2"/>
      <c r="MNW65" s="2"/>
      <c r="MNX65" s="2"/>
      <c r="MNY65" s="2"/>
      <c r="MNZ65" s="2"/>
      <c r="MOA65" s="2"/>
      <c r="MOB65" s="2"/>
      <c r="MOC65" s="2"/>
      <c r="MOD65" s="2"/>
      <c r="MOE65" s="2"/>
      <c r="MOF65" s="2"/>
      <c r="MOG65" s="2"/>
      <c r="MOH65" s="2"/>
      <c r="MOI65" s="2"/>
      <c r="MOJ65" s="2"/>
      <c r="MOK65" s="2"/>
      <c r="MOL65" s="2"/>
      <c r="MOM65" s="2"/>
      <c r="MON65" s="2"/>
      <c r="MOO65" s="2"/>
      <c r="MOP65" s="2"/>
      <c r="MOQ65" s="2"/>
      <c r="MOR65" s="2"/>
      <c r="MOS65" s="2"/>
      <c r="MOT65" s="2"/>
      <c r="MOU65" s="2"/>
      <c r="MOV65" s="2"/>
      <c r="MOW65" s="2"/>
      <c r="MOX65" s="2"/>
      <c r="MOY65" s="2"/>
      <c r="MOZ65" s="2"/>
      <c r="MPA65" s="2"/>
      <c r="MPB65" s="2"/>
      <c r="MPC65" s="2"/>
      <c r="MPD65" s="2"/>
      <c r="MPE65" s="2"/>
      <c r="MPF65" s="2"/>
      <c r="MPG65" s="2"/>
      <c r="MPH65" s="2"/>
      <c r="MPI65" s="2"/>
      <c r="MPJ65" s="2"/>
      <c r="MPK65" s="2"/>
      <c r="MPL65" s="2"/>
      <c r="MPM65" s="2"/>
      <c r="MPN65" s="2"/>
      <c r="MPO65" s="2"/>
      <c r="MPP65" s="2"/>
      <c r="MPQ65" s="2"/>
      <c r="MPR65" s="2"/>
      <c r="MPS65" s="2"/>
      <c r="MPT65" s="2"/>
      <c r="MPU65" s="2"/>
      <c r="MPV65" s="2"/>
      <c r="MPW65" s="2"/>
      <c r="MPX65" s="2"/>
      <c r="MPY65" s="2"/>
      <c r="MPZ65" s="2"/>
      <c r="MQA65" s="2"/>
      <c r="MQB65" s="2"/>
      <c r="MQC65" s="2"/>
      <c r="MQD65" s="2"/>
      <c r="MQE65" s="2"/>
      <c r="MQF65" s="2"/>
      <c r="MQG65" s="2"/>
      <c r="MQH65" s="2"/>
      <c r="MQI65" s="2"/>
      <c r="MQJ65" s="2"/>
      <c r="MQK65" s="2"/>
      <c r="MQL65" s="2"/>
      <c r="MQM65" s="2"/>
      <c r="MQN65" s="2"/>
      <c r="MQO65" s="2"/>
      <c r="MQP65" s="2"/>
      <c r="MQQ65" s="2"/>
      <c r="MQR65" s="2"/>
      <c r="MQS65" s="2"/>
      <c r="MQT65" s="2"/>
      <c r="MQU65" s="2"/>
      <c r="MQV65" s="2"/>
      <c r="MQW65" s="2"/>
      <c r="MQX65" s="2"/>
      <c r="MQY65" s="2"/>
      <c r="MQZ65" s="2"/>
      <c r="MRA65" s="2"/>
      <c r="MRB65" s="2"/>
      <c r="MRC65" s="2"/>
      <c r="MRD65" s="2"/>
      <c r="MRE65" s="2"/>
      <c r="MRF65" s="2"/>
      <c r="MRG65" s="2"/>
      <c r="MRH65" s="2"/>
      <c r="MRI65" s="2"/>
      <c r="MRJ65" s="2"/>
      <c r="MRK65" s="2"/>
      <c r="MRL65" s="2"/>
      <c r="MRM65" s="2"/>
      <c r="MRN65" s="2"/>
      <c r="MRO65" s="2"/>
      <c r="MRP65" s="2"/>
      <c r="MRQ65" s="2"/>
      <c r="MRR65" s="2"/>
      <c r="MRS65" s="2"/>
      <c r="MRT65" s="2"/>
      <c r="MRU65" s="2"/>
      <c r="MRV65" s="2"/>
      <c r="MRW65" s="2"/>
      <c r="MRX65" s="2"/>
      <c r="MRY65" s="2"/>
      <c r="MRZ65" s="2"/>
      <c r="MSA65" s="2"/>
      <c r="MSB65" s="2"/>
      <c r="MSC65" s="2"/>
      <c r="MSD65" s="2"/>
      <c r="MSE65" s="2"/>
      <c r="MSF65" s="2"/>
      <c r="MSG65" s="2"/>
      <c r="MSH65" s="2"/>
      <c r="MSI65" s="2"/>
      <c r="MSJ65" s="2"/>
      <c r="MSK65" s="2"/>
      <c r="MSL65" s="2"/>
      <c r="MSM65" s="2"/>
      <c r="MSN65" s="2"/>
      <c r="MSO65" s="2"/>
      <c r="MSP65" s="2"/>
      <c r="MSQ65" s="2"/>
      <c r="MSR65" s="2"/>
      <c r="MSS65" s="2"/>
      <c r="MST65" s="2"/>
      <c r="MSU65" s="2"/>
      <c r="MSV65" s="2"/>
      <c r="MSW65" s="2"/>
      <c r="MSX65" s="2"/>
      <c r="MSY65" s="2"/>
      <c r="MSZ65" s="2"/>
      <c r="MTA65" s="2"/>
      <c r="MTB65" s="2"/>
      <c r="MTC65" s="2"/>
      <c r="MTD65" s="2"/>
      <c r="MTE65" s="2"/>
      <c r="MTF65" s="2"/>
      <c r="MTG65" s="2"/>
      <c r="MTH65" s="2"/>
      <c r="MTI65" s="2"/>
      <c r="MTJ65" s="2"/>
      <c r="MTK65" s="2"/>
      <c r="MTL65" s="2"/>
      <c r="MTM65" s="2"/>
      <c r="MTN65" s="2"/>
      <c r="MTO65" s="2"/>
      <c r="MTP65" s="2"/>
      <c r="MTQ65" s="2"/>
      <c r="MTR65" s="2"/>
      <c r="MTS65" s="2"/>
      <c r="MTT65" s="2"/>
      <c r="MTU65" s="2"/>
      <c r="MTV65" s="2"/>
      <c r="MTW65" s="2"/>
      <c r="MTX65" s="2"/>
      <c r="MTY65" s="2"/>
      <c r="MTZ65" s="2"/>
      <c r="MUA65" s="2"/>
      <c r="MUB65" s="2"/>
      <c r="MUC65" s="2"/>
      <c r="MUD65" s="2"/>
      <c r="MUE65" s="2"/>
      <c r="MUF65" s="2"/>
      <c r="MUG65" s="2"/>
      <c r="MUH65" s="2"/>
      <c r="MUI65" s="2"/>
      <c r="MUJ65" s="2"/>
      <c r="MUK65" s="2"/>
      <c r="MUL65" s="2"/>
      <c r="MUM65" s="2"/>
      <c r="MUN65" s="2"/>
      <c r="MUO65" s="2"/>
      <c r="MUP65" s="2"/>
      <c r="MUQ65" s="2"/>
      <c r="MUR65" s="2"/>
      <c r="MUS65" s="2"/>
      <c r="MUT65" s="2"/>
      <c r="MUU65" s="2"/>
      <c r="MUV65" s="2"/>
      <c r="MUW65" s="2"/>
      <c r="MUX65" s="2"/>
      <c r="MUY65" s="2"/>
      <c r="MUZ65" s="2"/>
      <c r="MVA65" s="2"/>
      <c r="MVB65" s="2"/>
      <c r="MVC65" s="2"/>
      <c r="MVD65" s="2"/>
      <c r="MVE65" s="2"/>
      <c r="MVF65" s="2"/>
      <c r="MVG65" s="2"/>
      <c r="MVH65" s="2"/>
      <c r="MVI65" s="2"/>
      <c r="MVJ65" s="2"/>
      <c r="MVK65" s="2"/>
      <c r="MVL65" s="2"/>
      <c r="MVM65" s="2"/>
      <c r="MVN65" s="2"/>
      <c r="MVO65" s="2"/>
      <c r="MVP65" s="2"/>
      <c r="MVQ65" s="2"/>
      <c r="MVR65" s="2"/>
      <c r="MVS65" s="2"/>
      <c r="MVT65" s="2"/>
      <c r="MVU65" s="2"/>
      <c r="MVV65" s="2"/>
      <c r="MVW65" s="2"/>
      <c r="MVX65" s="2"/>
      <c r="MVY65" s="2"/>
      <c r="MVZ65" s="2"/>
      <c r="MWA65" s="2"/>
      <c r="MWB65" s="2"/>
      <c r="MWC65" s="2"/>
      <c r="MWD65" s="2"/>
      <c r="MWE65" s="2"/>
      <c r="MWF65" s="2"/>
      <c r="MWG65" s="2"/>
      <c r="MWH65" s="2"/>
      <c r="MWI65" s="2"/>
      <c r="MWJ65" s="2"/>
      <c r="MWK65" s="2"/>
      <c r="MWL65" s="2"/>
      <c r="MWM65" s="2"/>
      <c r="MWN65" s="2"/>
      <c r="MWO65" s="2"/>
      <c r="MWP65" s="2"/>
      <c r="MWQ65" s="2"/>
      <c r="MWR65" s="2"/>
      <c r="MWS65" s="2"/>
      <c r="MWT65" s="2"/>
      <c r="MWU65" s="2"/>
      <c r="MWV65" s="2"/>
      <c r="MWW65" s="2"/>
      <c r="MWX65" s="2"/>
      <c r="MWY65" s="2"/>
      <c r="MWZ65" s="2"/>
      <c r="MXA65" s="2"/>
      <c r="MXB65" s="2"/>
      <c r="MXC65" s="2"/>
      <c r="MXD65" s="2"/>
      <c r="MXE65" s="2"/>
      <c r="MXF65" s="2"/>
      <c r="MXG65" s="2"/>
      <c r="MXH65" s="2"/>
      <c r="MXI65" s="2"/>
      <c r="MXJ65" s="2"/>
      <c r="MXK65" s="2"/>
      <c r="MXL65" s="2"/>
      <c r="MXM65" s="2"/>
      <c r="MXN65" s="2"/>
      <c r="MXO65" s="2"/>
      <c r="MXP65" s="2"/>
      <c r="MXQ65" s="2"/>
      <c r="MXR65" s="2"/>
      <c r="MXS65" s="2"/>
      <c r="MXT65" s="2"/>
      <c r="MXU65" s="2"/>
      <c r="MXV65" s="2"/>
      <c r="MXW65" s="2"/>
      <c r="MXX65" s="2"/>
      <c r="MXY65" s="2"/>
      <c r="MXZ65" s="2"/>
      <c r="MYA65" s="2"/>
      <c r="MYB65" s="2"/>
      <c r="MYC65" s="2"/>
      <c r="MYD65" s="2"/>
      <c r="MYE65" s="2"/>
      <c r="MYF65" s="2"/>
      <c r="MYG65" s="2"/>
      <c r="MYH65" s="2"/>
      <c r="MYI65" s="2"/>
      <c r="MYJ65" s="2"/>
      <c r="MYK65" s="2"/>
      <c r="MYL65" s="2"/>
      <c r="MYM65" s="2"/>
      <c r="MYN65" s="2"/>
      <c r="MYO65" s="2"/>
      <c r="MYP65" s="2"/>
      <c r="MYQ65" s="2"/>
      <c r="MYR65" s="2"/>
      <c r="MYS65" s="2"/>
      <c r="MYT65" s="2"/>
      <c r="MYU65" s="2"/>
      <c r="MYV65" s="2"/>
      <c r="MYW65" s="2"/>
      <c r="MYX65" s="2"/>
      <c r="MYY65" s="2"/>
      <c r="MYZ65" s="2"/>
      <c r="MZA65" s="2"/>
      <c r="MZB65" s="2"/>
      <c r="MZC65" s="2"/>
      <c r="MZD65" s="2"/>
      <c r="MZE65" s="2"/>
      <c r="MZF65" s="2"/>
      <c r="MZG65" s="2"/>
      <c r="MZH65" s="2"/>
      <c r="MZI65" s="2"/>
      <c r="MZJ65" s="2"/>
      <c r="MZK65" s="2"/>
      <c r="MZL65" s="2"/>
      <c r="MZM65" s="2"/>
      <c r="MZN65" s="2"/>
      <c r="MZO65" s="2"/>
      <c r="MZP65" s="2"/>
      <c r="MZQ65" s="2"/>
      <c r="MZR65" s="2"/>
      <c r="MZS65" s="2"/>
      <c r="MZT65" s="2"/>
      <c r="MZU65" s="2"/>
      <c r="MZV65" s="2"/>
      <c r="MZW65" s="2"/>
      <c r="MZX65" s="2"/>
      <c r="MZY65" s="2"/>
      <c r="MZZ65" s="2"/>
      <c r="NAA65" s="2"/>
      <c r="NAB65" s="2"/>
      <c r="NAC65" s="2"/>
      <c r="NAD65" s="2"/>
      <c r="NAE65" s="2"/>
      <c r="NAF65" s="2"/>
      <c r="NAG65" s="2"/>
      <c r="NAH65" s="2"/>
      <c r="NAI65" s="2"/>
      <c r="NAJ65" s="2"/>
      <c r="NAK65" s="2"/>
      <c r="NAL65" s="2"/>
      <c r="NAM65" s="2"/>
      <c r="NAN65" s="2"/>
      <c r="NAO65" s="2"/>
      <c r="NAP65" s="2"/>
      <c r="NAQ65" s="2"/>
      <c r="NAR65" s="2"/>
      <c r="NAS65" s="2"/>
      <c r="NAT65" s="2"/>
      <c r="NAU65" s="2"/>
      <c r="NAV65" s="2"/>
      <c r="NAW65" s="2"/>
      <c r="NAX65" s="2"/>
      <c r="NAY65" s="2"/>
      <c r="NAZ65" s="2"/>
      <c r="NBA65" s="2"/>
      <c r="NBB65" s="2"/>
      <c r="NBC65" s="2"/>
      <c r="NBD65" s="2"/>
      <c r="NBE65" s="2"/>
      <c r="NBF65" s="2"/>
      <c r="NBG65" s="2"/>
      <c r="NBH65" s="2"/>
      <c r="NBI65" s="2"/>
      <c r="NBJ65" s="2"/>
      <c r="NBK65" s="2"/>
      <c r="NBL65" s="2"/>
      <c r="NBM65" s="2"/>
      <c r="NBN65" s="2"/>
      <c r="NBO65" s="2"/>
      <c r="NBP65" s="2"/>
      <c r="NBQ65" s="2"/>
      <c r="NBR65" s="2"/>
      <c r="NBS65" s="2"/>
      <c r="NBT65" s="2"/>
      <c r="NBU65" s="2"/>
      <c r="NBV65" s="2"/>
      <c r="NBW65" s="2"/>
      <c r="NBX65" s="2"/>
      <c r="NBY65" s="2"/>
      <c r="NBZ65" s="2"/>
      <c r="NCA65" s="2"/>
      <c r="NCB65" s="2"/>
      <c r="NCC65" s="2"/>
      <c r="NCD65" s="2"/>
      <c r="NCE65" s="2"/>
      <c r="NCF65" s="2"/>
      <c r="NCG65" s="2"/>
      <c r="NCH65" s="2"/>
      <c r="NCI65" s="2"/>
      <c r="NCJ65" s="2"/>
      <c r="NCK65" s="2"/>
      <c r="NCL65" s="2"/>
      <c r="NCM65" s="2"/>
      <c r="NCN65" s="2"/>
      <c r="NCO65" s="2"/>
      <c r="NCP65" s="2"/>
      <c r="NCQ65" s="2"/>
      <c r="NCR65" s="2"/>
      <c r="NCS65" s="2"/>
      <c r="NCT65" s="2"/>
      <c r="NCU65" s="2"/>
      <c r="NCV65" s="2"/>
      <c r="NCW65" s="2"/>
      <c r="NCX65" s="2"/>
      <c r="NCY65" s="2"/>
      <c r="NCZ65" s="2"/>
      <c r="NDA65" s="2"/>
      <c r="NDB65" s="2"/>
      <c r="NDC65" s="2"/>
      <c r="NDD65" s="2"/>
      <c r="NDE65" s="2"/>
      <c r="NDF65" s="2"/>
      <c r="NDG65" s="2"/>
      <c r="NDH65" s="2"/>
      <c r="NDI65" s="2"/>
      <c r="NDJ65" s="2"/>
      <c r="NDK65" s="2"/>
      <c r="NDL65" s="2"/>
      <c r="NDM65" s="2"/>
      <c r="NDN65" s="2"/>
      <c r="NDO65" s="2"/>
      <c r="NDP65" s="2"/>
      <c r="NDQ65" s="2"/>
      <c r="NDR65" s="2"/>
      <c r="NDS65" s="2"/>
      <c r="NDT65" s="2"/>
      <c r="NDU65" s="2"/>
      <c r="NDV65" s="2"/>
      <c r="NDW65" s="2"/>
      <c r="NDX65" s="2"/>
      <c r="NDY65" s="2"/>
      <c r="NDZ65" s="2"/>
      <c r="NEA65" s="2"/>
      <c r="NEB65" s="2"/>
      <c r="NEC65" s="2"/>
      <c r="NED65" s="2"/>
      <c r="NEE65" s="2"/>
      <c r="NEF65" s="2"/>
      <c r="NEG65" s="2"/>
      <c r="NEH65" s="2"/>
      <c r="NEI65" s="2"/>
      <c r="NEJ65" s="2"/>
      <c r="NEK65" s="2"/>
      <c r="NEL65" s="2"/>
      <c r="NEM65" s="2"/>
      <c r="NEN65" s="2"/>
      <c r="NEO65" s="2"/>
      <c r="NEP65" s="2"/>
      <c r="NEQ65" s="2"/>
      <c r="NER65" s="2"/>
      <c r="NES65" s="2"/>
      <c r="NET65" s="2"/>
      <c r="NEU65" s="2"/>
      <c r="NEV65" s="2"/>
      <c r="NEW65" s="2"/>
      <c r="NEX65" s="2"/>
      <c r="NEY65" s="2"/>
      <c r="NEZ65" s="2"/>
      <c r="NFA65" s="2"/>
      <c r="NFB65" s="2"/>
      <c r="NFC65" s="2"/>
      <c r="NFD65" s="2"/>
      <c r="NFE65" s="2"/>
      <c r="NFF65" s="2"/>
      <c r="NFG65" s="2"/>
      <c r="NFH65" s="2"/>
      <c r="NFI65" s="2"/>
      <c r="NFJ65" s="2"/>
      <c r="NFK65" s="2"/>
      <c r="NFL65" s="2"/>
      <c r="NFM65" s="2"/>
      <c r="NFN65" s="2"/>
      <c r="NFO65" s="2"/>
      <c r="NFP65" s="2"/>
      <c r="NFQ65" s="2"/>
      <c r="NFR65" s="2"/>
      <c r="NFS65" s="2"/>
      <c r="NFT65" s="2"/>
      <c r="NFU65" s="2"/>
      <c r="NFV65" s="2"/>
      <c r="NFW65" s="2"/>
      <c r="NFX65" s="2"/>
      <c r="NFY65" s="2"/>
      <c r="NFZ65" s="2"/>
      <c r="NGA65" s="2"/>
      <c r="NGB65" s="2"/>
      <c r="NGC65" s="2"/>
      <c r="NGD65" s="2"/>
      <c r="NGE65" s="2"/>
      <c r="NGF65" s="2"/>
      <c r="NGG65" s="2"/>
      <c r="NGH65" s="2"/>
      <c r="NGI65" s="2"/>
      <c r="NGJ65" s="2"/>
      <c r="NGK65" s="2"/>
      <c r="NGL65" s="2"/>
      <c r="NGM65" s="2"/>
      <c r="NGN65" s="2"/>
      <c r="NGO65" s="2"/>
      <c r="NGP65" s="2"/>
      <c r="NGQ65" s="2"/>
      <c r="NGR65" s="2"/>
      <c r="NGS65" s="2"/>
      <c r="NGT65" s="2"/>
      <c r="NGU65" s="2"/>
      <c r="NGV65" s="2"/>
      <c r="NGW65" s="2"/>
      <c r="NGX65" s="2"/>
      <c r="NGY65" s="2"/>
      <c r="NGZ65" s="2"/>
      <c r="NHA65" s="2"/>
      <c r="NHB65" s="2"/>
      <c r="NHC65" s="2"/>
      <c r="NHD65" s="2"/>
      <c r="NHE65" s="2"/>
      <c r="NHF65" s="2"/>
      <c r="NHG65" s="2"/>
      <c r="NHH65" s="2"/>
      <c r="NHI65" s="2"/>
      <c r="NHJ65" s="2"/>
      <c r="NHK65" s="2"/>
      <c r="NHL65" s="2"/>
      <c r="NHM65" s="2"/>
      <c r="NHN65" s="2"/>
      <c r="NHO65" s="2"/>
      <c r="NHP65" s="2"/>
      <c r="NHQ65" s="2"/>
      <c r="NHR65" s="2"/>
      <c r="NHS65" s="2"/>
      <c r="NHT65" s="2"/>
      <c r="NHU65" s="2"/>
      <c r="NHV65" s="2"/>
      <c r="NHW65" s="2"/>
      <c r="NHX65" s="2"/>
      <c r="NHY65" s="2"/>
      <c r="NHZ65" s="2"/>
      <c r="NIA65" s="2"/>
      <c r="NIB65" s="2"/>
      <c r="NIC65" s="2"/>
      <c r="NID65" s="2"/>
      <c r="NIE65" s="2"/>
      <c r="NIF65" s="2"/>
      <c r="NIG65" s="2"/>
      <c r="NIH65" s="2"/>
      <c r="NII65" s="2"/>
      <c r="NIJ65" s="2"/>
      <c r="NIK65" s="2"/>
      <c r="NIL65" s="2"/>
      <c r="NIM65" s="2"/>
      <c r="NIN65" s="2"/>
      <c r="NIO65" s="2"/>
      <c r="NIP65" s="2"/>
      <c r="NIQ65" s="2"/>
      <c r="NIR65" s="2"/>
      <c r="NIS65" s="2"/>
      <c r="NIT65" s="2"/>
      <c r="NIU65" s="2"/>
      <c r="NIV65" s="2"/>
      <c r="NIW65" s="2"/>
      <c r="NIX65" s="2"/>
      <c r="NIY65" s="2"/>
      <c r="NIZ65" s="2"/>
      <c r="NJA65" s="2"/>
      <c r="NJB65" s="2"/>
      <c r="NJC65" s="2"/>
      <c r="NJD65" s="2"/>
      <c r="NJE65" s="2"/>
      <c r="NJF65" s="2"/>
      <c r="NJG65" s="2"/>
      <c r="NJH65" s="2"/>
      <c r="NJI65" s="2"/>
      <c r="NJJ65" s="2"/>
      <c r="NJK65" s="2"/>
      <c r="NJL65" s="2"/>
      <c r="NJM65" s="2"/>
      <c r="NJN65" s="2"/>
      <c r="NJO65" s="2"/>
      <c r="NJP65" s="2"/>
      <c r="NJQ65" s="2"/>
      <c r="NJR65" s="2"/>
      <c r="NJS65" s="2"/>
      <c r="NJT65" s="2"/>
      <c r="NJU65" s="2"/>
      <c r="NJV65" s="2"/>
      <c r="NJW65" s="2"/>
      <c r="NJX65" s="2"/>
      <c r="NJY65" s="2"/>
      <c r="NJZ65" s="2"/>
      <c r="NKA65" s="2"/>
      <c r="NKB65" s="2"/>
      <c r="NKC65" s="2"/>
      <c r="NKD65" s="2"/>
      <c r="NKE65" s="2"/>
      <c r="NKF65" s="2"/>
      <c r="NKG65" s="2"/>
      <c r="NKH65" s="2"/>
      <c r="NKI65" s="2"/>
      <c r="NKJ65" s="2"/>
      <c r="NKK65" s="2"/>
      <c r="NKL65" s="2"/>
      <c r="NKM65" s="2"/>
      <c r="NKN65" s="2"/>
      <c r="NKO65" s="2"/>
      <c r="NKP65" s="2"/>
      <c r="NKQ65" s="2"/>
      <c r="NKR65" s="2"/>
      <c r="NKS65" s="2"/>
      <c r="NKT65" s="2"/>
      <c r="NKU65" s="2"/>
      <c r="NKV65" s="2"/>
      <c r="NKW65" s="2"/>
      <c r="NKX65" s="2"/>
      <c r="NKY65" s="2"/>
      <c r="NKZ65" s="2"/>
      <c r="NLA65" s="2"/>
      <c r="NLB65" s="2"/>
      <c r="NLC65" s="2"/>
      <c r="NLD65" s="2"/>
      <c r="NLE65" s="2"/>
      <c r="NLF65" s="2"/>
      <c r="NLG65" s="2"/>
      <c r="NLH65" s="2"/>
      <c r="NLI65" s="2"/>
      <c r="NLJ65" s="2"/>
      <c r="NLK65" s="2"/>
      <c r="NLL65" s="2"/>
      <c r="NLM65" s="2"/>
      <c r="NLN65" s="2"/>
      <c r="NLO65" s="2"/>
      <c r="NLP65" s="2"/>
      <c r="NLQ65" s="2"/>
      <c r="NLR65" s="2"/>
      <c r="NLS65" s="2"/>
      <c r="NLT65" s="2"/>
      <c r="NLU65" s="2"/>
      <c r="NLV65" s="2"/>
      <c r="NLW65" s="2"/>
      <c r="NLX65" s="2"/>
      <c r="NLY65" s="2"/>
      <c r="NLZ65" s="2"/>
      <c r="NMA65" s="2"/>
      <c r="NMB65" s="2"/>
      <c r="NMC65" s="2"/>
      <c r="NMD65" s="2"/>
      <c r="NME65" s="2"/>
      <c r="NMF65" s="2"/>
      <c r="NMG65" s="2"/>
      <c r="NMH65" s="2"/>
      <c r="NMI65" s="2"/>
      <c r="NMJ65" s="2"/>
      <c r="NMK65" s="2"/>
      <c r="NML65" s="2"/>
      <c r="NMM65" s="2"/>
      <c r="NMN65" s="2"/>
      <c r="NMO65" s="2"/>
      <c r="NMP65" s="2"/>
      <c r="NMQ65" s="2"/>
      <c r="NMR65" s="2"/>
      <c r="NMS65" s="2"/>
      <c r="NMT65" s="2"/>
      <c r="NMU65" s="2"/>
      <c r="NMV65" s="2"/>
      <c r="NMW65" s="2"/>
      <c r="NMX65" s="2"/>
      <c r="NMY65" s="2"/>
      <c r="NMZ65" s="2"/>
      <c r="NNA65" s="2"/>
      <c r="NNB65" s="2"/>
      <c r="NNC65" s="2"/>
      <c r="NND65" s="2"/>
      <c r="NNE65" s="2"/>
      <c r="NNF65" s="2"/>
      <c r="NNG65" s="2"/>
      <c r="NNH65" s="2"/>
      <c r="NNI65" s="2"/>
      <c r="NNJ65" s="2"/>
      <c r="NNK65" s="2"/>
      <c r="NNL65" s="2"/>
      <c r="NNM65" s="2"/>
      <c r="NNN65" s="2"/>
      <c r="NNO65" s="2"/>
      <c r="NNP65" s="2"/>
      <c r="NNQ65" s="2"/>
      <c r="NNR65" s="2"/>
      <c r="NNS65" s="2"/>
      <c r="NNT65" s="2"/>
      <c r="NNU65" s="2"/>
      <c r="NNV65" s="2"/>
      <c r="NNW65" s="2"/>
      <c r="NNX65" s="2"/>
      <c r="NNY65" s="2"/>
      <c r="NNZ65" s="2"/>
      <c r="NOA65" s="2"/>
      <c r="NOB65" s="2"/>
      <c r="NOC65" s="2"/>
      <c r="NOD65" s="2"/>
      <c r="NOE65" s="2"/>
      <c r="NOF65" s="2"/>
      <c r="NOG65" s="2"/>
      <c r="NOH65" s="2"/>
      <c r="NOI65" s="2"/>
      <c r="NOJ65" s="2"/>
      <c r="NOK65" s="2"/>
      <c r="NOL65" s="2"/>
      <c r="NOM65" s="2"/>
      <c r="NON65" s="2"/>
      <c r="NOO65" s="2"/>
      <c r="NOP65" s="2"/>
      <c r="NOQ65" s="2"/>
      <c r="NOR65" s="2"/>
      <c r="NOS65" s="2"/>
      <c r="NOT65" s="2"/>
      <c r="NOU65" s="2"/>
      <c r="NOV65" s="2"/>
      <c r="NOW65" s="2"/>
      <c r="NOX65" s="2"/>
      <c r="NOY65" s="2"/>
      <c r="NOZ65" s="2"/>
      <c r="NPA65" s="2"/>
      <c r="NPB65" s="2"/>
      <c r="NPC65" s="2"/>
      <c r="NPD65" s="2"/>
      <c r="NPE65" s="2"/>
      <c r="NPF65" s="2"/>
      <c r="NPG65" s="2"/>
      <c r="NPH65" s="2"/>
      <c r="NPI65" s="2"/>
      <c r="NPJ65" s="2"/>
      <c r="NPK65" s="2"/>
      <c r="NPL65" s="2"/>
      <c r="NPM65" s="2"/>
      <c r="NPN65" s="2"/>
      <c r="NPO65" s="2"/>
      <c r="NPP65" s="2"/>
      <c r="NPQ65" s="2"/>
      <c r="NPR65" s="2"/>
      <c r="NPS65" s="2"/>
      <c r="NPT65" s="2"/>
      <c r="NPU65" s="2"/>
      <c r="NPV65" s="2"/>
      <c r="NPW65" s="2"/>
      <c r="NPX65" s="2"/>
      <c r="NPY65" s="2"/>
      <c r="NPZ65" s="2"/>
      <c r="NQA65" s="2"/>
      <c r="NQB65" s="2"/>
      <c r="NQC65" s="2"/>
      <c r="NQD65" s="2"/>
      <c r="NQE65" s="2"/>
      <c r="NQF65" s="2"/>
      <c r="NQG65" s="2"/>
      <c r="NQH65" s="2"/>
      <c r="NQI65" s="2"/>
      <c r="NQJ65" s="2"/>
      <c r="NQK65" s="2"/>
      <c r="NQL65" s="2"/>
      <c r="NQM65" s="2"/>
      <c r="NQN65" s="2"/>
      <c r="NQO65" s="2"/>
      <c r="NQP65" s="2"/>
      <c r="NQQ65" s="2"/>
      <c r="NQR65" s="2"/>
      <c r="NQS65" s="2"/>
      <c r="NQT65" s="2"/>
      <c r="NQU65" s="2"/>
      <c r="NQV65" s="2"/>
      <c r="NQW65" s="2"/>
      <c r="NQX65" s="2"/>
      <c r="NQY65" s="2"/>
      <c r="NQZ65" s="2"/>
      <c r="NRA65" s="2"/>
      <c r="NRB65" s="2"/>
      <c r="NRC65" s="2"/>
      <c r="NRD65" s="2"/>
      <c r="NRE65" s="2"/>
      <c r="NRF65" s="2"/>
      <c r="NRG65" s="2"/>
      <c r="NRH65" s="2"/>
      <c r="NRI65" s="2"/>
      <c r="NRJ65" s="2"/>
      <c r="NRK65" s="2"/>
      <c r="NRL65" s="2"/>
      <c r="NRM65" s="2"/>
      <c r="NRN65" s="2"/>
      <c r="NRO65" s="2"/>
      <c r="NRP65" s="2"/>
      <c r="NRQ65" s="2"/>
      <c r="NRR65" s="2"/>
      <c r="NRS65" s="2"/>
      <c r="NRT65" s="2"/>
      <c r="NRU65" s="2"/>
      <c r="NRV65" s="2"/>
      <c r="NRW65" s="2"/>
      <c r="NRX65" s="2"/>
      <c r="NRY65" s="2"/>
      <c r="NRZ65" s="2"/>
      <c r="NSA65" s="2"/>
      <c r="NSB65" s="2"/>
      <c r="NSC65" s="2"/>
      <c r="NSD65" s="2"/>
      <c r="NSE65" s="2"/>
      <c r="NSF65" s="2"/>
      <c r="NSG65" s="2"/>
      <c r="NSH65" s="2"/>
      <c r="NSI65" s="2"/>
      <c r="NSJ65" s="2"/>
      <c r="NSK65" s="2"/>
      <c r="NSL65" s="2"/>
      <c r="NSM65" s="2"/>
      <c r="NSN65" s="2"/>
      <c r="NSO65" s="2"/>
      <c r="NSP65" s="2"/>
      <c r="NSQ65" s="2"/>
      <c r="NSR65" s="2"/>
      <c r="NSS65" s="2"/>
      <c r="NST65" s="2"/>
      <c r="NSU65" s="2"/>
      <c r="NSV65" s="2"/>
      <c r="NSW65" s="2"/>
      <c r="NSX65" s="2"/>
      <c r="NSY65" s="2"/>
      <c r="NSZ65" s="2"/>
      <c r="NTA65" s="2"/>
      <c r="NTB65" s="2"/>
      <c r="NTC65" s="2"/>
      <c r="NTD65" s="2"/>
      <c r="NTE65" s="2"/>
      <c r="NTF65" s="2"/>
      <c r="NTG65" s="2"/>
      <c r="NTH65" s="2"/>
      <c r="NTI65" s="2"/>
      <c r="NTJ65" s="2"/>
      <c r="NTK65" s="2"/>
      <c r="NTL65" s="2"/>
      <c r="NTM65" s="2"/>
      <c r="NTN65" s="2"/>
      <c r="NTO65" s="2"/>
      <c r="NTP65" s="2"/>
      <c r="NTQ65" s="2"/>
      <c r="NTR65" s="2"/>
      <c r="NTS65" s="2"/>
      <c r="NTT65" s="2"/>
      <c r="NTU65" s="2"/>
      <c r="NTV65" s="2"/>
      <c r="NTW65" s="2"/>
      <c r="NTX65" s="2"/>
      <c r="NTY65" s="2"/>
      <c r="NTZ65" s="2"/>
      <c r="NUA65" s="2"/>
      <c r="NUB65" s="2"/>
      <c r="NUC65" s="2"/>
      <c r="NUD65" s="2"/>
      <c r="NUE65" s="2"/>
      <c r="NUF65" s="2"/>
      <c r="NUG65" s="2"/>
      <c r="NUH65" s="2"/>
      <c r="NUI65" s="2"/>
      <c r="NUJ65" s="2"/>
      <c r="NUK65" s="2"/>
      <c r="NUL65" s="2"/>
      <c r="NUM65" s="2"/>
      <c r="NUN65" s="2"/>
      <c r="NUO65" s="2"/>
      <c r="NUP65" s="2"/>
      <c r="NUQ65" s="2"/>
      <c r="NUR65" s="2"/>
      <c r="NUS65" s="2"/>
      <c r="NUT65" s="2"/>
      <c r="NUU65" s="2"/>
      <c r="NUV65" s="2"/>
      <c r="NUW65" s="2"/>
      <c r="NUX65" s="2"/>
      <c r="NUY65" s="2"/>
      <c r="NUZ65" s="2"/>
      <c r="NVA65" s="2"/>
      <c r="NVB65" s="2"/>
      <c r="NVC65" s="2"/>
      <c r="NVD65" s="2"/>
      <c r="NVE65" s="2"/>
      <c r="NVF65" s="2"/>
      <c r="NVG65" s="2"/>
      <c r="NVH65" s="2"/>
      <c r="NVI65" s="2"/>
      <c r="NVJ65" s="2"/>
      <c r="NVK65" s="2"/>
      <c r="NVL65" s="2"/>
      <c r="NVM65" s="2"/>
      <c r="NVN65" s="2"/>
      <c r="NVO65" s="2"/>
      <c r="NVP65" s="2"/>
      <c r="NVQ65" s="2"/>
      <c r="NVR65" s="2"/>
      <c r="NVS65" s="2"/>
      <c r="NVT65" s="2"/>
      <c r="NVU65" s="2"/>
      <c r="NVV65" s="2"/>
      <c r="NVW65" s="2"/>
      <c r="NVX65" s="2"/>
      <c r="NVY65" s="2"/>
      <c r="NVZ65" s="2"/>
      <c r="NWA65" s="2"/>
      <c r="NWB65" s="2"/>
      <c r="NWC65" s="2"/>
      <c r="NWD65" s="2"/>
      <c r="NWE65" s="2"/>
      <c r="NWF65" s="2"/>
      <c r="NWG65" s="2"/>
      <c r="NWH65" s="2"/>
      <c r="NWI65" s="2"/>
      <c r="NWJ65" s="2"/>
      <c r="NWK65" s="2"/>
      <c r="NWL65" s="2"/>
      <c r="NWM65" s="2"/>
      <c r="NWN65" s="2"/>
      <c r="NWO65" s="2"/>
      <c r="NWP65" s="2"/>
      <c r="NWQ65" s="2"/>
      <c r="NWR65" s="2"/>
      <c r="NWS65" s="2"/>
      <c r="NWT65" s="2"/>
      <c r="NWU65" s="2"/>
      <c r="NWV65" s="2"/>
      <c r="NWW65" s="2"/>
      <c r="NWX65" s="2"/>
      <c r="NWY65" s="2"/>
      <c r="NWZ65" s="2"/>
      <c r="NXA65" s="2"/>
      <c r="NXB65" s="2"/>
      <c r="NXC65" s="2"/>
      <c r="NXD65" s="2"/>
      <c r="NXE65" s="2"/>
      <c r="NXF65" s="2"/>
      <c r="NXG65" s="2"/>
      <c r="NXH65" s="2"/>
      <c r="NXI65" s="2"/>
      <c r="NXJ65" s="2"/>
      <c r="NXK65" s="2"/>
      <c r="NXL65" s="2"/>
      <c r="NXM65" s="2"/>
      <c r="NXN65" s="2"/>
      <c r="NXO65" s="2"/>
      <c r="NXP65" s="2"/>
      <c r="NXQ65" s="2"/>
      <c r="NXR65" s="2"/>
      <c r="NXS65" s="2"/>
      <c r="NXT65" s="2"/>
      <c r="NXU65" s="2"/>
      <c r="NXV65" s="2"/>
      <c r="NXW65" s="2"/>
      <c r="NXX65" s="2"/>
      <c r="NXY65" s="2"/>
      <c r="NXZ65" s="2"/>
      <c r="NYA65" s="2"/>
      <c r="NYB65" s="2"/>
      <c r="NYC65" s="2"/>
      <c r="NYD65" s="2"/>
      <c r="NYE65" s="2"/>
      <c r="NYF65" s="2"/>
      <c r="NYG65" s="2"/>
      <c r="NYH65" s="2"/>
      <c r="NYI65" s="2"/>
      <c r="NYJ65" s="2"/>
      <c r="NYK65" s="2"/>
      <c r="NYL65" s="2"/>
      <c r="NYM65" s="2"/>
      <c r="NYN65" s="2"/>
      <c r="NYO65" s="2"/>
      <c r="NYP65" s="2"/>
      <c r="NYQ65" s="2"/>
      <c r="NYR65" s="2"/>
      <c r="NYS65" s="2"/>
      <c r="NYT65" s="2"/>
      <c r="NYU65" s="2"/>
      <c r="NYV65" s="2"/>
      <c r="NYW65" s="2"/>
      <c r="NYX65" s="2"/>
      <c r="NYY65" s="2"/>
      <c r="NYZ65" s="2"/>
      <c r="NZA65" s="2"/>
      <c r="NZB65" s="2"/>
      <c r="NZC65" s="2"/>
      <c r="NZD65" s="2"/>
      <c r="NZE65" s="2"/>
      <c r="NZF65" s="2"/>
      <c r="NZG65" s="2"/>
      <c r="NZH65" s="2"/>
      <c r="NZI65" s="2"/>
      <c r="NZJ65" s="2"/>
      <c r="NZK65" s="2"/>
      <c r="NZL65" s="2"/>
      <c r="NZM65" s="2"/>
      <c r="NZN65" s="2"/>
      <c r="NZO65" s="2"/>
      <c r="NZP65" s="2"/>
      <c r="NZQ65" s="2"/>
      <c r="NZR65" s="2"/>
      <c r="NZS65" s="2"/>
      <c r="NZT65" s="2"/>
      <c r="NZU65" s="2"/>
      <c r="NZV65" s="2"/>
      <c r="NZW65" s="2"/>
      <c r="NZX65" s="2"/>
      <c r="NZY65" s="2"/>
      <c r="NZZ65" s="2"/>
      <c r="OAA65" s="2"/>
      <c r="OAB65" s="2"/>
      <c r="OAC65" s="2"/>
      <c r="OAD65" s="2"/>
      <c r="OAE65" s="2"/>
      <c r="OAF65" s="2"/>
      <c r="OAG65" s="2"/>
      <c r="OAH65" s="2"/>
      <c r="OAI65" s="2"/>
      <c r="OAJ65" s="2"/>
      <c r="OAK65" s="2"/>
      <c r="OAL65" s="2"/>
      <c r="OAM65" s="2"/>
      <c r="OAN65" s="2"/>
      <c r="OAO65" s="2"/>
      <c r="OAP65" s="2"/>
      <c r="OAQ65" s="2"/>
      <c r="OAR65" s="2"/>
      <c r="OAS65" s="2"/>
      <c r="OAT65" s="2"/>
      <c r="OAU65" s="2"/>
      <c r="OAV65" s="2"/>
      <c r="OAW65" s="2"/>
      <c r="OAX65" s="2"/>
      <c r="OAY65" s="2"/>
      <c r="OAZ65" s="2"/>
      <c r="OBA65" s="2"/>
      <c r="OBB65" s="2"/>
      <c r="OBC65" s="2"/>
      <c r="OBD65" s="2"/>
      <c r="OBE65" s="2"/>
      <c r="OBF65" s="2"/>
      <c r="OBG65" s="2"/>
      <c r="OBH65" s="2"/>
      <c r="OBI65" s="2"/>
      <c r="OBJ65" s="2"/>
      <c r="OBK65" s="2"/>
      <c r="OBL65" s="2"/>
      <c r="OBM65" s="2"/>
      <c r="OBN65" s="2"/>
      <c r="OBO65" s="2"/>
      <c r="OBP65" s="2"/>
      <c r="OBQ65" s="2"/>
      <c r="OBR65" s="2"/>
      <c r="OBS65" s="2"/>
      <c r="OBT65" s="2"/>
      <c r="OBU65" s="2"/>
      <c r="OBV65" s="2"/>
      <c r="OBW65" s="2"/>
      <c r="OBX65" s="2"/>
      <c r="OBY65" s="2"/>
      <c r="OBZ65" s="2"/>
      <c r="OCA65" s="2"/>
      <c r="OCB65" s="2"/>
      <c r="OCC65" s="2"/>
      <c r="OCD65" s="2"/>
      <c r="OCE65" s="2"/>
      <c r="OCF65" s="2"/>
      <c r="OCG65" s="2"/>
      <c r="OCH65" s="2"/>
      <c r="OCI65" s="2"/>
      <c r="OCJ65" s="2"/>
      <c r="OCK65" s="2"/>
      <c r="OCL65" s="2"/>
      <c r="OCM65" s="2"/>
      <c r="OCN65" s="2"/>
      <c r="OCO65" s="2"/>
      <c r="OCP65" s="2"/>
      <c r="OCQ65" s="2"/>
      <c r="OCR65" s="2"/>
      <c r="OCS65" s="2"/>
      <c r="OCT65" s="2"/>
      <c r="OCU65" s="2"/>
      <c r="OCV65" s="2"/>
      <c r="OCW65" s="2"/>
      <c r="OCX65" s="2"/>
      <c r="OCY65" s="2"/>
      <c r="OCZ65" s="2"/>
      <c r="ODA65" s="2"/>
      <c r="ODB65" s="2"/>
      <c r="ODC65" s="2"/>
      <c r="ODD65" s="2"/>
      <c r="ODE65" s="2"/>
      <c r="ODF65" s="2"/>
      <c r="ODG65" s="2"/>
      <c r="ODH65" s="2"/>
      <c r="ODI65" s="2"/>
      <c r="ODJ65" s="2"/>
      <c r="ODK65" s="2"/>
      <c r="ODL65" s="2"/>
      <c r="ODM65" s="2"/>
      <c r="ODN65" s="2"/>
      <c r="ODO65" s="2"/>
      <c r="ODP65" s="2"/>
      <c r="ODQ65" s="2"/>
      <c r="ODR65" s="2"/>
      <c r="ODS65" s="2"/>
      <c r="ODT65" s="2"/>
      <c r="ODU65" s="2"/>
      <c r="ODV65" s="2"/>
      <c r="ODW65" s="2"/>
      <c r="ODX65" s="2"/>
      <c r="ODY65" s="2"/>
      <c r="ODZ65" s="2"/>
      <c r="OEA65" s="2"/>
      <c r="OEB65" s="2"/>
      <c r="OEC65" s="2"/>
      <c r="OED65" s="2"/>
      <c r="OEE65" s="2"/>
      <c r="OEF65" s="2"/>
      <c r="OEG65" s="2"/>
      <c r="OEH65" s="2"/>
      <c r="OEI65" s="2"/>
      <c r="OEJ65" s="2"/>
      <c r="OEK65" s="2"/>
      <c r="OEL65" s="2"/>
      <c r="OEM65" s="2"/>
      <c r="OEN65" s="2"/>
      <c r="OEO65" s="2"/>
      <c r="OEP65" s="2"/>
      <c r="OEQ65" s="2"/>
      <c r="OER65" s="2"/>
      <c r="OES65" s="2"/>
      <c r="OET65" s="2"/>
      <c r="OEU65" s="2"/>
      <c r="OEV65" s="2"/>
      <c r="OEW65" s="2"/>
      <c r="OEX65" s="2"/>
      <c r="OEY65" s="2"/>
      <c r="OEZ65" s="2"/>
      <c r="OFA65" s="2"/>
      <c r="OFB65" s="2"/>
      <c r="OFC65" s="2"/>
      <c r="OFD65" s="2"/>
      <c r="OFE65" s="2"/>
      <c r="OFF65" s="2"/>
      <c r="OFG65" s="2"/>
      <c r="OFH65" s="2"/>
      <c r="OFI65" s="2"/>
      <c r="OFJ65" s="2"/>
      <c r="OFK65" s="2"/>
      <c r="OFL65" s="2"/>
      <c r="OFM65" s="2"/>
      <c r="OFN65" s="2"/>
      <c r="OFO65" s="2"/>
      <c r="OFP65" s="2"/>
      <c r="OFQ65" s="2"/>
      <c r="OFR65" s="2"/>
      <c r="OFS65" s="2"/>
      <c r="OFT65" s="2"/>
      <c r="OFU65" s="2"/>
      <c r="OFV65" s="2"/>
      <c r="OFW65" s="2"/>
      <c r="OFX65" s="2"/>
      <c r="OFY65" s="2"/>
      <c r="OFZ65" s="2"/>
      <c r="OGA65" s="2"/>
      <c r="OGB65" s="2"/>
      <c r="OGC65" s="2"/>
      <c r="OGD65" s="2"/>
      <c r="OGE65" s="2"/>
      <c r="OGF65" s="2"/>
      <c r="OGG65" s="2"/>
      <c r="OGH65" s="2"/>
      <c r="OGI65" s="2"/>
      <c r="OGJ65" s="2"/>
      <c r="OGK65" s="2"/>
      <c r="OGL65" s="2"/>
      <c r="OGM65" s="2"/>
      <c r="OGN65" s="2"/>
      <c r="OGO65" s="2"/>
      <c r="OGP65" s="2"/>
      <c r="OGQ65" s="2"/>
      <c r="OGR65" s="2"/>
      <c r="OGS65" s="2"/>
      <c r="OGT65" s="2"/>
      <c r="OGU65" s="2"/>
      <c r="OGV65" s="2"/>
      <c r="OGW65" s="2"/>
      <c r="OGX65" s="2"/>
      <c r="OGY65" s="2"/>
      <c r="OGZ65" s="2"/>
      <c r="OHA65" s="2"/>
      <c r="OHB65" s="2"/>
      <c r="OHC65" s="2"/>
      <c r="OHD65" s="2"/>
      <c r="OHE65" s="2"/>
      <c r="OHF65" s="2"/>
      <c r="OHG65" s="2"/>
      <c r="OHH65" s="2"/>
      <c r="OHI65" s="2"/>
      <c r="OHJ65" s="2"/>
      <c r="OHK65" s="2"/>
      <c r="OHL65" s="2"/>
      <c r="OHM65" s="2"/>
      <c r="OHN65" s="2"/>
      <c r="OHO65" s="2"/>
      <c r="OHP65" s="2"/>
      <c r="OHQ65" s="2"/>
      <c r="OHR65" s="2"/>
      <c r="OHS65" s="2"/>
      <c r="OHT65" s="2"/>
      <c r="OHU65" s="2"/>
      <c r="OHV65" s="2"/>
      <c r="OHW65" s="2"/>
      <c r="OHX65" s="2"/>
      <c r="OHY65" s="2"/>
      <c r="OHZ65" s="2"/>
      <c r="OIA65" s="2"/>
      <c r="OIB65" s="2"/>
      <c r="OIC65" s="2"/>
      <c r="OID65" s="2"/>
      <c r="OIE65" s="2"/>
      <c r="OIF65" s="2"/>
      <c r="OIG65" s="2"/>
      <c r="OIH65" s="2"/>
      <c r="OII65" s="2"/>
      <c r="OIJ65" s="2"/>
      <c r="OIK65" s="2"/>
      <c r="OIL65" s="2"/>
      <c r="OIM65" s="2"/>
      <c r="OIN65" s="2"/>
      <c r="OIO65" s="2"/>
      <c r="OIP65" s="2"/>
      <c r="OIQ65" s="2"/>
      <c r="OIR65" s="2"/>
      <c r="OIS65" s="2"/>
      <c r="OIT65" s="2"/>
      <c r="OIU65" s="2"/>
      <c r="OIV65" s="2"/>
      <c r="OIW65" s="2"/>
      <c r="OIX65" s="2"/>
      <c r="OIY65" s="2"/>
      <c r="OIZ65" s="2"/>
      <c r="OJA65" s="2"/>
      <c r="OJB65" s="2"/>
      <c r="OJC65" s="2"/>
      <c r="OJD65" s="2"/>
      <c r="OJE65" s="2"/>
      <c r="OJF65" s="2"/>
      <c r="OJG65" s="2"/>
      <c r="OJH65" s="2"/>
      <c r="OJI65" s="2"/>
      <c r="OJJ65" s="2"/>
      <c r="OJK65" s="2"/>
      <c r="OJL65" s="2"/>
      <c r="OJM65" s="2"/>
      <c r="OJN65" s="2"/>
      <c r="OJO65" s="2"/>
      <c r="OJP65" s="2"/>
      <c r="OJQ65" s="2"/>
      <c r="OJR65" s="2"/>
      <c r="OJS65" s="2"/>
      <c r="OJT65" s="2"/>
      <c r="OJU65" s="2"/>
      <c r="OJV65" s="2"/>
      <c r="OJW65" s="2"/>
      <c r="OJX65" s="2"/>
      <c r="OJY65" s="2"/>
      <c r="OJZ65" s="2"/>
      <c r="OKA65" s="2"/>
      <c r="OKB65" s="2"/>
      <c r="OKC65" s="2"/>
      <c r="OKD65" s="2"/>
      <c r="OKE65" s="2"/>
      <c r="OKF65" s="2"/>
      <c r="OKG65" s="2"/>
      <c r="OKH65" s="2"/>
      <c r="OKI65" s="2"/>
      <c r="OKJ65" s="2"/>
      <c r="OKK65" s="2"/>
      <c r="OKL65" s="2"/>
      <c r="OKM65" s="2"/>
      <c r="OKN65" s="2"/>
      <c r="OKO65" s="2"/>
      <c r="OKP65" s="2"/>
      <c r="OKQ65" s="2"/>
      <c r="OKR65" s="2"/>
      <c r="OKS65" s="2"/>
      <c r="OKT65" s="2"/>
      <c r="OKU65" s="2"/>
      <c r="OKV65" s="2"/>
      <c r="OKW65" s="2"/>
      <c r="OKX65" s="2"/>
      <c r="OKY65" s="2"/>
      <c r="OKZ65" s="2"/>
      <c r="OLA65" s="2"/>
      <c r="OLB65" s="2"/>
      <c r="OLC65" s="2"/>
      <c r="OLD65" s="2"/>
      <c r="OLE65" s="2"/>
      <c r="OLF65" s="2"/>
      <c r="OLG65" s="2"/>
      <c r="OLH65" s="2"/>
      <c r="OLI65" s="2"/>
      <c r="OLJ65" s="2"/>
      <c r="OLK65" s="2"/>
      <c r="OLL65" s="2"/>
      <c r="OLM65" s="2"/>
      <c r="OLN65" s="2"/>
      <c r="OLO65" s="2"/>
      <c r="OLP65" s="2"/>
      <c r="OLQ65" s="2"/>
      <c r="OLR65" s="2"/>
      <c r="OLS65" s="2"/>
      <c r="OLT65" s="2"/>
      <c r="OLU65" s="2"/>
      <c r="OLV65" s="2"/>
      <c r="OLW65" s="2"/>
      <c r="OLX65" s="2"/>
      <c r="OLY65" s="2"/>
      <c r="OLZ65" s="2"/>
      <c r="OMA65" s="2"/>
      <c r="OMB65" s="2"/>
      <c r="OMC65" s="2"/>
      <c r="OMD65" s="2"/>
      <c r="OME65" s="2"/>
      <c r="OMF65" s="2"/>
      <c r="OMG65" s="2"/>
      <c r="OMH65" s="2"/>
      <c r="OMI65" s="2"/>
      <c r="OMJ65" s="2"/>
      <c r="OMK65" s="2"/>
      <c r="OML65" s="2"/>
      <c r="OMM65" s="2"/>
      <c r="OMN65" s="2"/>
      <c r="OMO65" s="2"/>
      <c r="OMP65" s="2"/>
      <c r="OMQ65" s="2"/>
      <c r="OMR65" s="2"/>
      <c r="OMS65" s="2"/>
      <c r="OMT65" s="2"/>
      <c r="OMU65" s="2"/>
      <c r="OMV65" s="2"/>
      <c r="OMW65" s="2"/>
      <c r="OMX65" s="2"/>
      <c r="OMY65" s="2"/>
      <c r="OMZ65" s="2"/>
      <c r="ONA65" s="2"/>
      <c r="ONB65" s="2"/>
      <c r="ONC65" s="2"/>
      <c r="OND65" s="2"/>
      <c r="ONE65" s="2"/>
      <c r="ONF65" s="2"/>
      <c r="ONG65" s="2"/>
      <c r="ONH65" s="2"/>
      <c r="ONI65" s="2"/>
      <c r="ONJ65" s="2"/>
      <c r="ONK65" s="2"/>
      <c r="ONL65" s="2"/>
      <c r="ONM65" s="2"/>
      <c r="ONN65" s="2"/>
      <c r="ONO65" s="2"/>
      <c r="ONP65" s="2"/>
      <c r="ONQ65" s="2"/>
      <c r="ONR65" s="2"/>
      <c r="ONS65" s="2"/>
      <c r="ONT65" s="2"/>
      <c r="ONU65" s="2"/>
      <c r="ONV65" s="2"/>
      <c r="ONW65" s="2"/>
      <c r="ONX65" s="2"/>
      <c r="ONY65" s="2"/>
      <c r="ONZ65" s="2"/>
      <c r="OOA65" s="2"/>
      <c r="OOB65" s="2"/>
      <c r="OOC65" s="2"/>
      <c r="OOD65" s="2"/>
      <c r="OOE65" s="2"/>
      <c r="OOF65" s="2"/>
      <c r="OOG65" s="2"/>
      <c r="OOH65" s="2"/>
      <c r="OOI65" s="2"/>
      <c r="OOJ65" s="2"/>
      <c r="OOK65" s="2"/>
      <c r="OOL65" s="2"/>
      <c r="OOM65" s="2"/>
      <c r="OON65" s="2"/>
      <c r="OOO65" s="2"/>
      <c r="OOP65" s="2"/>
      <c r="OOQ65" s="2"/>
      <c r="OOR65" s="2"/>
      <c r="OOS65" s="2"/>
      <c r="OOT65" s="2"/>
      <c r="OOU65" s="2"/>
      <c r="OOV65" s="2"/>
      <c r="OOW65" s="2"/>
      <c r="OOX65" s="2"/>
      <c r="OOY65" s="2"/>
      <c r="OOZ65" s="2"/>
      <c r="OPA65" s="2"/>
      <c r="OPB65" s="2"/>
      <c r="OPC65" s="2"/>
      <c r="OPD65" s="2"/>
      <c r="OPE65" s="2"/>
      <c r="OPF65" s="2"/>
      <c r="OPG65" s="2"/>
      <c r="OPH65" s="2"/>
      <c r="OPI65" s="2"/>
      <c r="OPJ65" s="2"/>
      <c r="OPK65" s="2"/>
      <c r="OPL65" s="2"/>
      <c r="OPM65" s="2"/>
      <c r="OPN65" s="2"/>
      <c r="OPO65" s="2"/>
      <c r="OPP65" s="2"/>
      <c r="OPQ65" s="2"/>
      <c r="OPR65" s="2"/>
      <c r="OPS65" s="2"/>
      <c r="OPT65" s="2"/>
      <c r="OPU65" s="2"/>
      <c r="OPV65" s="2"/>
      <c r="OPW65" s="2"/>
      <c r="OPX65" s="2"/>
      <c r="OPY65" s="2"/>
      <c r="OPZ65" s="2"/>
      <c r="OQA65" s="2"/>
      <c r="OQB65" s="2"/>
      <c r="OQC65" s="2"/>
      <c r="OQD65" s="2"/>
      <c r="OQE65" s="2"/>
      <c r="OQF65" s="2"/>
      <c r="OQG65" s="2"/>
      <c r="OQH65" s="2"/>
      <c r="OQI65" s="2"/>
      <c r="OQJ65" s="2"/>
      <c r="OQK65" s="2"/>
      <c r="OQL65" s="2"/>
      <c r="OQM65" s="2"/>
      <c r="OQN65" s="2"/>
      <c r="OQO65" s="2"/>
      <c r="OQP65" s="2"/>
      <c r="OQQ65" s="2"/>
      <c r="OQR65" s="2"/>
      <c r="OQS65" s="2"/>
      <c r="OQT65" s="2"/>
      <c r="OQU65" s="2"/>
      <c r="OQV65" s="2"/>
      <c r="OQW65" s="2"/>
      <c r="OQX65" s="2"/>
      <c r="OQY65" s="2"/>
      <c r="OQZ65" s="2"/>
      <c r="ORA65" s="2"/>
      <c r="ORB65" s="2"/>
      <c r="ORC65" s="2"/>
      <c r="ORD65" s="2"/>
      <c r="ORE65" s="2"/>
      <c r="ORF65" s="2"/>
      <c r="ORG65" s="2"/>
      <c r="ORH65" s="2"/>
      <c r="ORI65" s="2"/>
      <c r="ORJ65" s="2"/>
      <c r="ORK65" s="2"/>
      <c r="ORL65" s="2"/>
      <c r="ORM65" s="2"/>
      <c r="ORN65" s="2"/>
      <c r="ORO65" s="2"/>
      <c r="ORP65" s="2"/>
      <c r="ORQ65" s="2"/>
      <c r="ORR65" s="2"/>
      <c r="ORS65" s="2"/>
      <c r="ORT65" s="2"/>
      <c r="ORU65" s="2"/>
      <c r="ORV65" s="2"/>
      <c r="ORW65" s="2"/>
      <c r="ORX65" s="2"/>
      <c r="ORY65" s="2"/>
      <c r="ORZ65" s="2"/>
      <c r="OSA65" s="2"/>
      <c r="OSB65" s="2"/>
      <c r="OSC65" s="2"/>
      <c r="OSD65" s="2"/>
      <c r="OSE65" s="2"/>
      <c r="OSF65" s="2"/>
      <c r="OSG65" s="2"/>
      <c r="OSH65" s="2"/>
      <c r="OSI65" s="2"/>
      <c r="OSJ65" s="2"/>
      <c r="OSK65" s="2"/>
      <c r="OSL65" s="2"/>
      <c r="OSM65" s="2"/>
      <c r="OSN65" s="2"/>
      <c r="OSO65" s="2"/>
      <c r="OSP65" s="2"/>
      <c r="OSQ65" s="2"/>
      <c r="OSR65" s="2"/>
      <c r="OSS65" s="2"/>
      <c r="OST65" s="2"/>
      <c r="OSU65" s="2"/>
      <c r="OSV65" s="2"/>
      <c r="OSW65" s="2"/>
      <c r="OSX65" s="2"/>
      <c r="OSY65" s="2"/>
      <c r="OSZ65" s="2"/>
      <c r="OTA65" s="2"/>
      <c r="OTB65" s="2"/>
      <c r="OTC65" s="2"/>
      <c r="OTD65" s="2"/>
      <c r="OTE65" s="2"/>
      <c r="OTF65" s="2"/>
      <c r="OTG65" s="2"/>
      <c r="OTH65" s="2"/>
      <c r="OTI65" s="2"/>
      <c r="OTJ65" s="2"/>
      <c r="OTK65" s="2"/>
      <c r="OTL65" s="2"/>
      <c r="OTM65" s="2"/>
      <c r="OTN65" s="2"/>
      <c r="OTO65" s="2"/>
      <c r="OTP65" s="2"/>
      <c r="OTQ65" s="2"/>
      <c r="OTR65" s="2"/>
      <c r="OTS65" s="2"/>
      <c r="OTT65" s="2"/>
      <c r="OTU65" s="2"/>
      <c r="OTV65" s="2"/>
      <c r="OTW65" s="2"/>
      <c r="OTX65" s="2"/>
      <c r="OTY65" s="2"/>
      <c r="OTZ65" s="2"/>
      <c r="OUA65" s="2"/>
      <c r="OUB65" s="2"/>
      <c r="OUC65" s="2"/>
      <c r="OUD65" s="2"/>
      <c r="OUE65" s="2"/>
      <c r="OUF65" s="2"/>
      <c r="OUG65" s="2"/>
      <c r="OUH65" s="2"/>
      <c r="OUI65" s="2"/>
      <c r="OUJ65" s="2"/>
      <c r="OUK65" s="2"/>
      <c r="OUL65" s="2"/>
      <c r="OUM65" s="2"/>
      <c r="OUN65" s="2"/>
      <c r="OUO65" s="2"/>
      <c r="OUP65" s="2"/>
      <c r="OUQ65" s="2"/>
      <c r="OUR65" s="2"/>
      <c r="OUS65" s="2"/>
      <c r="OUT65" s="2"/>
      <c r="OUU65" s="2"/>
      <c r="OUV65" s="2"/>
      <c r="OUW65" s="2"/>
      <c r="OUX65" s="2"/>
      <c r="OUY65" s="2"/>
      <c r="OUZ65" s="2"/>
      <c r="OVA65" s="2"/>
      <c r="OVB65" s="2"/>
      <c r="OVC65" s="2"/>
      <c r="OVD65" s="2"/>
      <c r="OVE65" s="2"/>
      <c r="OVF65" s="2"/>
      <c r="OVG65" s="2"/>
      <c r="OVH65" s="2"/>
      <c r="OVI65" s="2"/>
      <c r="OVJ65" s="2"/>
      <c r="OVK65" s="2"/>
      <c r="OVL65" s="2"/>
      <c r="OVM65" s="2"/>
      <c r="OVN65" s="2"/>
      <c r="OVO65" s="2"/>
      <c r="OVP65" s="2"/>
      <c r="OVQ65" s="2"/>
      <c r="OVR65" s="2"/>
      <c r="OVS65" s="2"/>
      <c r="OVT65" s="2"/>
      <c r="OVU65" s="2"/>
      <c r="OVV65" s="2"/>
      <c r="OVW65" s="2"/>
      <c r="OVX65" s="2"/>
      <c r="OVY65" s="2"/>
      <c r="OVZ65" s="2"/>
      <c r="OWA65" s="2"/>
      <c r="OWB65" s="2"/>
      <c r="OWC65" s="2"/>
      <c r="OWD65" s="2"/>
      <c r="OWE65" s="2"/>
      <c r="OWF65" s="2"/>
      <c r="OWG65" s="2"/>
      <c r="OWH65" s="2"/>
      <c r="OWI65" s="2"/>
      <c r="OWJ65" s="2"/>
      <c r="OWK65" s="2"/>
      <c r="OWL65" s="2"/>
      <c r="OWM65" s="2"/>
      <c r="OWN65" s="2"/>
      <c r="OWO65" s="2"/>
      <c r="OWP65" s="2"/>
      <c r="OWQ65" s="2"/>
      <c r="OWR65" s="2"/>
      <c r="OWS65" s="2"/>
      <c r="OWT65" s="2"/>
      <c r="OWU65" s="2"/>
      <c r="OWV65" s="2"/>
      <c r="OWW65" s="2"/>
      <c r="OWX65" s="2"/>
      <c r="OWY65" s="2"/>
      <c r="OWZ65" s="2"/>
      <c r="OXA65" s="2"/>
      <c r="OXB65" s="2"/>
      <c r="OXC65" s="2"/>
      <c r="OXD65" s="2"/>
      <c r="OXE65" s="2"/>
      <c r="OXF65" s="2"/>
      <c r="OXG65" s="2"/>
      <c r="OXH65" s="2"/>
      <c r="OXI65" s="2"/>
      <c r="OXJ65" s="2"/>
      <c r="OXK65" s="2"/>
      <c r="OXL65" s="2"/>
      <c r="OXM65" s="2"/>
      <c r="OXN65" s="2"/>
      <c r="OXO65" s="2"/>
      <c r="OXP65" s="2"/>
      <c r="OXQ65" s="2"/>
      <c r="OXR65" s="2"/>
      <c r="OXS65" s="2"/>
      <c r="OXT65" s="2"/>
      <c r="OXU65" s="2"/>
      <c r="OXV65" s="2"/>
      <c r="OXW65" s="2"/>
      <c r="OXX65" s="2"/>
      <c r="OXY65" s="2"/>
      <c r="OXZ65" s="2"/>
      <c r="OYA65" s="2"/>
      <c r="OYB65" s="2"/>
      <c r="OYC65" s="2"/>
      <c r="OYD65" s="2"/>
      <c r="OYE65" s="2"/>
      <c r="OYF65" s="2"/>
      <c r="OYG65" s="2"/>
      <c r="OYH65" s="2"/>
      <c r="OYI65" s="2"/>
      <c r="OYJ65" s="2"/>
      <c r="OYK65" s="2"/>
      <c r="OYL65" s="2"/>
      <c r="OYM65" s="2"/>
      <c r="OYN65" s="2"/>
      <c r="OYO65" s="2"/>
      <c r="OYP65" s="2"/>
      <c r="OYQ65" s="2"/>
      <c r="OYR65" s="2"/>
      <c r="OYS65" s="2"/>
      <c r="OYT65" s="2"/>
      <c r="OYU65" s="2"/>
      <c r="OYV65" s="2"/>
      <c r="OYW65" s="2"/>
      <c r="OYX65" s="2"/>
      <c r="OYY65" s="2"/>
      <c r="OYZ65" s="2"/>
      <c r="OZA65" s="2"/>
      <c r="OZB65" s="2"/>
      <c r="OZC65" s="2"/>
      <c r="OZD65" s="2"/>
      <c r="OZE65" s="2"/>
      <c r="OZF65" s="2"/>
      <c r="OZG65" s="2"/>
      <c r="OZH65" s="2"/>
      <c r="OZI65" s="2"/>
      <c r="OZJ65" s="2"/>
      <c r="OZK65" s="2"/>
      <c r="OZL65" s="2"/>
      <c r="OZM65" s="2"/>
      <c r="OZN65" s="2"/>
      <c r="OZO65" s="2"/>
      <c r="OZP65" s="2"/>
      <c r="OZQ65" s="2"/>
      <c r="OZR65" s="2"/>
      <c r="OZS65" s="2"/>
      <c r="OZT65" s="2"/>
      <c r="OZU65" s="2"/>
      <c r="OZV65" s="2"/>
      <c r="OZW65" s="2"/>
      <c r="OZX65" s="2"/>
      <c r="OZY65" s="2"/>
      <c r="OZZ65" s="2"/>
      <c r="PAA65" s="2"/>
      <c r="PAB65" s="2"/>
      <c r="PAC65" s="2"/>
      <c r="PAD65" s="2"/>
      <c r="PAE65" s="2"/>
      <c r="PAF65" s="2"/>
      <c r="PAG65" s="2"/>
      <c r="PAH65" s="2"/>
      <c r="PAI65" s="2"/>
      <c r="PAJ65" s="2"/>
      <c r="PAK65" s="2"/>
      <c r="PAL65" s="2"/>
      <c r="PAM65" s="2"/>
      <c r="PAN65" s="2"/>
      <c r="PAO65" s="2"/>
      <c r="PAP65" s="2"/>
      <c r="PAQ65" s="2"/>
      <c r="PAR65" s="2"/>
      <c r="PAS65" s="2"/>
      <c r="PAT65" s="2"/>
      <c r="PAU65" s="2"/>
      <c r="PAV65" s="2"/>
      <c r="PAW65" s="2"/>
      <c r="PAX65" s="2"/>
      <c r="PAY65" s="2"/>
      <c r="PAZ65" s="2"/>
      <c r="PBA65" s="2"/>
      <c r="PBB65" s="2"/>
      <c r="PBC65" s="2"/>
      <c r="PBD65" s="2"/>
      <c r="PBE65" s="2"/>
      <c r="PBF65" s="2"/>
      <c r="PBG65" s="2"/>
      <c r="PBH65" s="2"/>
      <c r="PBI65" s="2"/>
      <c r="PBJ65" s="2"/>
      <c r="PBK65" s="2"/>
      <c r="PBL65" s="2"/>
      <c r="PBM65" s="2"/>
      <c r="PBN65" s="2"/>
      <c r="PBO65" s="2"/>
      <c r="PBP65" s="2"/>
      <c r="PBQ65" s="2"/>
      <c r="PBR65" s="2"/>
      <c r="PBS65" s="2"/>
      <c r="PBT65" s="2"/>
      <c r="PBU65" s="2"/>
      <c r="PBV65" s="2"/>
      <c r="PBW65" s="2"/>
      <c r="PBX65" s="2"/>
      <c r="PBY65" s="2"/>
      <c r="PBZ65" s="2"/>
      <c r="PCA65" s="2"/>
      <c r="PCB65" s="2"/>
      <c r="PCC65" s="2"/>
      <c r="PCD65" s="2"/>
      <c r="PCE65" s="2"/>
      <c r="PCF65" s="2"/>
      <c r="PCG65" s="2"/>
      <c r="PCH65" s="2"/>
      <c r="PCI65" s="2"/>
      <c r="PCJ65" s="2"/>
      <c r="PCK65" s="2"/>
      <c r="PCL65" s="2"/>
      <c r="PCM65" s="2"/>
      <c r="PCN65" s="2"/>
      <c r="PCO65" s="2"/>
      <c r="PCP65" s="2"/>
      <c r="PCQ65" s="2"/>
      <c r="PCR65" s="2"/>
      <c r="PCS65" s="2"/>
      <c r="PCT65" s="2"/>
      <c r="PCU65" s="2"/>
      <c r="PCV65" s="2"/>
      <c r="PCW65" s="2"/>
      <c r="PCX65" s="2"/>
      <c r="PCY65" s="2"/>
      <c r="PCZ65" s="2"/>
      <c r="PDA65" s="2"/>
      <c r="PDB65" s="2"/>
      <c r="PDC65" s="2"/>
      <c r="PDD65" s="2"/>
      <c r="PDE65" s="2"/>
      <c r="PDF65" s="2"/>
      <c r="PDG65" s="2"/>
      <c r="PDH65" s="2"/>
      <c r="PDI65" s="2"/>
      <c r="PDJ65" s="2"/>
      <c r="PDK65" s="2"/>
      <c r="PDL65" s="2"/>
      <c r="PDM65" s="2"/>
      <c r="PDN65" s="2"/>
      <c r="PDO65" s="2"/>
      <c r="PDP65" s="2"/>
      <c r="PDQ65" s="2"/>
      <c r="PDR65" s="2"/>
      <c r="PDS65" s="2"/>
      <c r="PDT65" s="2"/>
      <c r="PDU65" s="2"/>
      <c r="PDV65" s="2"/>
      <c r="PDW65" s="2"/>
      <c r="PDX65" s="2"/>
      <c r="PDY65" s="2"/>
      <c r="PDZ65" s="2"/>
      <c r="PEA65" s="2"/>
      <c r="PEB65" s="2"/>
      <c r="PEC65" s="2"/>
      <c r="PED65" s="2"/>
      <c r="PEE65" s="2"/>
      <c r="PEF65" s="2"/>
      <c r="PEG65" s="2"/>
      <c r="PEH65" s="2"/>
      <c r="PEI65" s="2"/>
      <c r="PEJ65" s="2"/>
      <c r="PEK65" s="2"/>
      <c r="PEL65" s="2"/>
      <c r="PEM65" s="2"/>
      <c r="PEN65" s="2"/>
      <c r="PEO65" s="2"/>
      <c r="PEP65" s="2"/>
      <c r="PEQ65" s="2"/>
      <c r="PER65" s="2"/>
      <c r="PES65" s="2"/>
      <c r="PET65" s="2"/>
      <c r="PEU65" s="2"/>
      <c r="PEV65" s="2"/>
      <c r="PEW65" s="2"/>
      <c r="PEX65" s="2"/>
      <c r="PEY65" s="2"/>
      <c r="PEZ65" s="2"/>
      <c r="PFA65" s="2"/>
      <c r="PFB65" s="2"/>
      <c r="PFC65" s="2"/>
      <c r="PFD65" s="2"/>
      <c r="PFE65" s="2"/>
      <c r="PFF65" s="2"/>
      <c r="PFG65" s="2"/>
      <c r="PFH65" s="2"/>
      <c r="PFI65" s="2"/>
      <c r="PFJ65" s="2"/>
      <c r="PFK65" s="2"/>
      <c r="PFL65" s="2"/>
      <c r="PFM65" s="2"/>
      <c r="PFN65" s="2"/>
      <c r="PFO65" s="2"/>
      <c r="PFP65" s="2"/>
      <c r="PFQ65" s="2"/>
      <c r="PFR65" s="2"/>
      <c r="PFS65" s="2"/>
      <c r="PFT65" s="2"/>
      <c r="PFU65" s="2"/>
      <c r="PFV65" s="2"/>
      <c r="PFW65" s="2"/>
      <c r="PFX65" s="2"/>
      <c r="PFY65" s="2"/>
      <c r="PFZ65" s="2"/>
      <c r="PGA65" s="2"/>
      <c r="PGB65" s="2"/>
      <c r="PGC65" s="2"/>
      <c r="PGD65" s="2"/>
      <c r="PGE65" s="2"/>
      <c r="PGF65" s="2"/>
      <c r="PGG65" s="2"/>
      <c r="PGH65" s="2"/>
      <c r="PGI65" s="2"/>
      <c r="PGJ65" s="2"/>
      <c r="PGK65" s="2"/>
      <c r="PGL65" s="2"/>
      <c r="PGM65" s="2"/>
      <c r="PGN65" s="2"/>
      <c r="PGO65" s="2"/>
      <c r="PGP65" s="2"/>
      <c r="PGQ65" s="2"/>
      <c r="PGR65" s="2"/>
      <c r="PGS65" s="2"/>
      <c r="PGT65" s="2"/>
      <c r="PGU65" s="2"/>
      <c r="PGV65" s="2"/>
      <c r="PGW65" s="2"/>
      <c r="PGX65" s="2"/>
      <c r="PGY65" s="2"/>
      <c r="PGZ65" s="2"/>
      <c r="PHA65" s="2"/>
      <c r="PHB65" s="2"/>
      <c r="PHC65" s="2"/>
      <c r="PHD65" s="2"/>
      <c r="PHE65" s="2"/>
      <c r="PHF65" s="2"/>
      <c r="PHG65" s="2"/>
      <c r="PHH65" s="2"/>
      <c r="PHI65" s="2"/>
      <c r="PHJ65" s="2"/>
      <c r="PHK65" s="2"/>
      <c r="PHL65" s="2"/>
      <c r="PHM65" s="2"/>
      <c r="PHN65" s="2"/>
      <c r="PHO65" s="2"/>
      <c r="PHP65" s="2"/>
      <c r="PHQ65" s="2"/>
      <c r="PHR65" s="2"/>
      <c r="PHS65" s="2"/>
      <c r="PHT65" s="2"/>
      <c r="PHU65" s="2"/>
      <c r="PHV65" s="2"/>
      <c r="PHW65" s="2"/>
      <c r="PHX65" s="2"/>
      <c r="PHY65" s="2"/>
      <c r="PHZ65" s="2"/>
      <c r="PIA65" s="2"/>
      <c r="PIB65" s="2"/>
      <c r="PIC65" s="2"/>
      <c r="PID65" s="2"/>
      <c r="PIE65" s="2"/>
      <c r="PIF65" s="2"/>
      <c r="PIG65" s="2"/>
      <c r="PIH65" s="2"/>
      <c r="PII65" s="2"/>
      <c r="PIJ65" s="2"/>
      <c r="PIK65" s="2"/>
      <c r="PIL65" s="2"/>
      <c r="PIM65" s="2"/>
      <c r="PIN65" s="2"/>
      <c r="PIO65" s="2"/>
      <c r="PIP65" s="2"/>
      <c r="PIQ65" s="2"/>
      <c r="PIR65" s="2"/>
      <c r="PIS65" s="2"/>
      <c r="PIT65" s="2"/>
      <c r="PIU65" s="2"/>
      <c r="PIV65" s="2"/>
      <c r="PIW65" s="2"/>
      <c r="PIX65" s="2"/>
      <c r="PIY65" s="2"/>
      <c r="PIZ65" s="2"/>
      <c r="PJA65" s="2"/>
      <c r="PJB65" s="2"/>
      <c r="PJC65" s="2"/>
      <c r="PJD65" s="2"/>
      <c r="PJE65" s="2"/>
      <c r="PJF65" s="2"/>
      <c r="PJG65" s="2"/>
      <c r="PJH65" s="2"/>
      <c r="PJI65" s="2"/>
      <c r="PJJ65" s="2"/>
      <c r="PJK65" s="2"/>
      <c r="PJL65" s="2"/>
      <c r="PJM65" s="2"/>
      <c r="PJN65" s="2"/>
      <c r="PJO65" s="2"/>
      <c r="PJP65" s="2"/>
      <c r="PJQ65" s="2"/>
      <c r="PJR65" s="2"/>
      <c r="PJS65" s="2"/>
      <c r="PJT65" s="2"/>
      <c r="PJU65" s="2"/>
      <c r="PJV65" s="2"/>
      <c r="PJW65" s="2"/>
      <c r="PJX65" s="2"/>
      <c r="PJY65" s="2"/>
      <c r="PJZ65" s="2"/>
      <c r="PKA65" s="2"/>
      <c r="PKB65" s="2"/>
      <c r="PKC65" s="2"/>
      <c r="PKD65" s="2"/>
      <c r="PKE65" s="2"/>
      <c r="PKF65" s="2"/>
      <c r="PKG65" s="2"/>
      <c r="PKH65" s="2"/>
      <c r="PKI65" s="2"/>
      <c r="PKJ65" s="2"/>
      <c r="PKK65" s="2"/>
      <c r="PKL65" s="2"/>
      <c r="PKM65" s="2"/>
      <c r="PKN65" s="2"/>
      <c r="PKO65" s="2"/>
      <c r="PKP65" s="2"/>
      <c r="PKQ65" s="2"/>
      <c r="PKR65" s="2"/>
      <c r="PKS65" s="2"/>
      <c r="PKT65" s="2"/>
      <c r="PKU65" s="2"/>
      <c r="PKV65" s="2"/>
      <c r="PKW65" s="2"/>
      <c r="PKX65" s="2"/>
      <c r="PKY65" s="2"/>
      <c r="PKZ65" s="2"/>
      <c r="PLA65" s="2"/>
      <c r="PLB65" s="2"/>
      <c r="PLC65" s="2"/>
      <c r="PLD65" s="2"/>
      <c r="PLE65" s="2"/>
      <c r="PLF65" s="2"/>
      <c r="PLG65" s="2"/>
      <c r="PLH65" s="2"/>
      <c r="PLI65" s="2"/>
      <c r="PLJ65" s="2"/>
      <c r="PLK65" s="2"/>
      <c r="PLL65" s="2"/>
      <c r="PLM65" s="2"/>
      <c r="PLN65" s="2"/>
      <c r="PLO65" s="2"/>
      <c r="PLP65" s="2"/>
      <c r="PLQ65" s="2"/>
      <c r="PLR65" s="2"/>
      <c r="PLS65" s="2"/>
      <c r="PLT65" s="2"/>
      <c r="PLU65" s="2"/>
      <c r="PLV65" s="2"/>
      <c r="PLW65" s="2"/>
      <c r="PLX65" s="2"/>
      <c r="PLY65" s="2"/>
      <c r="PLZ65" s="2"/>
      <c r="PMA65" s="2"/>
      <c r="PMB65" s="2"/>
      <c r="PMC65" s="2"/>
      <c r="PMD65" s="2"/>
      <c r="PME65" s="2"/>
      <c r="PMF65" s="2"/>
      <c r="PMG65" s="2"/>
      <c r="PMH65" s="2"/>
      <c r="PMI65" s="2"/>
      <c r="PMJ65" s="2"/>
      <c r="PMK65" s="2"/>
      <c r="PML65" s="2"/>
      <c r="PMM65" s="2"/>
      <c r="PMN65" s="2"/>
      <c r="PMO65" s="2"/>
      <c r="PMP65" s="2"/>
      <c r="PMQ65" s="2"/>
      <c r="PMR65" s="2"/>
      <c r="PMS65" s="2"/>
      <c r="PMT65" s="2"/>
      <c r="PMU65" s="2"/>
      <c r="PMV65" s="2"/>
      <c r="PMW65" s="2"/>
      <c r="PMX65" s="2"/>
      <c r="PMY65" s="2"/>
      <c r="PMZ65" s="2"/>
      <c r="PNA65" s="2"/>
      <c r="PNB65" s="2"/>
      <c r="PNC65" s="2"/>
      <c r="PND65" s="2"/>
      <c r="PNE65" s="2"/>
      <c r="PNF65" s="2"/>
      <c r="PNG65" s="2"/>
      <c r="PNH65" s="2"/>
      <c r="PNI65" s="2"/>
      <c r="PNJ65" s="2"/>
      <c r="PNK65" s="2"/>
      <c r="PNL65" s="2"/>
      <c r="PNM65" s="2"/>
      <c r="PNN65" s="2"/>
      <c r="PNO65" s="2"/>
      <c r="PNP65" s="2"/>
      <c r="PNQ65" s="2"/>
      <c r="PNR65" s="2"/>
      <c r="PNS65" s="2"/>
      <c r="PNT65" s="2"/>
      <c r="PNU65" s="2"/>
      <c r="PNV65" s="2"/>
      <c r="PNW65" s="2"/>
      <c r="PNX65" s="2"/>
      <c r="PNY65" s="2"/>
      <c r="PNZ65" s="2"/>
      <c r="POA65" s="2"/>
      <c r="POB65" s="2"/>
      <c r="POC65" s="2"/>
      <c r="POD65" s="2"/>
      <c r="POE65" s="2"/>
      <c r="POF65" s="2"/>
      <c r="POG65" s="2"/>
      <c r="POH65" s="2"/>
      <c r="POI65" s="2"/>
      <c r="POJ65" s="2"/>
      <c r="POK65" s="2"/>
      <c r="POL65" s="2"/>
      <c r="POM65" s="2"/>
      <c r="PON65" s="2"/>
      <c r="POO65" s="2"/>
      <c r="POP65" s="2"/>
      <c r="POQ65" s="2"/>
      <c r="POR65" s="2"/>
      <c r="POS65" s="2"/>
      <c r="POT65" s="2"/>
      <c r="POU65" s="2"/>
      <c r="POV65" s="2"/>
      <c r="POW65" s="2"/>
      <c r="POX65" s="2"/>
      <c r="POY65" s="2"/>
      <c r="POZ65" s="2"/>
      <c r="PPA65" s="2"/>
      <c r="PPB65" s="2"/>
      <c r="PPC65" s="2"/>
      <c r="PPD65" s="2"/>
      <c r="PPE65" s="2"/>
      <c r="PPF65" s="2"/>
      <c r="PPG65" s="2"/>
      <c r="PPH65" s="2"/>
      <c r="PPI65" s="2"/>
      <c r="PPJ65" s="2"/>
      <c r="PPK65" s="2"/>
      <c r="PPL65" s="2"/>
      <c r="PPM65" s="2"/>
      <c r="PPN65" s="2"/>
      <c r="PPO65" s="2"/>
      <c r="PPP65" s="2"/>
      <c r="PPQ65" s="2"/>
      <c r="PPR65" s="2"/>
      <c r="PPS65" s="2"/>
      <c r="PPT65" s="2"/>
      <c r="PPU65" s="2"/>
      <c r="PPV65" s="2"/>
      <c r="PPW65" s="2"/>
      <c r="PPX65" s="2"/>
      <c r="PPY65" s="2"/>
      <c r="PPZ65" s="2"/>
      <c r="PQA65" s="2"/>
      <c r="PQB65" s="2"/>
      <c r="PQC65" s="2"/>
      <c r="PQD65" s="2"/>
      <c r="PQE65" s="2"/>
      <c r="PQF65" s="2"/>
      <c r="PQG65" s="2"/>
      <c r="PQH65" s="2"/>
      <c r="PQI65" s="2"/>
      <c r="PQJ65" s="2"/>
      <c r="PQK65" s="2"/>
      <c r="PQL65" s="2"/>
      <c r="PQM65" s="2"/>
      <c r="PQN65" s="2"/>
      <c r="PQO65" s="2"/>
      <c r="PQP65" s="2"/>
      <c r="PQQ65" s="2"/>
      <c r="PQR65" s="2"/>
      <c r="PQS65" s="2"/>
      <c r="PQT65" s="2"/>
      <c r="PQU65" s="2"/>
      <c r="PQV65" s="2"/>
      <c r="PQW65" s="2"/>
      <c r="PQX65" s="2"/>
      <c r="PQY65" s="2"/>
      <c r="PQZ65" s="2"/>
      <c r="PRA65" s="2"/>
      <c r="PRB65" s="2"/>
      <c r="PRC65" s="2"/>
      <c r="PRD65" s="2"/>
      <c r="PRE65" s="2"/>
      <c r="PRF65" s="2"/>
      <c r="PRG65" s="2"/>
      <c r="PRH65" s="2"/>
      <c r="PRI65" s="2"/>
      <c r="PRJ65" s="2"/>
      <c r="PRK65" s="2"/>
      <c r="PRL65" s="2"/>
      <c r="PRM65" s="2"/>
      <c r="PRN65" s="2"/>
      <c r="PRO65" s="2"/>
      <c r="PRP65" s="2"/>
      <c r="PRQ65" s="2"/>
      <c r="PRR65" s="2"/>
      <c r="PRS65" s="2"/>
      <c r="PRT65" s="2"/>
      <c r="PRU65" s="2"/>
      <c r="PRV65" s="2"/>
      <c r="PRW65" s="2"/>
      <c r="PRX65" s="2"/>
      <c r="PRY65" s="2"/>
      <c r="PRZ65" s="2"/>
      <c r="PSA65" s="2"/>
      <c r="PSB65" s="2"/>
      <c r="PSC65" s="2"/>
      <c r="PSD65" s="2"/>
      <c r="PSE65" s="2"/>
      <c r="PSF65" s="2"/>
      <c r="PSG65" s="2"/>
      <c r="PSH65" s="2"/>
      <c r="PSI65" s="2"/>
      <c r="PSJ65" s="2"/>
      <c r="PSK65" s="2"/>
      <c r="PSL65" s="2"/>
      <c r="PSM65" s="2"/>
      <c r="PSN65" s="2"/>
      <c r="PSO65" s="2"/>
      <c r="PSP65" s="2"/>
      <c r="PSQ65" s="2"/>
      <c r="PSR65" s="2"/>
      <c r="PSS65" s="2"/>
      <c r="PST65" s="2"/>
      <c r="PSU65" s="2"/>
      <c r="PSV65" s="2"/>
      <c r="PSW65" s="2"/>
      <c r="PSX65" s="2"/>
      <c r="PSY65" s="2"/>
      <c r="PSZ65" s="2"/>
      <c r="PTA65" s="2"/>
      <c r="PTB65" s="2"/>
      <c r="PTC65" s="2"/>
      <c r="PTD65" s="2"/>
      <c r="PTE65" s="2"/>
      <c r="PTF65" s="2"/>
      <c r="PTG65" s="2"/>
      <c r="PTH65" s="2"/>
      <c r="PTI65" s="2"/>
      <c r="PTJ65" s="2"/>
      <c r="PTK65" s="2"/>
      <c r="PTL65" s="2"/>
      <c r="PTM65" s="2"/>
      <c r="PTN65" s="2"/>
      <c r="PTO65" s="2"/>
      <c r="PTP65" s="2"/>
      <c r="PTQ65" s="2"/>
      <c r="PTR65" s="2"/>
      <c r="PTS65" s="2"/>
      <c r="PTT65" s="2"/>
      <c r="PTU65" s="2"/>
      <c r="PTV65" s="2"/>
      <c r="PTW65" s="2"/>
      <c r="PTX65" s="2"/>
      <c r="PTY65" s="2"/>
      <c r="PTZ65" s="2"/>
      <c r="PUA65" s="2"/>
      <c r="PUB65" s="2"/>
      <c r="PUC65" s="2"/>
      <c r="PUD65" s="2"/>
      <c r="PUE65" s="2"/>
      <c r="PUF65" s="2"/>
      <c r="PUG65" s="2"/>
      <c r="PUH65" s="2"/>
      <c r="PUI65" s="2"/>
      <c r="PUJ65" s="2"/>
      <c r="PUK65" s="2"/>
      <c r="PUL65" s="2"/>
      <c r="PUM65" s="2"/>
      <c r="PUN65" s="2"/>
      <c r="PUO65" s="2"/>
      <c r="PUP65" s="2"/>
      <c r="PUQ65" s="2"/>
      <c r="PUR65" s="2"/>
      <c r="PUS65" s="2"/>
      <c r="PUT65" s="2"/>
      <c r="PUU65" s="2"/>
      <c r="PUV65" s="2"/>
      <c r="PUW65" s="2"/>
      <c r="PUX65" s="2"/>
      <c r="PUY65" s="2"/>
      <c r="PUZ65" s="2"/>
      <c r="PVA65" s="2"/>
      <c r="PVB65" s="2"/>
      <c r="PVC65" s="2"/>
      <c r="PVD65" s="2"/>
      <c r="PVE65" s="2"/>
      <c r="PVF65" s="2"/>
      <c r="PVG65" s="2"/>
      <c r="PVH65" s="2"/>
      <c r="PVI65" s="2"/>
      <c r="PVJ65" s="2"/>
      <c r="PVK65" s="2"/>
      <c r="PVL65" s="2"/>
      <c r="PVM65" s="2"/>
      <c r="PVN65" s="2"/>
      <c r="PVO65" s="2"/>
      <c r="PVP65" s="2"/>
      <c r="PVQ65" s="2"/>
      <c r="PVR65" s="2"/>
      <c r="PVS65" s="2"/>
      <c r="PVT65" s="2"/>
      <c r="PVU65" s="2"/>
      <c r="PVV65" s="2"/>
      <c r="PVW65" s="2"/>
      <c r="PVX65" s="2"/>
      <c r="PVY65" s="2"/>
      <c r="PVZ65" s="2"/>
      <c r="PWA65" s="2"/>
      <c r="PWB65" s="2"/>
      <c r="PWC65" s="2"/>
      <c r="PWD65" s="2"/>
      <c r="PWE65" s="2"/>
      <c r="PWF65" s="2"/>
      <c r="PWG65" s="2"/>
      <c r="PWH65" s="2"/>
      <c r="PWI65" s="2"/>
      <c r="PWJ65" s="2"/>
      <c r="PWK65" s="2"/>
      <c r="PWL65" s="2"/>
      <c r="PWM65" s="2"/>
      <c r="PWN65" s="2"/>
      <c r="PWO65" s="2"/>
      <c r="PWP65" s="2"/>
      <c r="PWQ65" s="2"/>
      <c r="PWR65" s="2"/>
      <c r="PWS65" s="2"/>
      <c r="PWT65" s="2"/>
      <c r="PWU65" s="2"/>
      <c r="PWV65" s="2"/>
      <c r="PWW65" s="2"/>
      <c r="PWX65" s="2"/>
      <c r="PWY65" s="2"/>
      <c r="PWZ65" s="2"/>
      <c r="PXA65" s="2"/>
      <c r="PXB65" s="2"/>
      <c r="PXC65" s="2"/>
      <c r="PXD65" s="2"/>
      <c r="PXE65" s="2"/>
      <c r="PXF65" s="2"/>
      <c r="PXG65" s="2"/>
      <c r="PXH65" s="2"/>
      <c r="PXI65" s="2"/>
      <c r="PXJ65" s="2"/>
      <c r="PXK65" s="2"/>
      <c r="PXL65" s="2"/>
      <c r="PXM65" s="2"/>
      <c r="PXN65" s="2"/>
      <c r="PXO65" s="2"/>
      <c r="PXP65" s="2"/>
      <c r="PXQ65" s="2"/>
      <c r="PXR65" s="2"/>
      <c r="PXS65" s="2"/>
      <c r="PXT65" s="2"/>
      <c r="PXU65" s="2"/>
      <c r="PXV65" s="2"/>
      <c r="PXW65" s="2"/>
      <c r="PXX65" s="2"/>
      <c r="PXY65" s="2"/>
      <c r="PXZ65" s="2"/>
      <c r="PYA65" s="2"/>
      <c r="PYB65" s="2"/>
      <c r="PYC65" s="2"/>
      <c r="PYD65" s="2"/>
      <c r="PYE65" s="2"/>
      <c r="PYF65" s="2"/>
      <c r="PYG65" s="2"/>
      <c r="PYH65" s="2"/>
      <c r="PYI65" s="2"/>
      <c r="PYJ65" s="2"/>
      <c r="PYK65" s="2"/>
      <c r="PYL65" s="2"/>
      <c r="PYM65" s="2"/>
      <c r="PYN65" s="2"/>
      <c r="PYO65" s="2"/>
      <c r="PYP65" s="2"/>
      <c r="PYQ65" s="2"/>
      <c r="PYR65" s="2"/>
      <c r="PYS65" s="2"/>
      <c r="PYT65" s="2"/>
      <c r="PYU65" s="2"/>
      <c r="PYV65" s="2"/>
      <c r="PYW65" s="2"/>
      <c r="PYX65" s="2"/>
      <c r="PYY65" s="2"/>
      <c r="PYZ65" s="2"/>
      <c r="PZA65" s="2"/>
      <c r="PZB65" s="2"/>
      <c r="PZC65" s="2"/>
      <c r="PZD65" s="2"/>
      <c r="PZE65" s="2"/>
      <c r="PZF65" s="2"/>
      <c r="PZG65" s="2"/>
      <c r="PZH65" s="2"/>
      <c r="PZI65" s="2"/>
      <c r="PZJ65" s="2"/>
      <c r="PZK65" s="2"/>
      <c r="PZL65" s="2"/>
      <c r="PZM65" s="2"/>
      <c r="PZN65" s="2"/>
      <c r="PZO65" s="2"/>
      <c r="PZP65" s="2"/>
      <c r="PZQ65" s="2"/>
      <c r="PZR65" s="2"/>
      <c r="PZS65" s="2"/>
      <c r="PZT65" s="2"/>
      <c r="PZU65" s="2"/>
      <c r="PZV65" s="2"/>
      <c r="PZW65" s="2"/>
      <c r="PZX65" s="2"/>
      <c r="PZY65" s="2"/>
      <c r="PZZ65" s="2"/>
      <c r="QAA65" s="2"/>
      <c r="QAB65" s="2"/>
      <c r="QAC65" s="2"/>
      <c r="QAD65" s="2"/>
      <c r="QAE65" s="2"/>
      <c r="QAF65" s="2"/>
      <c r="QAG65" s="2"/>
      <c r="QAH65" s="2"/>
      <c r="QAI65" s="2"/>
      <c r="QAJ65" s="2"/>
      <c r="QAK65" s="2"/>
      <c r="QAL65" s="2"/>
      <c r="QAM65" s="2"/>
      <c r="QAN65" s="2"/>
      <c r="QAO65" s="2"/>
      <c r="QAP65" s="2"/>
      <c r="QAQ65" s="2"/>
      <c r="QAR65" s="2"/>
      <c r="QAS65" s="2"/>
      <c r="QAT65" s="2"/>
      <c r="QAU65" s="2"/>
      <c r="QAV65" s="2"/>
      <c r="QAW65" s="2"/>
      <c r="QAX65" s="2"/>
      <c r="QAY65" s="2"/>
      <c r="QAZ65" s="2"/>
      <c r="QBA65" s="2"/>
      <c r="QBB65" s="2"/>
      <c r="QBC65" s="2"/>
      <c r="QBD65" s="2"/>
      <c r="QBE65" s="2"/>
      <c r="QBF65" s="2"/>
      <c r="QBG65" s="2"/>
      <c r="QBH65" s="2"/>
      <c r="QBI65" s="2"/>
      <c r="QBJ65" s="2"/>
      <c r="QBK65" s="2"/>
      <c r="QBL65" s="2"/>
      <c r="QBM65" s="2"/>
      <c r="QBN65" s="2"/>
      <c r="QBO65" s="2"/>
      <c r="QBP65" s="2"/>
      <c r="QBQ65" s="2"/>
      <c r="QBR65" s="2"/>
      <c r="QBS65" s="2"/>
      <c r="QBT65" s="2"/>
      <c r="QBU65" s="2"/>
      <c r="QBV65" s="2"/>
      <c r="QBW65" s="2"/>
      <c r="QBX65" s="2"/>
      <c r="QBY65" s="2"/>
      <c r="QBZ65" s="2"/>
      <c r="QCA65" s="2"/>
      <c r="QCB65" s="2"/>
      <c r="QCC65" s="2"/>
      <c r="QCD65" s="2"/>
      <c r="QCE65" s="2"/>
      <c r="QCF65" s="2"/>
      <c r="QCG65" s="2"/>
      <c r="QCH65" s="2"/>
      <c r="QCI65" s="2"/>
      <c r="QCJ65" s="2"/>
      <c r="QCK65" s="2"/>
      <c r="QCL65" s="2"/>
      <c r="QCM65" s="2"/>
      <c r="QCN65" s="2"/>
      <c r="QCO65" s="2"/>
      <c r="QCP65" s="2"/>
      <c r="QCQ65" s="2"/>
      <c r="QCR65" s="2"/>
      <c r="QCS65" s="2"/>
      <c r="QCT65" s="2"/>
      <c r="QCU65" s="2"/>
      <c r="QCV65" s="2"/>
      <c r="QCW65" s="2"/>
      <c r="QCX65" s="2"/>
      <c r="QCY65" s="2"/>
      <c r="QCZ65" s="2"/>
      <c r="QDA65" s="2"/>
      <c r="QDB65" s="2"/>
      <c r="QDC65" s="2"/>
      <c r="QDD65" s="2"/>
      <c r="QDE65" s="2"/>
      <c r="QDF65" s="2"/>
      <c r="QDG65" s="2"/>
      <c r="QDH65" s="2"/>
      <c r="QDI65" s="2"/>
      <c r="QDJ65" s="2"/>
      <c r="QDK65" s="2"/>
      <c r="QDL65" s="2"/>
      <c r="QDM65" s="2"/>
      <c r="QDN65" s="2"/>
      <c r="QDO65" s="2"/>
      <c r="QDP65" s="2"/>
      <c r="QDQ65" s="2"/>
      <c r="QDR65" s="2"/>
      <c r="QDS65" s="2"/>
      <c r="QDT65" s="2"/>
      <c r="QDU65" s="2"/>
      <c r="QDV65" s="2"/>
      <c r="QDW65" s="2"/>
      <c r="QDX65" s="2"/>
      <c r="QDY65" s="2"/>
      <c r="QDZ65" s="2"/>
      <c r="QEA65" s="2"/>
      <c r="QEB65" s="2"/>
      <c r="QEC65" s="2"/>
      <c r="QED65" s="2"/>
      <c r="QEE65" s="2"/>
      <c r="QEF65" s="2"/>
      <c r="QEG65" s="2"/>
      <c r="QEH65" s="2"/>
      <c r="QEI65" s="2"/>
      <c r="QEJ65" s="2"/>
      <c r="QEK65" s="2"/>
      <c r="QEL65" s="2"/>
      <c r="QEM65" s="2"/>
      <c r="QEN65" s="2"/>
      <c r="QEO65" s="2"/>
      <c r="QEP65" s="2"/>
      <c r="QEQ65" s="2"/>
      <c r="QER65" s="2"/>
      <c r="QES65" s="2"/>
      <c r="QET65" s="2"/>
      <c r="QEU65" s="2"/>
      <c r="QEV65" s="2"/>
      <c r="QEW65" s="2"/>
      <c r="QEX65" s="2"/>
      <c r="QEY65" s="2"/>
      <c r="QEZ65" s="2"/>
      <c r="QFA65" s="2"/>
      <c r="QFB65" s="2"/>
      <c r="QFC65" s="2"/>
      <c r="QFD65" s="2"/>
      <c r="QFE65" s="2"/>
      <c r="QFF65" s="2"/>
      <c r="QFG65" s="2"/>
      <c r="QFH65" s="2"/>
      <c r="QFI65" s="2"/>
      <c r="QFJ65" s="2"/>
      <c r="QFK65" s="2"/>
      <c r="QFL65" s="2"/>
      <c r="QFM65" s="2"/>
      <c r="QFN65" s="2"/>
      <c r="QFO65" s="2"/>
      <c r="QFP65" s="2"/>
      <c r="QFQ65" s="2"/>
      <c r="QFR65" s="2"/>
      <c r="QFS65" s="2"/>
      <c r="QFT65" s="2"/>
      <c r="QFU65" s="2"/>
      <c r="QFV65" s="2"/>
      <c r="QFW65" s="2"/>
      <c r="QFX65" s="2"/>
      <c r="QFY65" s="2"/>
      <c r="QFZ65" s="2"/>
      <c r="QGA65" s="2"/>
      <c r="QGB65" s="2"/>
      <c r="QGC65" s="2"/>
      <c r="QGD65" s="2"/>
      <c r="QGE65" s="2"/>
      <c r="QGF65" s="2"/>
      <c r="QGG65" s="2"/>
      <c r="QGH65" s="2"/>
      <c r="QGI65" s="2"/>
      <c r="QGJ65" s="2"/>
      <c r="QGK65" s="2"/>
      <c r="QGL65" s="2"/>
      <c r="QGM65" s="2"/>
      <c r="QGN65" s="2"/>
      <c r="QGO65" s="2"/>
      <c r="QGP65" s="2"/>
      <c r="QGQ65" s="2"/>
      <c r="QGR65" s="2"/>
      <c r="QGS65" s="2"/>
      <c r="QGT65" s="2"/>
      <c r="QGU65" s="2"/>
      <c r="QGV65" s="2"/>
      <c r="QGW65" s="2"/>
      <c r="QGX65" s="2"/>
      <c r="QGY65" s="2"/>
      <c r="QGZ65" s="2"/>
      <c r="QHA65" s="2"/>
      <c r="QHB65" s="2"/>
      <c r="QHC65" s="2"/>
      <c r="QHD65" s="2"/>
      <c r="QHE65" s="2"/>
      <c r="QHF65" s="2"/>
      <c r="QHG65" s="2"/>
      <c r="QHH65" s="2"/>
      <c r="QHI65" s="2"/>
      <c r="QHJ65" s="2"/>
      <c r="QHK65" s="2"/>
      <c r="QHL65" s="2"/>
      <c r="QHM65" s="2"/>
      <c r="QHN65" s="2"/>
      <c r="QHO65" s="2"/>
      <c r="QHP65" s="2"/>
      <c r="QHQ65" s="2"/>
      <c r="QHR65" s="2"/>
      <c r="QHS65" s="2"/>
      <c r="QHT65" s="2"/>
      <c r="QHU65" s="2"/>
      <c r="QHV65" s="2"/>
      <c r="QHW65" s="2"/>
      <c r="QHX65" s="2"/>
      <c r="QHY65" s="2"/>
      <c r="QHZ65" s="2"/>
      <c r="QIA65" s="2"/>
      <c r="QIB65" s="2"/>
      <c r="QIC65" s="2"/>
      <c r="QID65" s="2"/>
      <c r="QIE65" s="2"/>
      <c r="QIF65" s="2"/>
      <c r="QIG65" s="2"/>
      <c r="QIH65" s="2"/>
      <c r="QII65" s="2"/>
      <c r="QIJ65" s="2"/>
      <c r="QIK65" s="2"/>
      <c r="QIL65" s="2"/>
      <c r="QIM65" s="2"/>
      <c r="QIN65" s="2"/>
      <c r="QIO65" s="2"/>
      <c r="QIP65" s="2"/>
      <c r="QIQ65" s="2"/>
      <c r="QIR65" s="2"/>
      <c r="QIS65" s="2"/>
      <c r="QIT65" s="2"/>
      <c r="QIU65" s="2"/>
      <c r="QIV65" s="2"/>
      <c r="QIW65" s="2"/>
      <c r="QIX65" s="2"/>
      <c r="QIY65" s="2"/>
      <c r="QIZ65" s="2"/>
      <c r="QJA65" s="2"/>
      <c r="QJB65" s="2"/>
      <c r="QJC65" s="2"/>
      <c r="QJD65" s="2"/>
      <c r="QJE65" s="2"/>
      <c r="QJF65" s="2"/>
      <c r="QJG65" s="2"/>
      <c r="QJH65" s="2"/>
      <c r="QJI65" s="2"/>
      <c r="QJJ65" s="2"/>
      <c r="QJK65" s="2"/>
      <c r="QJL65" s="2"/>
      <c r="QJM65" s="2"/>
      <c r="QJN65" s="2"/>
      <c r="QJO65" s="2"/>
      <c r="QJP65" s="2"/>
      <c r="QJQ65" s="2"/>
      <c r="QJR65" s="2"/>
      <c r="QJS65" s="2"/>
      <c r="QJT65" s="2"/>
      <c r="QJU65" s="2"/>
      <c r="QJV65" s="2"/>
      <c r="QJW65" s="2"/>
      <c r="QJX65" s="2"/>
      <c r="QJY65" s="2"/>
      <c r="QJZ65" s="2"/>
      <c r="QKA65" s="2"/>
      <c r="QKB65" s="2"/>
      <c r="QKC65" s="2"/>
      <c r="QKD65" s="2"/>
      <c r="QKE65" s="2"/>
      <c r="QKF65" s="2"/>
      <c r="QKG65" s="2"/>
      <c r="QKH65" s="2"/>
      <c r="QKI65" s="2"/>
      <c r="QKJ65" s="2"/>
      <c r="QKK65" s="2"/>
      <c r="QKL65" s="2"/>
      <c r="QKM65" s="2"/>
      <c r="QKN65" s="2"/>
      <c r="QKO65" s="2"/>
      <c r="QKP65" s="2"/>
      <c r="QKQ65" s="2"/>
      <c r="QKR65" s="2"/>
      <c r="QKS65" s="2"/>
      <c r="QKT65" s="2"/>
      <c r="QKU65" s="2"/>
      <c r="QKV65" s="2"/>
      <c r="QKW65" s="2"/>
      <c r="QKX65" s="2"/>
      <c r="QKY65" s="2"/>
      <c r="QKZ65" s="2"/>
      <c r="QLA65" s="2"/>
      <c r="QLB65" s="2"/>
      <c r="QLC65" s="2"/>
      <c r="QLD65" s="2"/>
      <c r="QLE65" s="2"/>
      <c r="QLF65" s="2"/>
      <c r="QLG65" s="2"/>
      <c r="QLH65" s="2"/>
      <c r="QLI65" s="2"/>
      <c r="QLJ65" s="2"/>
      <c r="QLK65" s="2"/>
      <c r="QLL65" s="2"/>
      <c r="QLM65" s="2"/>
      <c r="QLN65" s="2"/>
      <c r="QLO65" s="2"/>
      <c r="QLP65" s="2"/>
      <c r="QLQ65" s="2"/>
      <c r="QLR65" s="2"/>
      <c r="QLS65" s="2"/>
      <c r="QLT65" s="2"/>
      <c r="QLU65" s="2"/>
      <c r="QLV65" s="2"/>
      <c r="QLW65" s="2"/>
      <c r="QLX65" s="2"/>
      <c r="QLY65" s="2"/>
      <c r="QLZ65" s="2"/>
      <c r="QMA65" s="2"/>
      <c r="QMB65" s="2"/>
      <c r="QMC65" s="2"/>
      <c r="QMD65" s="2"/>
      <c r="QME65" s="2"/>
      <c r="QMF65" s="2"/>
      <c r="QMG65" s="2"/>
      <c r="QMH65" s="2"/>
      <c r="QMI65" s="2"/>
      <c r="QMJ65" s="2"/>
      <c r="QMK65" s="2"/>
      <c r="QML65" s="2"/>
      <c r="QMM65" s="2"/>
      <c r="QMN65" s="2"/>
      <c r="QMO65" s="2"/>
      <c r="QMP65" s="2"/>
      <c r="QMQ65" s="2"/>
      <c r="QMR65" s="2"/>
      <c r="QMS65" s="2"/>
      <c r="QMT65" s="2"/>
      <c r="QMU65" s="2"/>
      <c r="QMV65" s="2"/>
      <c r="QMW65" s="2"/>
      <c r="QMX65" s="2"/>
      <c r="QMY65" s="2"/>
      <c r="QMZ65" s="2"/>
      <c r="QNA65" s="2"/>
      <c r="QNB65" s="2"/>
      <c r="QNC65" s="2"/>
      <c r="QND65" s="2"/>
      <c r="QNE65" s="2"/>
      <c r="QNF65" s="2"/>
      <c r="QNG65" s="2"/>
      <c r="QNH65" s="2"/>
      <c r="QNI65" s="2"/>
      <c r="QNJ65" s="2"/>
      <c r="QNK65" s="2"/>
      <c r="QNL65" s="2"/>
      <c r="QNM65" s="2"/>
      <c r="QNN65" s="2"/>
      <c r="QNO65" s="2"/>
      <c r="QNP65" s="2"/>
      <c r="QNQ65" s="2"/>
      <c r="QNR65" s="2"/>
      <c r="QNS65" s="2"/>
      <c r="QNT65" s="2"/>
      <c r="QNU65" s="2"/>
      <c r="QNV65" s="2"/>
      <c r="QNW65" s="2"/>
      <c r="QNX65" s="2"/>
      <c r="QNY65" s="2"/>
      <c r="QNZ65" s="2"/>
      <c r="QOA65" s="2"/>
      <c r="QOB65" s="2"/>
      <c r="QOC65" s="2"/>
      <c r="QOD65" s="2"/>
      <c r="QOE65" s="2"/>
      <c r="QOF65" s="2"/>
      <c r="QOG65" s="2"/>
      <c r="QOH65" s="2"/>
      <c r="QOI65" s="2"/>
      <c r="QOJ65" s="2"/>
      <c r="QOK65" s="2"/>
      <c r="QOL65" s="2"/>
      <c r="QOM65" s="2"/>
      <c r="QON65" s="2"/>
      <c r="QOO65" s="2"/>
      <c r="QOP65" s="2"/>
      <c r="QOQ65" s="2"/>
      <c r="QOR65" s="2"/>
      <c r="QOS65" s="2"/>
      <c r="QOT65" s="2"/>
      <c r="QOU65" s="2"/>
      <c r="QOV65" s="2"/>
      <c r="QOW65" s="2"/>
      <c r="QOX65" s="2"/>
      <c r="QOY65" s="2"/>
      <c r="QOZ65" s="2"/>
      <c r="QPA65" s="2"/>
      <c r="QPB65" s="2"/>
      <c r="QPC65" s="2"/>
      <c r="QPD65" s="2"/>
      <c r="QPE65" s="2"/>
      <c r="QPF65" s="2"/>
      <c r="QPG65" s="2"/>
      <c r="QPH65" s="2"/>
      <c r="QPI65" s="2"/>
      <c r="QPJ65" s="2"/>
      <c r="QPK65" s="2"/>
      <c r="QPL65" s="2"/>
      <c r="QPM65" s="2"/>
      <c r="QPN65" s="2"/>
      <c r="QPO65" s="2"/>
      <c r="QPP65" s="2"/>
      <c r="QPQ65" s="2"/>
      <c r="QPR65" s="2"/>
      <c r="QPS65" s="2"/>
      <c r="QPT65" s="2"/>
      <c r="QPU65" s="2"/>
      <c r="QPV65" s="2"/>
      <c r="QPW65" s="2"/>
      <c r="QPX65" s="2"/>
      <c r="QPY65" s="2"/>
      <c r="QPZ65" s="2"/>
      <c r="QQA65" s="2"/>
      <c r="QQB65" s="2"/>
      <c r="QQC65" s="2"/>
      <c r="QQD65" s="2"/>
      <c r="QQE65" s="2"/>
      <c r="QQF65" s="2"/>
      <c r="QQG65" s="2"/>
      <c r="QQH65" s="2"/>
      <c r="QQI65" s="2"/>
      <c r="QQJ65" s="2"/>
      <c r="QQK65" s="2"/>
      <c r="QQL65" s="2"/>
      <c r="QQM65" s="2"/>
      <c r="QQN65" s="2"/>
      <c r="QQO65" s="2"/>
      <c r="QQP65" s="2"/>
      <c r="QQQ65" s="2"/>
      <c r="QQR65" s="2"/>
      <c r="QQS65" s="2"/>
      <c r="QQT65" s="2"/>
      <c r="QQU65" s="2"/>
      <c r="QQV65" s="2"/>
      <c r="QQW65" s="2"/>
      <c r="QQX65" s="2"/>
      <c r="QQY65" s="2"/>
      <c r="QQZ65" s="2"/>
      <c r="QRA65" s="2"/>
      <c r="QRB65" s="2"/>
      <c r="QRC65" s="2"/>
      <c r="QRD65" s="2"/>
      <c r="QRE65" s="2"/>
      <c r="QRF65" s="2"/>
      <c r="QRG65" s="2"/>
      <c r="QRH65" s="2"/>
      <c r="QRI65" s="2"/>
      <c r="QRJ65" s="2"/>
      <c r="QRK65" s="2"/>
      <c r="QRL65" s="2"/>
      <c r="QRM65" s="2"/>
      <c r="QRN65" s="2"/>
      <c r="QRO65" s="2"/>
      <c r="QRP65" s="2"/>
      <c r="QRQ65" s="2"/>
      <c r="QRR65" s="2"/>
      <c r="QRS65" s="2"/>
      <c r="QRT65" s="2"/>
      <c r="QRU65" s="2"/>
      <c r="QRV65" s="2"/>
      <c r="QRW65" s="2"/>
      <c r="QRX65" s="2"/>
      <c r="QRY65" s="2"/>
      <c r="QRZ65" s="2"/>
      <c r="QSA65" s="2"/>
      <c r="QSB65" s="2"/>
      <c r="QSC65" s="2"/>
      <c r="QSD65" s="2"/>
      <c r="QSE65" s="2"/>
      <c r="QSF65" s="2"/>
      <c r="QSG65" s="2"/>
      <c r="QSH65" s="2"/>
      <c r="QSI65" s="2"/>
      <c r="QSJ65" s="2"/>
      <c r="QSK65" s="2"/>
      <c r="QSL65" s="2"/>
      <c r="QSM65" s="2"/>
      <c r="QSN65" s="2"/>
      <c r="QSO65" s="2"/>
      <c r="QSP65" s="2"/>
      <c r="QSQ65" s="2"/>
      <c r="QSR65" s="2"/>
      <c r="QSS65" s="2"/>
      <c r="QST65" s="2"/>
      <c r="QSU65" s="2"/>
      <c r="QSV65" s="2"/>
      <c r="QSW65" s="2"/>
      <c r="QSX65" s="2"/>
      <c r="QSY65" s="2"/>
      <c r="QSZ65" s="2"/>
      <c r="QTA65" s="2"/>
      <c r="QTB65" s="2"/>
      <c r="QTC65" s="2"/>
      <c r="QTD65" s="2"/>
      <c r="QTE65" s="2"/>
      <c r="QTF65" s="2"/>
      <c r="QTG65" s="2"/>
      <c r="QTH65" s="2"/>
      <c r="QTI65" s="2"/>
      <c r="QTJ65" s="2"/>
      <c r="QTK65" s="2"/>
      <c r="QTL65" s="2"/>
      <c r="QTM65" s="2"/>
      <c r="QTN65" s="2"/>
      <c r="QTO65" s="2"/>
      <c r="QTP65" s="2"/>
      <c r="QTQ65" s="2"/>
      <c r="QTR65" s="2"/>
      <c r="QTS65" s="2"/>
      <c r="QTT65" s="2"/>
      <c r="QTU65" s="2"/>
      <c r="QTV65" s="2"/>
      <c r="QTW65" s="2"/>
      <c r="QTX65" s="2"/>
      <c r="QTY65" s="2"/>
      <c r="QTZ65" s="2"/>
      <c r="QUA65" s="2"/>
      <c r="QUB65" s="2"/>
      <c r="QUC65" s="2"/>
      <c r="QUD65" s="2"/>
      <c r="QUE65" s="2"/>
      <c r="QUF65" s="2"/>
      <c r="QUG65" s="2"/>
      <c r="QUH65" s="2"/>
      <c r="QUI65" s="2"/>
      <c r="QUJ65" s="2"/>
      <c r="QUK65" s="2"/>
      <c r="QUL65" s="2"/>
      <c r="QUM65" s="2"/>
      <c r="QUN65" s="2"/>
      <c r="QUO65" s="2"/>
      <c r="QUP65" s="2"/>
      <c r="QUQ65" s="2"/>
      <c r="QUR65" s="2"/>
      <c r="QUS65" s="2"/>
      <c r="QUT65" s="2"/>
      <c r="QUU65" s="2"/>
      <c r="QUV65" s="2"/>
      <c r="QUW65" s="2"/>
      <c r="QUX65" s="2"/>
      <c r="QUY65" s="2"/>
      <c r="QUZ65" s="2"/>
      <c r="QVA65" s="2"/>
      <c r="QVB65" s="2"/>
      <c r="QVC65" s="2"/>
      <c r="QVD65" s="2"/>
      <c r="QVE65" s="2"/>
      <c r="QVF65" s="2"/>
      <c r="QVG65" s="2"/>
      <c r="QVH65" s="2"/>
      <c r="QVI65" s="2"/>
      <c r="QVJ65" s="2"/>
      <c r="QVK65" s="2"/>
      <c r="QVL65" s="2"/>
      <c r="QVM65" s="2"/>
      <c r="QVN65" s="2"/>
      <c r="QVO65" s="2"/>
      <c r="QVP65" s="2"/>
      <c r="QVQ65" s="2"/>
      <c r="QVR65" s="2"/>
      <c r="QVS65" s="2"/>
      <c r="QVT65" s="2"/>
      <c r="QVU65" s="2"/>
      <c r="QVV65" s="2"/>
      <c r="QVW65" s="2"/>
      <c r="QVX65" s="2"/>
      <c r="QVY65" s="2"/>
      <c r="QVZ65" s="2"/>
      <c r="QWA65" s="2"/>
      <c r="QWB65" s="2"/>
      <c r="QWC65" s="2"/>
      <c r="QWD65" s="2"/>
      <c r="QWE65" s="2"/>
      <c r="QWF65" s="2"/>
      <c r="QWG65" s="2"/>
      <c r="QWH65" s="2"/>
      <c r="QWI65" s="2"/>
      <c r="QWJ65" s="2"/>
      <c r="QWK65" s="2"/>
      <c r="QWL65" s="2"/>
      <c r="QWM65" s="2"/>
      <c r="QWN65" s="2"/>
      <c r="QWO65" s="2"/>
      <c r="QWP65" s="2"/>
      <c r="QWQ65" s="2"/>
      <c r="QWR65" s="2"/>
      <c r="QWS65" s="2"/>
      <c r="QWT65" s="2"/>
      <c r="QWU65" s="2"/>
      <c r="QWV65" s="2"/>
      <c r="QWW65" s="2"/>
      <c r="QWX65" s="2"/>
      <c r="QWY65" s="2"/>
      <c r="QWZ65" s="2"/>
      <c r="QXA65" s="2"/>
      <c r="QXB65" s="2"/>
      <c r="QXC65" s="2"/>
      <c r="QXD65" s="2"/>
      <c r="QXE65" s="2"/>
      <c r="QXF65" s="2"/>
      <c r="QXG65" s="2"/>
      <c r="QXH65" s="2"/>
      <c r="QXI65" s="2"/>
      <c r="QXJ65" s="2"/>
      <c r="QXK65" s="2"/>
      <c r="QXL65" s="2"/>
      <c r="QXM65" s="2"/>
      <c r="QXN65" s="2"/>
      <c r="QXO65" s="2"/>
      <c r="QXP65" s="2"/>
      <c r="QXQ65" s="2"/>
      <c r="QXR65" s="2"/>
      <c r="QXS65" s="2"/>
      <c r="QXT65" s="2"/>
      <c r="QXU65" s="2"/>
      <c r="QXV65" s="2"/>
      <c r="QXW65" s="2"/>
      <c r="QXX65" s="2"/>
      <c r="QXY65" s="2"/>
      <c r="QXZ65" s="2"/>
      <c r="QYA65" s="2"/>
      <c r="QYB65" s="2"/>
      <c r="QYC65" s="2"/>
      <c r="QYD65" s="2"/>
      <c r="QYE65" s="2"/>
      <c r="QYF65" s="2"/>
      <c r="QYG65" s="2"/>
      <c r="QYH65" s="2"/>
      <c r="QYI65" s="2"/>
      <c r="QYJ65" s="2"/>
      <c r="QYK65" s="2"/>
      <c r="QYL65" s="2"/>
      <c r="QYM65" s="2"/>
      <c r="QYN65" s="2"/>
      <c r="QYO65" s="2"/>
      <c r="QYP65" s="2"/>
      <c r="QYQ65" s="2"/>
      <c r="QYR65" s="2"/>
      <c r="QYS65" s="2"/>
      <c r="QYT65" s="2"/>
      <c r="QYU65" s="2"/>
      <c r="QYV65" s="2"/>
      <c r="QYW65" s="2"/>
      <c r="QYX65" s="2"/>
      <c r="QYY65" s="2"/>
      <c r="QYZ65" s="2"/>
      <c r="QZA65" s="2"/>
      <c r="QZB65" s="2"/>
      <c r="QZC65" s="2"/>
      <c r="QZD65" s="2"/>
      <c r="QZE65" s="2"/>
      <c r="QZF65" s="2"/>
      <c r="QZG65" s="2"/>
      <c r="QZH65" s="2"/>
      <c r="QZI65" s="2"/>
      <c r="QZJ65" s="2"/>
      <c r="QZK65" s="2"/>
      <c r="QZL65" s="2"/>
      <c r="QZM65" s="2"/>
      <c r="QZN65" s="2"/>
      <c r="QZO65" s="2"/>
      <c r="QZP65" s="2"/>
      <c r="QZQ65" s="2"/>
      <c r="QZR65" s="2"/>
      <c r="QZS65" s="2"/>
      <c r="QZT65" s="2"/>
      <c r="QZU65" s="2"/>
      <c r="QZV65" s="2"/>
      <c r="QZW65" s="2"/>
      <c r="QZX65" s="2"/>
      <c r="QZY65" s="2"/>
      <c r="QZZ65" s="2"/>
      <c r="RAA65" s="2"/>
      <c r="RAB65" s="2"/>
      <c r="RAC65" s="2"/>
      <c r="RAD65" s="2"/>
      <c r="RAE65" s="2"/>
      <c r="RAF65" s="2"/>
      <c r="RAG65" s="2"/>
      <c r="RAH65" s="2"/>
      <c r="RAI65" s="2"/>
      <c r="RAJ65" s="2"/>
      <c r="RAK65" s="2"/>
      <c r="RAL65" s="2"/>
      <c r="RAM65" s="2"/>
      <c r="RAN65" s="2"/>
      <c r="RAO65" s="2"/>
      <c r="RAP65" s="2"/>
      <c r="RAQ65" s="2"/>
      <c r="RAR65" s="2"/>
      <c r="RAS65" s="2"/>
      <c r="RAT65" s="2"/>
      <c r="RAU65" s="2"/>
      <c r="RAV65" s="2"/>
      <c r="RAW65" s="2"/>
      <c r="RAX65" s="2"/>
      <c r="RAY65" s="2"/>
      <c r="RAZ65" s="2"/>
      <c r="RBA65" s="2"/>
      <c r="RBB65" s="2"/>
      <c r="RBC65" s="2"/>
      <c r="RBD65" s="2"/>
      <c r="RBE65" s="2"/>
      <c r="RBF65" s="2"/>
      <c r="RBG65" s="2"/>
      <c r="RBH65" s="2"/>
      <c r="RBI65" s="2"/>
      <c r="RBJ65" s="2"/>
      <c r="RBK65" s="2"/>
      <c r="RBL65" s="2"/>
      <c r="RBM65" s="2"/>
      <c r="RBN65" s="2"/>
      <c r="RBO65" s="2"/>
      <c r="RBP65" s="2"/>
      <c r="RBQ65" s="2"/>
      <c r="RBR65" s="2"/>
      <c r="RBS65" s="2"/>
      <c r="RBT65" s="2"/>
      <c r="RBU65" s="2"/>
      <c r="RBV65" s="2"/>
      <c r="RBW65" s="2"/>
      <c r="RBX65" s="2"/>
      <c r="RBY65" s="2"/>
      <c r="RBZ65" s="2"/>
      <c r="RCA65" s="2"/>
      <c r="RCB65" s="2"/>
      <c r="RCC65" s="2"/>
      <c r="RCD65" s="2"/>
      <c r="RCE65" s="2"/>
      <c r="RCF65" s="2"/>
      <c r="RCG65" s="2"/>
      <c r="RCH65" s="2"/>
      <c r="RCI65" s="2"/>
      <c r="RCJ65" s="2"/>
      <c r="RCK65" s="2"/>
      <c r="RCL65" s="2"/>
      <c r="RCM65" s="2"/>
      <c r="RCN65" s="2"/>
      <c r="RCO65" s="2"/>
      <c r="RCP65" s="2"/>
      <c r="RCQ65" s="2"/>
      <c r="RCR65" s="2"/>
      <c r="RCS65" s="2"/>
      <c r="RCT65" s="2"/>
      <c r="RCU65" s="2"/>
      <c r="RCV65" s="2"/>
      <c r="RCW65" s="2"/>
      <c r="RCX65" s="2"/>
      <c r="RCY65" s="2"/>
      <c r="RCZ65" s="2"/>
      <c r="RDA65" s="2"/>
      <c r="RDB65" s="2"/>
      <c r="RDC65" s="2"/>
      <c r="RDD65" s="2"/>
      <c r="RDE65" s="2"/>
      <c r="RDF65" s="2"/>
      <c r="RDG65" s="2"/>
      <c r="RDH65" s="2"/>
      <c r="RDI65" s="2"/>
      <c r="RDJ65" s="2"/>
      <c r="RDK65" s="2"/>
      <c r="RDL65" s="2"/>
      <c r="RDM65" s="2"/>
      <c r="RDN65" s="2"/>
      <c r="RDO65" s="2"/>
      <c r="RDP65" s="2"/>
      <c r="RDQ65" s="2"/>
      <c r="RDR65" s="2"/>
      <c r="RDS65" s="2"/>
      <c r="RDT65" s="2"/>
      <c r="RDU65" s="2"/>
      <c r="RDV65" s="2"/>
      <c r="RDW65" s="2"/>
      <c r="RDX65" s="2"/>
      <c r="RDY65" s="2"/>
      <c r="RDZ65" s="2"/>
      <c r="REA65" s="2"/>
      <c r="REB65" s="2"/>
      <c r="REC65" s="2"/>
      <c r="RED65" s="2"/>
      <c r="REE65" s="2"/>
      <c r="REF65" s="2"/>
      <c r="REG65" s="2"/>
      <c r="REH65" s="2"/>
      <c r="REI65" s="2"/>
      <c r="REJ65" s="2"/>
      <c r="REK65" s="2"/>
      <c r="REL65" s="2"/>
      <c r="REM65" s="2"/>
      <c r="REN65" s="2"/>
      <c r="REO65" s="2"/>
      <c r="REP65" s="2"/>
      <c r="REQ65" s="2"/>
      <c r="RER65" s="2"/>
      <c r="RES65" s="2"/>
      <c r="RET65" s="2"/>
      <c r="REU65" s="2"/>
      <c r="REV65" s="2"/>
      <c r="REW65" s="2"/>
      <c r="REX65" s="2"/>
      <c r="REY65" s="2"/>
      <c r="REZ65" s="2"/>
      <c r="RFA65" s="2"/>
      <c r="RFB65" s="2"/>
      <c r="RFC65" s="2"/>
      <c r="RFD65" s="2"/>
      <c r="RFE65" s="2"/>
      <c r="RFF65" s="2"/>
      <c r="RFG65" s="2"/>
      <c r="RFH65" s="2"/>
      <c r="RFI65" s="2"/>
      <c r="RFJ65" s="2"/>
      <c r="RFK65" s="2"/>
      <c r="RFL65" s="2"/>
      <c r="RFM65" s="2"/>
      <c r="RFN65" s="2"/>
      <c r="RFO65" s="2"/>
      <c r="RFP65" s="2"/>
      <c r="RFQ65" s="2"/>
      <c r="RFR65" s="2"/>
      <c r="RFS65" s="2"/>
      <c r="RFT65" s="2"/>
      <c r="RFU65" s="2"/>
      <c r="RFV65" s="2"/>
      <c r="RFW65" s="2"/>
      <c r="RFX65" s="2"/>
      <c r="RFY65" s="2"/>
      <c r="RFZ65" s="2"/>
      <c r="RGA65" s="2"/>
      <c r="RGB65" s="2"/>
      <c r="RGC65" s="2"/>
      <c r="RGD65" s="2"/>
      <c r="RGE65" s="2"/>
      <c r="RGF65" s="2"/>
      <c r="RGG65" s="2"/>
      <c r="RGH65" s="2"/>
      <c r="RGI65" s="2"/>
      <c r="RGJ65" s="2"/>
      <c r="RGK65" s="2"/>
      <c r="RGL65" s="2"/>
      <c r="RGM65" s="2"/>
      <c r="RGN65" s="2"/>
      <c r="RGO65" s="2"/>
      <c r="RGP65" s="2"/>
      <c r="RGQ65" s="2"/>
      <c r="RGR65" s="2"/>
      <c r="RGS65" s="2"/>
      <c r="RGT65" s="2"/>
      <c r="RGU65" s="2"/>
      <c r="RGV65" s="2"/>
      <c r="RGW65" s="2"/>
      <c r="RGX65" s="2"/>
      <c r="RGY65" s="2"/>
      <c r="RGZ65" s="2"/>
      <c r="RHA65" s="2"/>
      <c r="RHB65" s="2"/>
      <c r="RHC65" s="2"/>
      <c r="RHD65" s="2"/>
      <c r="RHE65" s="2"/>
      <c r="RHF65" s="2"/>
      <c r="RHG65" s="2"/>
      <c r="RHH65" s="2"/>
      <c r="RHI65" s="2"/>
      <c r="RHJ65" s="2"/>
      <c r="RHK65" s="2"/>
      <c r="RHL65" s="2"/>
      <c r="RHM65" s="2"/>
      <c r="RHN65" s="2"/>
      <c r="RHO65" s="2"/>
      <c r="RHP65" s="2"/>
      <c r="RHQ65" s="2"/>
      <c r="RHR65" s="2"/>
      <c r="RHS65" s="2"/>
      <c r="RHT65" s="2"/>
      <c r="RHU65" s="2"/>
      <c r="RHV65" s="2"/>
      <c r="RHW65" s="2"/>
      <c r="RHX65" s="2"/>
      <c r="RHY65" s="2"/>
      <c r="RHZ65" s="2"/>
      <c r="RIA65" s="2"/>
      <c r="RIB65" s="2"/>
      <c r="RIC65" s="2"/>
      <c r="RID65" s="2"/>
      <c r="RIE65" s="2"/>
      <c r="RIF65" s="2"/>
      <c r="RIG65" s="2"/>
      <c r="RIH65" s="2"/>
      <c r="RII65" s="2"/>
      <c r="RIJ65" s="2"/>
      <c r="RIK65" s="2"/>
      <c r="RIL65" s="2"/>
      <c r="RIM65" s="2"/>
      <c r="RIN65" s="2"/>
      <c r="RIO65" s="2"/>
      <c r="RIP65" s="2"/>
      <c r="RIQ65" s="2"/>
      <c r="RIR65" s="2"/>
      <c r="RIS65" s="2"/>
      <c r="RIT65" s="2"/>
      <c r="RIU65" s="2"/>
      <c r="RIV65" s="2"/>
      <c r="RIW65" s="2"/>
      <c r="RIX65" s="2"/>
      <c r="RIY65" s="2"/>
      <c r="RIZ65" s="2"/>
      <c r="RJA65" s="2"/>
      <c r="RJB65" s="2"/>
      <c r="RJC65" s="2"/>
      <c r="RJD65" s="2"/>
      <c r="RJE65" s="2"/>
      <c r="RJF65" s="2"/>
      <c r="RJG65" s="2"/>
      <c r="RJH65" s="2"/>
      <c r="RJI65" s="2"/>
      <c r="RJJ65" s="2"/>
      <c r="RJK65" s="2"/>
      <c r="RJL65" s="2"/>
      <c r="RJM65" s="2"/>
      <c r="RJN65" s="2"/>
      <c r="RJO65" s="2"/>
      <c r="RJP65" s="2"/>
      <c r="RJQ65" s="2"/>
      <c r="RJR65" s="2"/>
      <c r="RJS65" s="2"/>
      <c r="RJT65" s="2"/>
      <c r="RJU65" s="2"/>
      <c r="RJV65" s="2"/>
      <c r="RJW65" s="2"/>
      <c r="RJX65" s="2"/>
      <c r="RJY65" s="2"/>
      <c r="RJZ65" s="2"/>
      <c r="RKA65" s="2"/>
      <c r="RKB65" s="2"/>
      <c r="RKC65" s="2"/>
      <c r="RKD65" s="2"/>
      <c r="RKE65" s="2"/>
      <c r="RKF65" s="2"/>
      <c r="RKG65" s="2"/>
      <c r="RKH65" s="2"/>
      <c r="RKI65" s="2"/>
      <c r="RKJ65" s="2"/>
      <c r="RKK65" s="2"/>
      <c r="RKL65" s="2"/>
      <c r="RKM65" s="2"/>
      <c r="RKN65" s="2"/>
      <c r="RKO65" s="2"/>
      <c r="RKP65" s="2"/>
      <c r="RKQ65" s="2"/>
      <c r="RKR65" s="2"/>
      <c r="RKS65" s="2"/>
      <c r="RKT65" s="2"/>
      <c r="RKU65" s="2"/>
      <c r="RKV65" s="2"/>
      <c r="RKW65" s="2"/>
      <c r="RKX65" s="2"/>
      <c r="RKY65" s="2"/>
      <c r="RKZ65" s="2"/>
      <c r="RLA65" s="2"/>
      <c r="RLB65" s="2"/>
      <c r="RLC65" s="2"/>
      <c r="RLD65" s="2"/>
      <c r="RLE65" s="2"/>
      <c r="RLF65" s="2"/>
      <c r="RLG65" s="2"/>
      <c r="RLH65" s="2"/>
      <c r="RLI65" s="2"/>
      <c r="RLJ65" s="2"/>
      <c r="RLK65" s="2"/>
      <c r="RLL65" s="2"/>
      <c r="RLM65" s="2"/>
      <c r="RLN65" s="2"/>
      <c r="RLO65" s="2"/>
      <c r="RLP65" s="2"/>
      <c r="RLQ65" s="2"/>
      <c r="RLR65" s="2"/>
      <c r="RLS65" s="2"/>
      <c r="RLT65" s="2"/>
      <c r="RLU65" s="2"/>
      <c r="RLV65" s="2"/>
      <c r="RLW65" s="2"/>
      <c r="RLX65" s="2"/>
      <c r="RLY65" s="2"/>
      <c r="RLZ65" s="2"/>
      <c r="RMA65" s="2"/>
      <c r="RMB65" s="2"/>
      <c r="RMC65" s="2"/>
      <c r="RMD65" s="2"/>
      <c r="RME65" s="2"/>
      <c r="RMF65" s="2"/>
      <c r="RMG65" s="2"/>
      <c r="RMH65" s="2"/>
      <c r="RMI65" s="2"/>
      <c r="RMJ65" s="2"/>
      <c r="RMK65" s="2"/>
      <c r="RML65" s="2"/>
      <c r="RMM65" s="2"/>
      <c r="RMN65" s="2"/>
      <c r="RMO65" s="2"/>
      <c r="RMP65" s="2"/>
      <c r="RMQ65" s="2"/>
      <c r="RMR65" s="2"/>
      <c r="RMS65" s="2"/>
      <c r="RMT65" s="2"/>
      <c r="RMU65" s="2"/>
      <c r="RMV65" s="2"/>
      <c r="RMW65" s="2"/>
      <c r="RMX65" s="2"/>
      <c r="RMY65" s="2"/>
      <c r="RMZ65" s="2"/>
      <c r="RNA65" s="2"/>
      <c r="RNB65" s="2"/>
      <c r="RNC65" s="2"/>
      <c r="RND65" s="2"/>
      <c r="RNE65" s="2"/>
      <c r="RNF65" s="2"/>
      <c r="RNG65" s="2"/>
      <c r="RNH65" s="2"/>
      <c r="RNI65" s="2"/>
      <c r="RNJ65" s="2"/>
      <c r="RNK65" s="2"/>
      <c r="RNL65" s="2"/>
      <c r="RNM65" s="2"/>
      <c r="RNN65" s="2"/>
      <c r="RNO65" s="2"/>
      <c r="RNP65" s="2"/>
      <c r="RNQ65" s="2"/>
      <c r="RNR65" s="2"/>
      <c r="RNS65" s="2"/>
      <c r="RNT65" s="2"/>
      <c r="RNU65" s="2"/>
      <c r="RNV65" s="2"/>
      <c r="RNW65" s="2"/>
      <c r="RNX65" s="2"/>
      <c r="RNY65" s="2"/>
      <c r="RNZ65" s="2"/>
      <c r="ROA65" s="2"/>
      <c r="ROB65" s="2"/>
      <c r="ROC65" s="2"/>
      <c r="ROD65" s="2"/>
      <c r="ROE65" s="2"/>
      <c r="ROF65" s="2"/>
      <c r="ROG65" s="2"/>
      <c r="ROH65" s="2"/>
      <c r="ROI65" s="2"/>
      <c r="ROJ65" s="2"/>
      <c r="ROK65" s="2"/>
      <c r="ROL65" s="2"/>
      <c r="ROM65" s="2"/>
      <c r="RON65" s="2"/>
      <c r="ROO65" s="2"/>
      <c r="ROP65" s="2"/>
      <c r="ROQ65" s="2"/>
      <c r="ROR65" s="2"/>
      <c r="ROS65" s="2"/>
      <c r="ROT65" s="2"/>
      <c r="ROU65" s="2"/>
      <c r="ROV65" s="2"/>
      <c r="ROW65" s="2"/>
      <c r="ROX65" s="2"/>
      <c r="ROY65" s="2"/>
      <c r="ROZ65" s="2"/>
      <c r="RPA65" s="2"/>
      <c r="RPB65" s="2"/>
      <c r="RPC65" s="2"/>
      <c r="RPD65" s="2"/>
      <c r="RPE65" s="2"/>
      <c r="RPF65" s="2"/>
      <c r="RPG65" s="2"/>
      <c r="RPH65" s="2"/>
      <c r="RPI65" s="2"/>
      <c r="RPJ65" s="2"/>
      <c r="RPK65" s="2"/>
      <c r="RPL65" s="2"/>
      <c r="RPM65" s="2"/>
      <c r="RPN65" s="2"/>
      <c r="RPO65" s="2"/>
      <c r="RPP65" s="2"/>
      <c r="RPQ65" s="2"/>
      <c r="RPR65" s="2"/>
      <c r="RPS65" s="2"/>
      <c r="RPT65" s="2"/>
      <c r="RPU65" s="2"/>
      <c r="RPV65" s="2"/>
      <c r="RPW65" s="2"/>
      <c r="RPX65" s="2"/>
      <c r="RPY65" s="2"/>
      <c r="RPZ65" s="2"/>
      <c r="RQA65" s="2"/>
      <c r="RQB65" s="2"/>
      <c r="RQC65" s="2"/>
      <c r="RQD65" s="2"/>
      <c r="RQE65" s="2"/>
      <c r="RQF65" s="2"/>
      <c r="RQG65" s="2"/>
      <c r="RQH65" s="2"/>
      <c r="RQI65" s="2"/>
      <c r="RQJ65" s="2"/>
      <c r="RQK65" s="2"/>
      <c r="RQL65" s="2"/>
      <c r="RQM65" s="2"/>
      <c r="RQN65" s="2"/>
      <c r="RQO65" s="2"/>
      <c r="RQP65" s="2"/>
      <c r="RQQ65" s="2"/>
      <c r="RQR65" s="2"/>
      <c r="RQS65" s="2"/>
      <c r="RQT65" s="2"/>
      <c r="RQU65" s="2"/>
      <c r="RQV65" s="2"/>
      <c r="RQW65" s="2"/>
      <c r="RQX65" s="2"/>
      <c r="RQY65" s="2"/>
      <c r="RQZ65" s="2"/>
      <c r="RRA65" s="2"/>
      <c r="RRB65" s="2"/>
      <c r="RRC65" s="2"/>
      <c r="RRD65" s="2"/>
      <c r="RRE65" s="2"/>
      <c r="RRF65" s="2"/>
      <c r="RRG65" s="2"/>
      <c r="RRH65" s="2"/>
      <c r="RRI65" s="2"/>
      <c r="RRJ65" s="2"/>
      <c r="RRK65" s="2"/>
      <c r="RRL65" s="2"/>
      <c r="RRM65" s="2"/>
      <c r="RRN65" s="2"/>
      <c r="RRO65" s="2"/>
      <c r="RRP65" s="2"/>
      <c r="RRQ65" s="2"/>
      <c r="RRR65" s="2"/>
      <c r="RRS65" s="2"/>
      <c r="RRT65" s="2"/>
      <c r="RRU65" s="2"/>
      <c r="RRV65" s="2"/>
      <c r="RRW65" s="2"/>
      <c r="RRX65" s="2"/>
      <c r="RRY65" s="2"/>
      <c r="RRZ65" s="2"/>
      <c r="RSA65" s="2"/>
      <c r="RSB65" s="2"/>
      <c r="RSC65" s="2"/>
      <c r="RSD65" s="2"/>
      <c r="RSE65" s="2"/>
      <c r="RSF65" s="2"/>
      <c r="RSG65" s="2"/>
      <c r="RSH65" s="2"/>
      <c r="RSI65" s="2"/>
      <c r="RSJ65" s="2"/>
      <c r="RSK65" s="2"/>
      <c r="RSL65" s="2"/>
      <c r="RSM65" s="2"/>
      <c r="RSN65" s="2"/>
      <c r="RSO65" s="2"/>
      <c r="RSP65" s="2"/>
      <c r="RSQ65" s="2"/>
      <c r="RSR65" s="2"/>
      <c r="RSS65" s="2"/>
      <c r="RST65" s="2"/>
      <c r="RSU65" s="2"/>
      <c r="RSV65" s="2"/>
      <c r="RSW65" s="2"/>
      <c r="RSX65" s="2"/>
      <c r="RSY65" s="2"/>
      <c r="RSZ65" s="2"/>
      <c r="RTA65" s="2"/>
      <c r="RTB65" s="2"/>
      <c r="RTC65" s="2"/>
      <c r="RTD65" s="2"/>
      <c r="RTE65" s="2"/>
      <c r="RTF65" s="2"/>
      <c r="RTG65" s="2"/>
      <c r="RTH65" s="2"/>
      <c r="RTI65" s="2"/>
      <c r="RTJ65" s="2"/>
      <c r="RTK65" s="2"/>
      <c r="RTL65" s="2"/>
      <c r="RTM65" s="2"/>
      <c r="RTN65" s="2"/>
      <c r="RTO65" s="2"/>
      <c r="RTP65" s="2"/>
      <c r="RTQ65" s="2"/>
      <c r="RTR65" s="2"/>
      <c r="RTS65" s="2"/>
      <c r="RTT65" s="2"/>
      <c r="RTU65" s="2"/>
      <c r="RTV65" s="2"/>
      <c r="RTW65" s="2"/>
      <c r="RTX65" s="2"/>
      <c r="RTY65" s="2"/>
      <c r="RTZ65" s="2"/>
      <c r="RUA65" s="2"/>
      <c r="RUB65" s="2"/>
      <c r="RUC65" s="2"/>
      <c r="RUD65" s="2"/>
      <c r="RUE65" s="2"/>
      <c r="RUF65" s="2"/>
      <c r="RUG65" s="2"/>
      <c r="RUH65" s="2"/>
      <c r="RUI65" s="2"/>
      <c r="RUJ65" s="2"/>
      <c r="RUK65" s="2"/>
      <c r="RUL65" s="2"/>
      <c r="RUM65" s="2"/>
      <c r="RUN65" s="2"/>
      <c r="RUO65" s="2"/>
      <c r="RUP65" s="2"/>
      <c r="RUQ65" s="2"/>
      <c r="RUR65" s="2"/>
      <c r="RUS65" s="2"/>
      <c r="RUT65" s="2"/>
      <c r="RUU65" s="2"/>
      <c r="RUV65" s="2"/>
      <c r="RUW65" s="2"/>
      <c r="RUX65" s="2"/>
      <c r="RUY65" s="2"/>
      <c r="RUZ65" s="2"/>
      <c r="RVA65" s="2"/>
      <c r="RVB65" s="2"/>
      <c r="RVC65" s="2"/>
      <c r="RVD65" s="2"/>
      <c r="RVE65" s="2"/>
      <c r="RVF65" s="2"/>
      <c r="RVG65" s="2"/>
      <c r="RVH65" s="2"/>
      <c r="RVI65" s="2"/>
      <c r="RVJ65" s="2"/>
      <c r="RVK65" s="2"/>
      <c r="RVL65" s="2"/>
      <c r="RVM65" s="2"/>
      <c r="RVN65" s="2"/>
      <c r="RVO65" s="2"/>
      <c r="RVP65" s="2"/>
      <c r="RVQ65" s="2"/>
      <c r="RVR65" s="2"/>
      <c r="RVS65" s="2"/>
      <c r="RVT65" s="2"/>
      <c r="RVU65" s="2"/>
      <c r="RVV65" s="2"/>
      <c r="RVW65" s="2"/>
      <c r="RVX65" s="2"/>
      <c r="RVY65" s="2"/>
      <c r="RVZ65" s="2"/>
      <c r="RWA65" s="2"/>
      <c r="RWB65" s="2"/>
      <c r="RWC65" s="2"/>
      <c r="RWD65" s="2"/>
      <c r="RWE65" s="2"/>
      <c r="RWF65" s="2"/>
      <c r="RWG65" s="2"/>
      <c r="RWH65" s="2"/>
      <c r="RWI65" s="2"/>
      <c r="RWJ65" s="2"/>
      <c r="RWK65" s="2"/>
      <c r="RWL65" s="2"/>
      <c r="RWM65" s="2"/>
      <c r="RWN65" s="2"/>
      <c r="RWO65" s="2"/>
      <c r="RWP65" s="2"/>
      <c r="RWQ65" s="2"/>
      <c r="RWR65" s="2"/>
      <c r="RWS65" s="2"/>
      <c r="RWT65" s="2"/>
      <c r="RWU65" s="2"/>
      <c r="RWV65" s="2"/>
      <c r="RWW65" s="2"/>
      <c r="RWX65" s="2"/>
      <c r="RWY65" s="2"/>
      <c r="RWZ65" s="2"/>
      <c r="RXA65" s="2"/>
      <c r="RXB65" s="2"/>
      <c r="RXC65" s="2"/>
      <c r="RXD65" s="2"/>
      <c r="RXE65" s="2"/>
      <c r="RXF65" s="2"/>
      <c r="RXG65" s="2"/>
      <c r="RXH65" s="2"/>
      <c r="RXI65" s="2"/>
      <c r="RXJ65" s="2"/>
      <c r="RXK65" s="2"/>
      <c r="RXL65" s="2"/>
      <c r="RXM65" s="2"/>
      <c r="RXN65" s="2"/>
      <c r="RXO65" s="2"/>
      <c r="RXP65" s="2"/>
      <c r="RXQ65" s="2"/>
      <c r="RXR65" s="2"/>
      <c r="RXS65" s="2"/>
      <c r="RXT65" s="2"/>
      <c r="RXU65" s="2"/>
      <c r="RXV65" s="2"/>
      <c r="RXW65" s="2"/>
      <c r="RXX65" s="2"/>
      <c r="RXY65" s="2"/>
      <c r="RXZ65" s="2"/>
      <c r="RYA65" s="2"/>
      <c r="RYB65" s="2"/>
      <c r="RYC65" s="2"/>
      <c r="RYD65" s="2"/>
      <c r="RYE65" s="2"/>
      <c r="RYF65" s="2"/>
      <c r="RYG65" s="2"/>
      <c r="RYH65" s="2"/>
      <c r="RYI65" s="2"/>
      <c r="RYJ65" s="2"/>
      <c r="RYK65" s="2"/>
      <c r="RYL65" s="2"/>
      <c r="RYM65" s="2"/>
      <c r="RYN65" s="2"/>
      <c r="RYO65" s="2"/>
      <c r="RYP65" s="2"/>
      <c r="RYQ65" s="2"/>
      <c r="RYR65" s="2"/>
      <c r="RYS65" s="2"/>
      <c r="RYT65" s="2"/>
      <c r="RYU65" s="2"/>
      <c r="RYV65" s="2"/>
      <c r="RYW65" s="2"/>
      <c r="RYX65" s="2"/>
      <c r="RYY65" s="2"/>
      <c r="RYZ65" s="2"/>
      <c r="RZA65" s="2"/>
      <c r="RZB65" s="2"/>
      <c r="RZC65" s="2"/>
      <c r="RZD65" s="2"/>
      <c r="RZE65" s="2"/>
      <c r="RZF65" s="2"/>
      <c r="RZG65" s="2"/>
      <c r="RZH65" s="2"/>
      <c r="RZI65" s="2"/>
      <c r="RZJ65" s="2"/>
      <c r="RZK65" s="2"/>
      <c r="RZL65" s="2"/>
      <c r="RZM65" s="2"/>
      <c r="RZN65" s="2"/>
      <c r="RZO65" s="2"/>
      <c r="RZP65" s="2"/>
      <c r="RZQ65" s="2"/>
      <c r="RZR65" s="2"/>
      <c r="RZS65" s="2"/>
      <c r="RZT65" s="2"/>
      <c r="RZU65" s="2"/>
      <c r="RZV65" s="2"/>
      <c r="RZW65" s="2"/>
      <c r="RZX65" s="2"/>
      <c r="RZY65" s="2"/>
      <c r="RZZ65" s="2"/>
      <c r="SAA65" s="2"/>
      <c r="SAB65" s="2"/>
      <c r="SAC65" s="2"/>
      <c r="SAD65" s="2"/>
      <c r="SAE65" s="2"/>
      <c r="SAF65" s="2"/>
      <c r="SAG65" s="2"/>
      <c r="SAH65" s="2"/>
      <c r="SAI65" s="2"/>
      <c r="SAJ65" s="2"/>
      <c r="SAK65" s="2"/>
      <c r="SAL65" s="2"/>
      <c r="SAM65" s="2"/>
      <c r="SAN65" s="2"/>
      <c r="SAO65" s="2"/>
      <c r="SAP65" s="2"/>
      <c r="SAQ65" s="2"/>
      <c r="SAR65" s="2"/>
      <c r="SAS65" s="2"/>
      <c r="SAT65" s="2"/>
      <c r="SAU65" s="2"/>
      <c r="SAV65" s="2"/>
      <c r="SAW65" s="2"/>
      <c r="SAX65" s="2"/>
      <c r="SAY65" s="2"/>
      <c r="SAZ65" s="2"/>
      <c r="SBA65" s="2"/>
      <c r="SBB65" s="2"/>
      <c r="SBC65" s="2"/>
      <c r="SBD65" s="2"/>
      <c r="SBE65" s="2"/>
      <c r="SBF65" s="2"/>
      <c r="SBG65" s="2"/>
      <c r="SBH65" s="2"/>
      <c r="SBI65" s="2"/>
      <c r="SBJ65" s="2"/>
      <c r="SBK65" s="2"/>
      <c r="SBL65" s="2"/>
      <c r="SBM65" s="2"/>
      <c r="SBN65" s="2"/>
      <c r="SBO65" s="2"/>
      <c r="SBP65" s="2"/>
      <c r="SBQ65" s="2"/>
      <c r="SBR65" s="2"/>
      <c r="SBS65" s="2"/>
      <c r="SBT65" s="2"/>
      <c r="SBU65" s="2"/>
      <c r="SBV65" s="2"/>
      <c r="SBW65" s="2"/>
      <c r="SBX65" s="2"/>
      <c r="SBY65" s="2"/>
      <c r="SBZ65" s="2"/>
      <c r="SCA65" s="2"/>
      <c r="SCB65" s="2"/>
      <c r="SCC65" s="2"/>
      <c r="SCD65" s="2"/>
      <c r="SCE65" s="2"/>
      <c r="SCF65" s="2"/>
      <c r="SCG65" s="2"/>
      <c r="SCH65" s="2"/>
      <c r="SCI65" s="2"/>
      <c r="SCJ65" s="2"/>
      <c r="SCK65" s="2"/>
      <c r="SCL65" s="2"/>
      <c r="SCM65" s="2"/>
      <c r="SCN65" s="2"/>
      <c r="SCO65" s="2"/>
      <c r="SCP65" s="2"/>
      <c r="SCQ65" s="2"/>
      <c r="SCR65" s="2"/>
      <c r="SCS65" s="2"/>
      <c r="SCT65" s="2"/>
      <c r="SCU65" s="2"/>
      <c r="SCV65" s="2"/>
      <c r="SCW65" s="2"/>
      <c r="SCX65" s="2"/>
      <c r="SCY65" s="2"/>
      <c r="SCZ65" s="2"/>
      <c r="SDA65" s="2"/>
      <c r="SDB65" s="2"/>
      <c r="SDC65" s="2"/>
      <c r="SDD65" s="2"/>
      <c r="SDE65" s="2"/>
      <c r="SDF65" s="2"/>
      <c r="SDG65" s="2"/>
      <c r="SDH65" s="2"/>
      <c r="SDI65" s="2"/>
      <c r="SDJ65" s="2"/>
      <c r="SDK65" s="2"/>
      <c r="SDL65" s="2"/>
      <c r="SDM65" s="2"/>
      <c r="SDN65" s="2"/>
      <c r="SDO65" s="2"/>
      <c r="SDP65" s="2"/>
      <c r="SDQ65" s="2"/>
      <c r="SDR65" s="2"/>
      <c r="SDS65" s="2"/>
      <c r="SDT65" s="2"/>
      <c r="SDU65" s="2"/>
      <c r="SDV65" s="2"/>
      <c r="SDW65" s="2"/>
      <c r="SDX65" s="2"/>
      <c r="SDY65" s="2"/>
      <c r="SDZ65" s="2"/>
      <c r="SEA65" s="2"/>
      <c r="SEB65" s="2"/>
      <c r="SEC65" s="2"/>
      <c r="SED65" s="2"/>
      <c r="SEE65" s="2"/>
      <c r="SEF65" s="2"/>
      <c r="SEG65" s="2"/>
      <c r="SEH65" s="2"/>
      <c r="SEI65" s="2"/>
      <c r="SEJ65" s="2"/>
      <c r="SEK65" s="2"/>
      <c r="SEL65" s="2"/>
      <c r="SEM65" s="2"/>
      <c r="SEN65" s="2"/>
      <c r="SEO65" s="2"/>
      <c r="SEP65" s="2"/>
      <c r="SEQ65" s="2"/>
      <c r="SER65" s="2"/>
      <c r="SES65" s="2"/>
      <c r="SET65" s="2"/>
      <c r="SEU65" s="2"/>
      <c r="SEV65" s="2"/>
      <c r="SEW65" s="2"/>
      <c r="SEX65" s="2"/>
      <c r="SEY65" s="2"/>
      <c r="SEZ65" s="2"/>
      <c r="SFA65" s="2"/>
      <c r="SFB65" s="2"/>
      <c r="SFC65" s="2"/>
      <c r="SFD65" s="2"/>
      <c r="SFE65" s="2"/>
      <c r="SFF65" s="2"/>
      <c r="SFG65" s="2"/>
      <c r="SFH65" s="2"/>
      <c r="SFI65" s="2"/>
      <c r="SFJ65" s="2"/>
      <c r="SFK65" s="2"/>
      <c r="SFL65" s="2"/>
      <c r="SFM65" s="2"/>
      <c r="SFN65" s="2"/>
      <c r="SFO65" s="2"/>
      <c r="SFP65" s="2"/>
      <c r="SFQ65" s="2"/>
      <c r="SFR65" s="2"/>
      <c r="SFS65" s="2"/>
      <c r="SFT65" s="2"/>
      <c r="SFU65" s="2"/>
      <c r="SFV65" s="2"/>
      <c r="SFW65" s="2"/>
      <c r="SFX65" s="2"/>
      <c r="SFY65" s="2"/>
      <c r="SFZ65" s="2"/>
      <c r="SGA65" s="2"/>
      <c r="SGB65" s="2"/>
      <c r="SGC65" s="2"/>
      <c r="SGD65" s="2"/>
      <c r="SGE65" s="2"/>
      <c r="SGF65" s="2"/>
      <c r="SGG65" s="2"/>
      <c r="SGH65" s="2"/>
      <c r="SGI65" s="2"/>
      <c r="SGJ65" s="2"/>
      <c r="SGK65" s="2"/>
      <c r="SGL65" s="2"/>
      <c r="SGM65" s="2"/>
      <c r="SGN65" s="2"/>
      <c r="SGO65" s="2"/>
      <c r="SGP65" s="2"/>
      <c r="SGQ65" s="2"/>
      <c r="SGR65" s="2"/>
      <c r="SGS65" s="2"/>
      <c r="SGT65" s="2"/>
      <c r="SGU65" s="2"/>
      <c r="SGV65" s="2"/>
      <c r="SGW65" s="2"/>
      <c r="SGX65" s="2"/>
      <c r="SGY65" s="2"/>
      <c r="SGZ65" s="2"/>
      <c r="SHA65" s="2"/>
      <c r="SHB65" s="2"/>
      <c r="SHC65" s="2"/>
      <c r="SHD65" s="2"/>
      <c r="SHE65" s="2"/>
      <c r="SHF65" s="2"/>
      <c r="SHG65" s="2"/>
      <c r="SHH65" s="2"/>
      <c r="SHI65" s="2"/>
      <c r="SHJ65" s="2"/>
      <c r="SHK65" s="2"/>
      <c r="SHL65" s="2"/>
      <c r="SHM65" s="2"/>
      <c r="SHN65" s="2"/>
      <c r="SHO65" s="2"/>
      <c r="SHP65" s="2"/>
      <c r="SHQ65" s="2"/>
      <c r="SHR65" s="2"/>
      <c r="SHS65" s="2"/>
      <c r="SHT65" s="2"/>
      <c r="SHU65" s="2"/>
      <c r="SHV65" s="2"/>
      <c r="SHW65" s="2"/>
      <c r="SHX65" s="2"/>
      <c r="SHY65" s="2"/>
      <c r="SHZ65" s="2"/>
      <c r="SIA65" s="2"/>
      <c r="SIB65" s="2"/>
      <c r="SIC65" s="2"/>
      <c r="SID65" s="2"/>
      <c r="SIE65" s="2"/>
      <c r="SIF65" s="2"/>
      <c r="SIG65" s="2"/>
      <c r="SIH65" s="2"/>
      <c r="SII65" s="2"/>
      <c r="SIJ65" s="2"/>
      <c r="SIK65" s="2"/>
      <c r="SIL65" s="2"/>
      <c r="SIM65" s="2"/>
      <c r="SIN65" s="2"/>
      <c r="SIO65" s="2"/>
      <c r="SIP65" s="2"/>
      <c r="SIQ65" s="2"/>
      <c r="SIR65" s="2"/>
      <c r="SIS65" s="2"/>
      <c r="SIT65" s="2"/>
      <c r="SIU65" s="2"/>
      <c r="SIV65" s="2"/>
      <c r="SIW65" s="2"/>
      <c r="SIX65" s="2"/>
      <c r="SIY65" s="2"/>
      <c r="SIZ65" s="2"/>
      <c r="SJA65" s="2"/>
      <c r="SJB65" s="2"/>
      <c r="SJC65" s="2"/>
      <c r="SJD65" s="2"/>
      <c r="SJE65" s="2"/>
      <c r="SJF65" s="2"/>
      <c r="SJG65" s="2"/>
      <c r="SJH65" s="2"/>
      <c r="SJI65" s="2"/>
      <c r="SJJ65" s="2"/>
      <c r="SJK65" s="2"/>
      <c r="SJL65" s="2"/>
      <c r="SJM65" s="2"/>
      <c r="SJN65" s="2"/>
      <c r="SJO65" s="2"/>
      <c r="SJP65" s="2"/>
      <c r="SJQ65" s="2"/>
      <c r="SJR65" s="2"/>
      <c r="SJS65" s="2"/>
      <c r="SJT65" s="2"/>
      <c r="SJU65" s="2"/>
      <c r="SJV65" s="2"/>
      <c r="SJW65" s="2"/>
      <c r="SJX65" s="2"/>
      <c r="SJY65" s="2"/>
      <c r="SJZ65" s="2"/>
      <c r="SKA65" s="2"/>
      <c r="SKB65" s="2"/>
      <c r="SKC65" s="2"/>
      <c r="SKD65" s="2"/>
      <c r="SKE65" s="2"/>
      <c r="SKF65" s="2"/>
      <c r="SKG65" s="2"/>
      <c r="SKH65" s="2"/>
      <c r="SKI65" s="2"/>
      <c r="SKJ65" s="2"/>
      <c r="SKK65" s="2"/>
      <c r="SKL65" s="2"/>
      <c r="SKM65" s="2"/>
      <c r="SKN65" s="2"/>
      <c r="SKO65" s="2"/>
      <c r="SKP65" s="2"/>
      <c r="SKQ65" s="2"/>
      <c r="SKR65" s="2"/>
      <c r="SKS65" s="2"/>
      <c r="SKT65" s="2"/>
      <c r="SKU65" s="2"/>
      <c r="SKV65" s="2"/>
      <c r="SKW65" s="2"/>
      <c r="SKX65" s="2"/>
      <c r="SKY65" s="2"/>
      <c r="SKZ65" s="2"/>
      <c r="SLA65" s="2"/>
      <c r="SLB65" s="2"/>
      <c r="SLC65" s="2"/>
      <c r="SLD65" s="2"/>
      <c r="SLE65" s="2"/>
      <c r="SLF65" s="2"/>
      <c r="SLG65" s="2"/>
      <c r="SLH65" s="2"/>
      <c r="SLI65" s="2"/>
      <c r="SLJ65" s="2"/>
      <c r="SLK65" s="2"/>
      <c r="SLL65" s="2"/>
      <c r="SLM65" s="2"/>
      <c r="SLN65" s="2"/>
      <c r="SLO65" s="2"/>
      <c r="SLP65" s="2"/>
      <c r="SLQ65" s="2"/>
      <c r="SLR65" s="2"/>
      <c r="SLS65" s="2"/>
      <c r="SLT65" s="2"/>
      <c r="SLU65" s="2"/>
      <c r="SLV65" s="2"/>
      <c r="SLW65" s="2"/>
      <c r="SLX65" s="2"/>
      <c r="SLY65" s="2"/>
      <c r="SLZ65" s="2"/>
      <c r="SMA65" s="2"/>
      <c r="SMB65" s="2"/>
      <c r="SMC65" s="2"/>
      <c r="SMD65" s="2"/>
      <c r="SME65" s="2"/>
      <c r="SMF65" s="2"/>
      <c r="SMG65" s="2"/>
      <c r="SMH65" s="2"/>
      <c r="SMI65" s="2"/>
      <c r="SMJ65" s="2"/>
      <c r="SMK65" s="2"/>
      <c r="SML65" s="2"/>
      <c r="SMM65" s="2"/>
      <c r="SMN65" s="2"/>
      <c r="SMO65" s="2"/>
      <c r="SMP65" s="2"/>
      <c r="SMQ65" s="2"/>
      <c r="SMR65" s="2"/>
      <c r="SMS65" s="2"/>
      <c r="SMT65" s="2"/>
      <c r="SMU65" s="2"/>
      <c r="SMV65" s="2"/>
      <c r="SMW65" s="2"/>
      <c r="SMX65" s="2"/>
      <c r="SMY65" s="2"/>
      <c r="SMZ65" s="2"/>
      <c r="SNA65" s="2"/>
      <c r="SNB65" s="2"/>
      <c r="SNC65" s="2"/>
      <c r="SND65" s="2"/>
      <c r="SNE65" s="2"/>
      <c r="SNF65" s="2"/>
      <c r="SNG65" s="2"/>
      <c r="SNH65" s="2"/>
      <c r="SNI65" s="2"/>
      <c r="SNJ65" s="2"/>
      <c r="SNK65" s="2"/>
      <c r="SNL65" s="2"/>
      <c r="SNM65" s="2"/>
      <c r="SNN65" s="2"/>
      <c r="SNO65" s="2"/>
      <c r="SNP65" s="2"/>
      <c r="SNQ65" s="2"/>
      <c r="SNR65" s="2"/>
      <c r="SNS65" s="2"/>
      <c r="SNT65" s="2"/>
      <c r="SNU65" s="2"/>
      <c r="SNV65" s="2"/>
      <c r="SNW65" s="2"/>
      <c r="SNX65" s="2"/>
      <c r="SNY65" s="2"/>
      <c r="SNZ65" s="2"/>
      <c r="SOA65" s="2"/>
      <c r="SOB65" s="2"/>
      <c r="SOC65" s="2"/>
      <c r="SOD65" s="2"/>
      <c r="SOE65" s="2"/>
      <c r="SOF65" s="2"/>
      <c r="SOG65" s="2"/>
      <c r="SOH65" s="2"/>
      <c r="SOI65" s="2"/>
      <c r="SOJ65" s="2"/>
      <c r="SOK65" s="2"/>
      <c r="SOL65" s="2"/>
      <c r="SOM65" s="2"/>
      <c r="SON65" s="2"/>
      <c r="SOO65" s="2"/>
      <c r="SOP65" s="2"/>
      <c r="SOQ65" s="2"/>
      <c r="SOR65" s="2"/>
      <c r="SOS65" s="2"/>
      <c r="SOT65" s="2"/>
      <c r="SOU65" s="2"/>
      <c r="SOV65" s="2"/>
      <c r="SOW65" s="2"/>
      <c r="SOX65" s="2"/>
      <c r="SOY65" s="2"/>
      <c r="SOZ65" s="2"/>
      <c r="SPA65" s="2"/>
      <c r="SPB65" s="2"/>
      <c r="SPC65" s="2"/>
      <c r="SPD65" s="2"/>
      <c r="SPE65" s="2"/>
      <c r="SPF65" s="2"/>
      <c r="SPG65" s="2"/>
      <c r="SPH65" s="2"/>
      <c r="SPI65" s="2"/>
      <c r="SPJ65" s="2"/>
      <c r="SPK65" s="2"/>
      <c r="SPL65" s="2"/>
      <c r="SPM65" s="2"/>
      <c r="SPN65" s="2"/>
      <c r="SPO65" s="2"/>
      <c r="SPP65" s="2"/>
      <c r="SPQ65" s="2"/>
      <c r="SPR65" s="2"/>
      <c r="SPS65" s="2"/>
      <c r="SPT65" s="2"/>
      <c r="SPU65" s="2"/>
      <c r="SPV65" s="2"/>
      <c r="SPW65" s="2"/>
      <c r="SPX65" s="2"/>
      <c r="SPY65" s="2"/>
      <c r="SPZ65" s="2"/>
      <c r="SQA65" s="2"/>
      <c r="SQB65" s="2"/>
      <c r="SQC65" s="2"/>
      <c r="SQD65" s="2"/>
      <c r="SQE65" s="2"/>
      <c r="SQF65" s="2"/>
      <c r="SQG65" s="2"/>
      <c r="SQH65" s="2"/>
      <c r="SQI65" s="2"/>
      <c r="SQJ65" s="2"/>
      <c r="SQK65" s="2"/>
      <c r="SQL65" s="2"/>
      <c r="SQM65" s="2"/>
      <c r="SQN65" s="2"/>
      <c r="SQO65" s="2"/>
      <c r="SQP65" s="2"/>
      <c r="SQQ65" s="2"/>
      <c r="SQR65" s="2"/>
      <c r="SQS65" s="2"/>
      <c r="SQT65" s="2"/>
      <c r="SQU65" s="2"/>
      <c r="SQV65" s="2"/>
      <c r="SQW65" s="2"/>
      <c r="SQX65" s="2"/>
      <c r="SQY65" s="2"/>
      <c r="SQZ65" s="2"/>
      <c r="SRA65" s="2"/>
      <c r="SRB65" s="2"/>
      <c r="SRC65" s="2"/>
      <c r="SRD65" s="2"/>
      <c r="SRE65" s="2"/>
      <c r="SRF65" s="2"/>
      <c r="SRG65" s="2"/>
      <c r="SRH65" s="2"/>
      <c r="SRI65" s="2"/>
      <c r="SRJ65" s="2"/>
      <c r="SRK65" s="2"/>
      <c r="SRL65" s="2"/>
      <c r="SRM65" s="2"/>
      <c r="SRN65" s="2"/>
      <c r="SRO65" s="2"/>
      <c r="SRP65" s="2"/>
      <c r="SRQ65" s="2"/>
      <c r="SRR65" s="2"/>
      <c r="SRS65" s="2"/>
      <c r="SRT65" s="2"/>
      <c r="SRU65" s="2"/>
      <c r="SRV65" s="2"/>
      <c r="SRW65" s="2"/>
      <c r="SRX65" s="2"/>
      <c r="SRY65" s="2"/>
      <c r="SRZ65" s="2"/>
      <c r="SSA65" s="2"/>
      <c r="SSB65" s="2"/>
      <c r="SSC65" s="2"/>
      <c r="SSD65" s="2"/>
      <c r="SSE65" s="2"/>
      <c r="SSF65" s="2"/>
      <c r="SSG65" s="2"/>
      <c r="SSH65" s="2"/>
      <c r="SSI65" s="2"/>
      <c r="SSJ65" s="2"/>
      <c r="SSK65" s="2"/>
      <c r="SSL65" s="2"/>
      <c r="SSM65" s="2"/>
      <c r="SSN65" s="2"/>
      <c r="SSO65" s="2"/>
      <c r="SSP65" s="2"/>
      <c r="SSQ65" s="2"/>
      <c r="SSR65" s="2"/>
      <c r="SSS65" s="2"/>
      <c r="SST65" s="2"/>
      <c r="SSU65" s="2"/>
      <c r="SSV65" s="2"/>
      <c r="SSW65" s="2"/>
      <c r="SSX65" s="2"/>
      <c r="SSY65" s="2"/>
      <c r="SSZ65" s="2"/>
      <c r="STA65" s="2"/>
      <c r="STB65" s="2"/>
      <c r="STC65" s="2"/>
      <c r="STD65" s="2"/>
      <c r="STE65" s="2"/>
      <c r="STF65" s="2"/>
      <c r="STG65" s="2"/>
      <c r="STH65" s="2"/>
      <c r="STI65" s="2"/>
      <c r="STJ65" s="2"/>
      <c r="STK65" s="2"/>
      <c r="STL65" s="2"/>
      <c r="STM65" s="2"/>
      <c r="STN65" s="2"/>
      <c r="STO65" s="2"/>
      <c r="STP65" s="2"/>
      <c r="STQ65" s="2"/>
      <c r="STR65" s="2"/>
      <c r="STS65" s="2"/>
      <c r="STT65" s="2"/>
      <c r="STU65" s="2"/>
      <c r="STV65" s="2"/>
      <c r="STW65" s="2"/>
      <c r="STX65" s="2"/>
      <c r="STY65" s="2"/>
      <c r="STZ65" s="2"/>
      <c r="SUA65" s="2"/>
      <c r="SUB65" s="2"/>
      <c r="SUC65" s="2"/>
      <c r="SUD65" s="2"/>
      <c r="SUE65" s="2"/>
      <c r="SUF65" s="2"/>
      <c r="SUG65" s="2"/>
      <c r="SUH65" s="2"/>
      <c r="SUI65" s="2"/>
      <c r="SUJ65" s="2"/>
      <c r="SUK65" s="2"/>
      <c r="SUL65" s="2"/>
      <c r="SUM65" s="2"/>
      <c r="SUN65" s="2"/>
      <c r="SUO65" s="2"/>
      <c r="SUP65" s="2"/>
      <c r="SUQ65" s="2"/>
      <c r="SUR65" s="2"/>
      <c r="SUS65" s="2"/>
      <c r="SUT65" s="2"/>
      <c r="SUU65" s="2"/>
      <c r="SUV65" s="2"/>
      <c r="SUW65" s="2"/>
      <c r="SUX65" s="2"/>
      <c r="SUY65" s="2"/>
      <c r="SUZ65" s="2"/>
      <c r="SVA65" s="2"/>
      <c r="SVB65" s="2"/>
      <c r="SVC65" s="2"/>
      <c r="SVD65" s="2"/>
      <c r="SVE65" s="2"/>
      <c r="SVF65" s="2"/>
      <c r="SVG65" s="2"/>
      <c r="SVH65" s="2"/>
      <c r="SVI65" s="2"/>
      <c r="SVJ65" s="2"/>
      <c r="SVK65" s="2"/>
      <c r="SVL65" s="2"/>
      <c r="SVM65" s="2"/>
      <c r="SVN65" s="2"/>
      <c r="SVO65" s="2"/>
      <c r="SVP65" s="2"/>
      <c r="SVQ65" s="2"/>
      <c r="SVR65" s="2"/>
      <c r="SVS65" s="2"/>
      <c r="SVT65" s="2"/>
      <c r="SVU65" s="2"/>
      <c r="SVV65" s="2"/>
      <c r="SVW65" s="2"/>
      <c r="SVX65" s="2"/>
      <c r="SVY65" s="2"/>
      <c r="SVZ65" s="2"/>
      <c r="SWA65" s="2"/>
      <c r="SWB65" s="2"/>
      <c r="SWC65" s="2"/>
      <c r="SWD65" s="2"/>
      <c r="SWE65" s="2"/>
      <c r="SWF65" s="2"/>
      <c r="SWG65" s="2"/>
      <c r="SWH65" s="2"/>
      <c r="SWI65" s="2"/>
      <c r="SWJ65" s="2"/>
      <c r="SWK65" s="2"/>
      <c r="SWL65" s="2"/>
      <c r="SWM65" s="2"/>
      <c r="SWN65" s="2"/>
      <c r="SWO65" s="2"/>
      <c r="SWP65" s="2"/>
      <c r="SWQ65" s="2"/>
      <c r="SWR65" s="2"/>
      <c r="SWS65" s="2"/>
      <c r="SWT65" s="2"/>
      <c r="SWU65" s="2"/>
      <c r="SWV65" s="2"/>
      <c r="SWW65" s="2"/>
      <c r="SWX65" s="2"/>
      <c r="SWY65" s="2"/>
      <c r="SWZ65" s="2"/>
      <c r="SXA65" s="2"/>
      <c r="SXB65" s="2"/>
      <c r="SXC65" s="2"/>
      <c r="SXD65" s="2"/>
      <c r="SXE65" s="2"/>
      <c r="SXF65" s="2"/>
      <c r="SXG65" s="2"/>
      <c r="SXH65" s="2"/>
      <c r="SXI65" s="2"/>
      <c r="SXJ65" s="2"/>
      <c r="SXK65" s="2"/>
      <c r="SXL65" s="2"/>
      <c r="SXM65" s="2"/>
      <c r="SXN65" s="2"/>
      <c r="SXO65" s="2"/>
      <c r="SXP65" s="2"/>
      <c r="SXQ65" s="2"/>
      <c r="SXR65" s="2"/>
      <c r="SXS65" s="2"/>
      <c r="SXT65" s="2"/>
      <c r="SXU65" s="2"/>
      <c r="SXV65" s="2"/>
      <c r="SXW65" s="2"/>
      <c r="SXX65" s="2"/>
      <c r="SXY65" s="2"/>
      <c r="SXZ65" s="2"/>
      <c r="SYA65" s="2"/>
      <c r="SYB65" s="2"/>
      <c r="SYC65" s="2"/>
      <c r="SYD65" s="2"/>
      <c r="SYE65" s="2"/>
      <c r="SYF65" s="2"/>
      <c r="SYG65" s="2"/>
      <c r="SYH65" s="2"/>
      <c r="SYI65" s="2"/>
      <c r="SYJ65" s="2"/>
      <c r="SYK65" s="2"/>
      <c r="SYL65" s="2"/>
      <c r="SYM65" s="2"/>
      <c r="SYN65" s="2"/>
      <c r="SYO65" s="2"/>
      <c r="SYP65" s="2"/>
      <c r="SYQ65" s="2"/>
      <c r="SYR65" s="2"/>
      <c r="SYS65" s="2"/>
      <c r="SYT65" s="2"/>
      <c r="SYU65" s="2"/>
      <c r="SYV65" s="2"/>
      <c r="SYW65" s="2"/>
      <c r="SYX65" s="2"/>
      <c r="SYY65" s="2"/>
      <c r="SYZ65" s="2"/>
      <c r="SZA65" s="2"/>
      <c r="SZB65" s="2"/>
      <c r="SZC65" s="2"/>
      <c r="SZD65" s="2"/>
      <c r="SZE65" s="2"/>
      <c r="SZF65" s="2"/>
      <c r="SZG65" s="2"/>
      <c r="SZH65" s="2"/>
      <c r="SZI65" s="2"/>
      <c r="SZJ65" s="2"/>
      <c r="SZK65" s="2"/>
      <c r="SZL65" s="2"/>
      <c r="SZM65" s="2"/>
      <c r="SZN65" s="2"/>
      <c r="SZO65" s="2"/>
      <c r="SZP65" s="2"/>
      <c r="SZQ65" s="2"/>
      <c r="SZR65" s="2"/>
      <c r="SZS65" s="2"/>
      <c r="SZT65" s="2"/>
      <c r="SZU65" s="2"/>
      <c r="SZV65" s="2"/>
      <c r="SZW65" s="2"/>
      <c r="SZX65" s="2"/>
      <c r="SZY65" s="2"/>
      <c r="SZZ65" s="2"/>
      <c r="TAA65" s="2"/>
      <c r="TAB65" s="2"/>
      <c r="TAC65" s="2"/>
      <c r="TAD65" s="2"/>
      <c r="TAE65" s="2"/>
      <c r="TAF65" s="2"/>
      <c r="TAG65" s="2"/>
      <c r="TAH65" s="2"/>
      <c r="TAI65" s="2"/>
      <c r="TAJ65" s="2"/>
      <c r="TAK65" s="2"/>
      <c r="TAL65" s="2"/>
      <c r="TAM65" s="2"/>
      <c r="TAN65" s="2"/>
      <c r="TAO65" s="2"/>
      <c r="TAP65" s="2"/>
      <c r="TAQ65" s="2"/>
      <c r="TAR65" s="2"/>
      <c r="TAS65" s="2"/>
      <c r="TAT65" s="2"/>
      <c r="TAU65" s="2"/>
      <c r="TAV65" s="2"/>
      <c r="TAW65" s="2"/>
      <c r="TAX65" s="2"/>
      <c r="TAY65" s="2"/>
      <c r="TAZ65" s="2"/>
      <c r="TBA65" s="2"/>
      <c r="TBB65" s="2"/>
      <c r="TBC65" s="2"/>
      <c r="TBD65" s="2"/>
      <c r="TBE65" s="2"/>
      <c r="TBF65" s="2"/>
      <c r="TBG65" s="2"/>
      <c r="TBH65" s="2"/>
      <c r="TBI65" s="2"/>
      <c r="TBJ65" s="2"/>
      <c r="TBK65" s="2"/>
      <c r="TBL65" s="2"/>
      <c r="TBM65" s="2"/>
      <c r="TBN65" s="2"/>
      <c r="TBO65" s="2"/>
      <c r="TBP65" s="2"/>
      <c r="TBQ65" s="2"/>
      <c r="TBR65" s="2"/>
      <c r="TBS65" s="2"/>
      <c r="TBT65" s="2"/>
      <c r="TBU65" s="2"/>
      <c r="TBV65" s="2"/>
      <c r="TBW65" s="2"/>
      <c r="TBX65" s="2"/>
      <c r="TBY65" s="2"/>
      <c r="TBZ65" s="2"/>
      <c r="TCA65" s="2"/>
      <c r="TCB65" s="2"/>
      <c r="TCC65" s="2"/>
      <c r="TCD65" s="2"/>
      <c r="TCE65" s="2"/>
      <c r="TCF65" s="2"/>
      <c r="TCG65" s="2"/>
      <c r="TCH65" s="2"/>
      <c r="TCI65" s="2"/>
      <c r="TCJ65" s="2"/>
      <c r="TCK65" s="2"/>
      <c r="TCL65" s="2"/>
      <c r="TCM65" s="2"/>
      <c r="TCN65" s="2"/>
      <c r="TCO65" s="2"/>
      <c r="TCP65" s="2"/>
      <c r="TCQ65" s="2"/>
      <c r="TCR65" s="2"/>
      <c r="TCS65" s="2"/>
      <c r="TCT65" s="2"/>
      <c r="TCU65" s="2"/>
      <c r="TCV65" s="2"/>
      <c r="TCW65" s="2"/>
      <c r="TCX65" s="2"/>
      <c r="TCY65" s="2"/>
      <c r="TCZ65" s="2"/>
      <c r="TDA65" s="2"/>
      <c r="TDB65" s="2"/>
      <c r="TDC65" s="2"/>
      <c r="TDD65" s="2"/>
      <c r="TDE65" s="2"/>
      <c r="TDF65" s="2"/>
      <c r="TDG65" s="2"/>
      <c r="TDH65" s="2"/>
      <c r="TDI65" s="2"/>
      <c r="TDJ65" s="2"/>
      <c r="TDK65" s="2"/>
      <c r="TDL65" s="2"/>
      <c r="TDM65" s="2"/>
      <c r="TDN65" s="2"/>
      <c r="TDO65" s="2"/>
      <c r="TDP65" s="2"/>
      <c r="TDQ65" s="2"/>
      <c r="TDR65" s="2"/>
      <c r="TDS65" s="2"/>
      <c r="TDT65" s="2"/>
      <c r="TDU65" s="2"/>
      <c r="TDV65" s="2"/>
      <c r="TDW65" s="2"/>
      <c r="TDX65" s="2"/>
      <c r="TDY65" s="2"/>
      <c r="TDZ65" s="2"/>
      <c r="TEA65" s="2"/>
      <c r="TEB65" s="2"/>
      <c r="TEC65" s="2"/>
      <c r="TED65" s="2"/>
      <c r="TEE65" s="2"/>
      <c r="TEF65" s="2"/>
      <c r="TEG65" s="2"/>
      <c r="TEH65" s="2"/>
      <c r="TEI65" s="2"/>
      <c r="TEJ65" s="2"/>
      <c r="TEK65" s="2"/>
      <c r="TEL65" s="2"/>
      <c r="TEM65" s="2"/>
      <c r="TEN65" s="2"/>
      <c r="TEO65" s="2"/>
      <c r="TEP65" s="2"/>
      <c r="TEQ65" s="2"/>
      <c r="TER65" s="2"/>
      <c r="TES65" s="2"/>
      <c r="TET65" s="2"/>
      <c r="TEU65" s="2"/>
      <c r="TEV65" s="2"/>
      <c r="TEW65" s="2"/>
      <c r="TEX65" s="2"/>
      <c r="TEY65" s="2"/>
      <c r="TEZ65" s="2"/>
      <c r="TFA65" s="2"/>
      <c r="TFB65" s="2"/>
      <c r="TFC65" s="2"/>
      <c r="TFD65" s="2"/>
      <c r="TFE65" s="2"/>
      <c r="TFF65" s="2"/>
      <c r="TFG65" s="2"/>
      <c r="TFH65" s="2"/>
      <c r="TFI65" s="2"/>
      <c r="TFJ65" s="2"/>
      <c r="TFK65" s="2"/>
      <c r="TFL65" s="2"/>
      <c r="TFM65" s="2"/>
      <c r="TFN65" s="2"/>
      <c r="TFO65" s="2"/>
      <c r="TFP65" s="2"/>
      <c r="TFQ65" s="2"/>
      <c r="TFR65" s="2"/>
      <c r="TFS65" s="2"/>
      <c r="TFT65" s="2"/>
      <c r="TFU65" s="2"/>
      <c r="TFV65" s="2"/>
      <c r="TFW65" s="2"/>
      <c r="TFX65" s="2"/>
      <c r="TFY65" s="2"/>
      <c r="TFZ65" s="2"/>
      <c r="TGA65" s="2"/>
      <c r="TGB65" s="2"/>
      <c r="TGC65" s="2"/>
      <c r="TGD65" s="2"/>
      <c r="TGE65" s="2"/>
      <c r="TGF65" s="2"/>
      <c r="TGG65" s="2"/>
      <c r="TGH65" s="2"/>
      <c r="TGI65" s="2"/>
      <c r="TGJ65" s="2"/>
      <c r="TGK65" s="2"/>
      <c r="TGL65" s="2"/>
      <c r="TGM65" s="2"/>
      <c r="TGN65" s="2"/>
      <c r="TGO65" s="2"/>
      <c r="TGP65" s="2"/>
      <c r="TGQ65" s="2"/>
      <c r="TGR65" s="2"/>
      <c r="TGS65" s="2"/>
      <c r="TGT65" s="2"/>
      <c r="TGU65" s="2"/>
      <c r="TGV65" s="2"/>
      <c r="TGW65" s="2"/>
      <c r="TGX65" s="2"/>
      <c r="TGY65" s="2"/>
      <c r="TGZ65" s="2"/>
      <c r="THA65" s="2"/>
      <c r="THB65" s="2"/>
      <c r="THC65" s="2"/>
      <c r="THD65" s="2"/>
      <c r="THE65" s="2"/>
      <c r="THF65" s="2"/>
      <c r="THG65" s="2"/>
      <c r="THH65" s="2"/>
      <c r="THI65" s="2"/>
      <c r="THJ65" s="2"/>
      <c r="THK65" s="2"/>
      <c r="THL65" s="2"/>
      <c r="THM65" s="2"/>
      <c r="THN65" s="2"/>
      <c r="THO65" s="2"/>
      <c r="THP65" s="2"/>
      <c r="THQ65" s="2"/>
      <c r="THR65" s="2"/>
      <c r="THS65" s="2"/>
      <c r="THT65" s="2"/>
      <c r="THU65" s="2"/>
      <c r="THV65" s="2"/>
      <c r="THW65" s="2"/>
      <c r="THX65" s="2"/>
      <c r="THY65" s="2"/>
      <c r="THZ65" s="2"/>
      <c r="TIA65" s="2"/>
      <c r="TIB65" s="2"/>
      <c r="TIC65" s="2"/>
      <c r="TID65" s="2"/>
      <c r="TIE65" s="2"/>
      <c r="TIF65" s="2"/>
      <c r="TIG65" s="2"/>
      <c r="TIH65" s="2"/>
      <c r="TII65" s="2"/>
      <c r="TIJ65" s="2"/>
      <c r="TIK65" s="2"/>
      <c r="TIL65" s="2"/>
      <c r="TIM65" s="2"/>
      <c r="TIN65" s="2"/>
      <c r="TIO65" s="2"/>
      <c r="TIP65" s="2"/>
      <c r="TIQ65" s="2"/>
      <c r="TIR65" s="2"/>
      <c r="TIS65" s="2"/>
      <c r="TIT65" s="2"/>
      <c r="TIU65" s="2"/>
      <c r="TIV65" s="2"/>
      <c r="TIW65" s="2"/>
      <c r="TIX65" s="2"/>
      <c r="TIY65" s="2"/>
      <c r="TIZ65" s="2"/>
      <c r="TJA65" s="2"/>
      <c r="TJB65" s="2"/>
      <c r="TJC65" s="2"/>
      <c r="TJD65" s="2"/>
      <c r="TJE65" s="2"/>
      <c r="TJF65" s="2"/>
      <c r="TJG65" s="2"/>
      <c r="TJH65" s="2"/>
      <c r="TJI65" s="2"/>
      <c r="TJJ65" s="2"/>
      <c r="TJK65" s="2"/>
      <c r="TJL65" s="2"/>
      <c r="TJM65" s="2"/>
      <c r="TJN65" s="2"/>
      <c r="TJO65" s="2"/>
      <c r="TJP65" s="2"/>
      <c r="TJQ65" s="2"/>
      <c r="TJR65" s="2"/>
      <c r="TJS65" s="2"/>
      <c r="TJT65" s="2"/>
      <c r="TJU65" s="2"/>
      <c r="TJV65" s="2"/>
      <c r="TJW65" s="2"/>
      <c r="TJX65" s="2"/>
      <c r="TJY65" s="2"/>
      <c r="TJZ65" s="2"/>
      <c r="TKA65" s="2"/>
      <c r="TKB65" s="2"/>
      <c r="TKC65" s="2"/>
      <c r="TKD65" s="2"/>
      <c r="TKE65" s="2"/>
      <c r="TKF65" s="2"/>
      <c r="TKG65" s="2"/>
      <c r="TKH65" s="2"/>
      <c r="TKI65" s="2"/>
      <c r="TKJ65" s="2"/>
      <c r="TKK65" s="2"/>
      <c r="TKL65" s="2"/>
      <c r="TKM65" s="2"/>
      <c r="TKN65" s="2"/>
      <c r="TKO65" s="2"/>
      <c r="TKP65" s="2"/>
      <c r="TKQ65" s="2"/>
      <c r="TKR65" s="2"/>
      <c r="TKS65" s="2"/>
      <c r="TKT65" s="2"/>
      <c r="TKU65" s="2"/>
      <c r="TKV65" s="2"/>
      <c r="TKW65" s="2"/>
      <c r="TKX65" s="2"/>
      <c r="TKY65" s="2"/>
      <c r="TKZ65" s="2"/>
      <c r="TLA65" s="2"/>
      <c r="TLB65" s="2"/>
      <c r="TLC65" s="2"/>
      <c r="TLD65" s="2"/>
      <c r="TLE65" s="2"/>
      <c r="TLF65" s="2"/>
      <c r="TLG65" s="2"/>
      <c r="TLH65" s="2"/>
      <c r="TLI65" s="2"/>
      <c r="TLJ65" s="2"/>
      <c r="TLK65" s="2"/>
      <c r="TLL65" s="2"/>
      <c r="TLM65" s="2"/>
      <c r="TLN65" s="2"/>
      <c r="TLO65" s="2"/>
      <c r="TLP65" s="2"/>
      <c r="TLQ65" s="2"/>
      <c r="TLR65" s="2"/>
      <c r="TLS65" s="2"/>
      <c r="TLT65" s="2"/>
      <c r="TLU65" s="2"/>
      <c r="TLV65" s="2"/>
      <c r="TLW65" s="2"/>
      <c r="TLX65" s="2"/>
      <c r="TLY65" s="2"/>
      <c r="TLZ65" s="2"/>
      <c r="TMA65" s="2"/>
      <c r="TMB65" s="2"/>
      <c r="TMC65" s="2"/>
      <c r="TMD65" s="2"/>
      <c r="TME65" s="2"/>
      <c r="TMF65" s="2"/>
      <c r="TMG65" s="2"/>
      <c r="TMH65" s="2"/>
      <c r="TMI65" s="2"/>
      <c r="TMJ65" s="2"/>
      <c r="TMK65" s="2"/>
      <c r="TML65" s="2"/>
      <c r="TMM65" s="2"/>
      <c r="TMN65" s="2"/>
      <c r="TMO65" s="2"/>
      <c r="TMP65" s="2"/>
      <c r="TMQ65" s="2"/>
      <c r="TMR65" s="2"/>
      <c r="TMS65" s="2"/>
      <c r="TMT65" s="2"/>
      <c r="TMU65" s="2"/>
      <c r="TMV65" s="2"/>
      <c r="TMW65" s="2"/>
      <c r="TMX65" s="2"/>
      <c r="TMY65" s="2"/>
      <c r="TMZ65" s="2"/>
      <c r="TNA65" s="2"/>
      <c r="TNB65" s="2"/>
      <c r="TNC65" s="2"/>
      <c r="TND65" s="2"/>
      <c r="TNE65" s="2"/>
      <c r="TNF65" s="2"/>
      <c r="TNG65" s="2"/>
      <c r="TNH65" s="2"/>
      <c r="TNI65" s="2"/>
      <c r="TNJ65" s="2"/>
      <c r="TNK65" s="2"/>
      <c r="TNL65" s="2"/>
      <c r="TNM65" s="2"/>
      <c r="TNN65" s="2"/>
      <c r="TNO65" s="2"/>
      <c r="TNP65" s="2"/>
      <c r="TNQ65" s="2"/>
      <c r="TNR65" s="2"/>
      <c r="TNS65" s="2"/>
      <c r="TNT65" s="2"/>
      <c r="TNU65" s="2"/>
      <c r="TNV65" s="2"/>
      <c r="TNW65" s="2"/>
      <c r="TNX65" s="2"/>
      <c r="TNY65" s="2"/>
      <c r="TNZ65" s="2"/>
      <c r="TOA65" s="2"/>
      <c r="TOB65" s="2"/>
      <c r="TOC65" s="2"/>
      <c r="TOD65" s="2"/>
      <c r="TOE65" s="2"/>
      <c r="TOF65" s="2"/>
      <c r="TOG65" s="2"/>
      <c r="TOH65" s="2"/>
      <c r="TOI65" s="2"/>
      <c r="TOJ65" s="2"/>
      <c r="TOK65" s="2"/>
      <c r="TOL65" s="2"/>
      <c r="TOM65" s="2"/>
      <c r="TON65" s="2"/>
      <c r="TOO65" s="2"/>
      <c r="TOP65" s="2"/>
      <c r="TOQ65" s="2"/>
      <c r="TOR65" s="2"/>
      <c r="TOS65" s="2"/>
      <c r="TOT65" s="2"/>
      <c r="TOU65" s="2"/>
      <c r="TOV65" s="2"/>
      <c r="TOW65" s="2"/>
      <c r="TOX65" s="2"/>
      <c r="TOY65" s="2"/>
      <c r="TOZ65" s="2"/>
      <c r="TPA65" s="2"/>
      <c r="TPB65" s="2"/>
      <c r="TPC65" s="2"/>
      <c r="TPD65" s="2"/>
      <c r="TPE65" s="2"/>
      <c r="TPF65" s="2"/>
      <c r="TPG65" s="2"/>
      <c r="TPH65" s="2"/>
      <c r="TPI65" s="2"/>
      <c r="TPJ65" s="2"/>
      <c r="TPK65" s="2"/>
      <c r="TPL65" s="2"/>
      <c r="TPM65" s="2"/>
      <c r="TPN65" s="2"/>
      <c r="TPO65" s="2"/>
      <c r="TPP65" s="2"/>
      <c r="TPQ65" s="2"/>
      <c r="TPR65" s="2"/>
      <c r="TPS65" s="2"/>
      <c r="TPT65" s="2"/>
      <c r="TPU65" s="2"/>
      <c r="TPV65" s="2"/>
      <c r="TPW65" s="2"/>
      <c r="TPX65" s="2"/>
      <c r="TPY65" s="2"/>
      <c r="TPZ65" s="2"/>
      <c r="TQA65" s="2"/>
      <c r="TQB65" s="2"/>
      <c r="TQC65" s="2"/>
      <c r="TQD65" s="2"/>
      <c r="TQE65" s="2"/>
      <c r="TQF65" s="2"/>
      <c r="TQG65" s="2"/>
      <c r="TQH65" s="2"/>
      <c r="TQI65" s="2"/>
      <c r="TQJ65" s="2"/>
      <c r="TQK65" s="2"/>
      <c r="TQL65" s="2"/>
      <c r="TQM65" s="2"/>
      <c r="TQN65" s="2"/>
      <c r="TQO65" s="2"/>
      <c r="TQP65" s="2"/>
      <c r="TQQ65" s="2"/>
      <c r="TQR65" s="2"/>
      <c r="TQS65" s="2"/>
      <c r="TQT65" s="2"/>
      <c r="TQU65" s="2"/>
      <c r="TQV65" s="2"/>
      <c r="TQW65" s="2"/>
      <c r="TQX65" s="2"/>
      <c r="TQY65" s="2"/>
      <c r="TQZ65" s="2"/>
      <c r="TRA65" s="2"/>
      <c r="TRB65" s="2"/>
      <c r="TRC65" s="2"/>
      <c r="TRD65" s="2"/>
      <c r="TRE65" s="2"/>
      <c r="TRF65" s="2"/>
      <c r="TRG65" s="2"/>
      <c r="TRH65" s="2"/>
      <c r="TRI65" s="2"/>
      <c r="TRJ65" s="2"/>
      <c r="TRK65" s="2"/>
      <c r="TRL65" s="2"/>
      <c r="TRM65" s="2"/>
      <c r="TRN65" s="2"/>
      <c r="TRO65" s="2"/>
      <c r="TRP65" s="2"/>
      <c r="TRQ65" s="2"/>
      <c r="TRR65" s="2"/>
      <c r="TRS65" s="2"/>
      <c r="TRT65" s="2"/>
      <c r="TRU65" s="2"/>
      <c r="TRV65" s="2"/>
      <c r="TRW65" s="2"/>
      <c r="TRX65" s="2"/>
      <c r="TRY65" s="2"/>
      <c r="TRZ65" s="2"/>
      <c r="TSA65" s="2"/>
      <c r="TSB65" s="2"/>
      <c r="TSC65" s="2"/>
      <c r="TSD65" s="2"/>
      <c r="TSE65" s="2"/>
      <c r="TSF65" s="2"/>
      <c r="TSG65" s="2"/>
      <c r="TSH65" s="2"/>
      <c r="TSI65" s="2"/>
      <c r="TSJ65" s="2"/>
      <c r="TSK65" s="2"/>
      <c r="TSL65" s="2"/>
      <c r="TSM65" s="2"/>
      <c r="TSN65" s="2"/>
      <c r="TSO65" s="2"/>
      <c r="TSP65" s="2"/>
      <c r="TSQ65" s="2"/>
      <c r="TSR65" s="2"/>
      <c r="TSS65" s="2"/>
      <c r="TST65" s="2"/>
      <c r="TSU65" s="2"/>
      <c r="TSV65" s="2"/>
      <c r="TSW65" s="2"/>
      <c r="TSX65" s="2"/>
      <c r="TSY65" s="2"/>
      <c r="TSZ65" s="2"/>
      <c r="TTA65" s="2"/>
      <c r="TTB65" s="2"/>
      <c r="TTC65" s="2"/>
      <c r="TTD65" s="2"/>
      <c r="TTE65" s="2"/>
      <c r="TTF65" s="2"/>
      <c r="TTG65" s="2"/>
      <c r="TTH65" s="2"/>
      <c r="TTI65" s="2"/>
      <c r="TTJ65" s="2"/>
      <c r="TTK65" s="2"/>
      <c r="TTL65" s="2"/>
      <c r="TTM65" s="2"/>
      <c r="TTN65" s="2"/>
      <c r="TTO65" s="2"/>
      <c r="TTP65" s="2"/>
      <c r="TTQ65" s="2"/>
      <c r="TTR65" s="2"/>
      <c r="TTS65" s="2"/>
      <c r="TTT65" s="2"/>
      <c r="TTU65" s="2"/>
      <c r="TTV65" s="2"/>
      <c r="TTW65" s="2"/>
      <c r="TTX65" s="2"/>
      <c r="TTY65" s="2"/>
      <c r="TTZ65" s="2"/>
      <c r="TUA65" s="2"/>
      <c r="TUB65" s="2"/>
      <c r="TUC65" s="2"/>
      <c r="TUD65" s="2"/>
      <c r="TUE65" s="2"/>
      <c r="TUF65" s="2"/>
      <c r="TUG65" s="2"/>
      <c r="TUH65" s="2"/>
      <c r="TUI65" s="2"/>
      <c r="TUJ65" s="2"/>
      <c r="TUK65" s="2"/>
      <c r="TUL65" s="2"/>
      <c r="TUM65" s="2"/>
      <c r="TUN65" s="2"/>
      <c r="TUO65" s="2"/>
      <c r="TUP65" s="2"/>
      <c r="TUQ65" s="2"/>
      <c r="TUR65" s="2"/>
      <c r="TUS65" s="2"/>
      <c r="TUT65" s="2"/>
      <c r="TUU65" s="2"/>
      <c r="TUV65" s="2"/>
      <c r="TUW65" s="2"/>
      <c r="TUX65" s="2"/>
      <c r="TUY65" s="2"/>
      <c r="TUZ65" s="2"/>
      <c r="TVA65" s="2"/>
      <c r="TVB65" s="2"/>
      <c r="TVC65" s="2"/>
      <c r="TVD65" s="2"/>
      <c r="TVE65" s="2"/>
      <c r="TVF65" s="2"/>
      <c r="TVG65" s="2"/>
      <c r="TVH65" s="2"/>
      <c r="TVI65" s="2"/>
      <c r="TVJ65" s="2"/>
      <c r="TVK65" s="2"/>
      <c r="TVL65" s="2"/>
      <c r="TVM65" s="2"/>
      <c r="TVN65" s="2"/>
      <c r="TVO65" s="2"/>
      <c r="TVP65" s="2"/>
      <c r="TVQ65" s="2"/>
      <c r="TVR65" s="2"/>
      <c r="TVS65" s="2"/>
      <c r="TVT65" s="2"/>
      <c r="TVU65" s="2"/>
      <c r="TVV65" s="2"/>
      <c r="TVW65" s="2"/>
      <c r="TVX65" s="2"/>
      <c r="TVY65" s="2"/>
      <c r="TVZ65" s="2"/>
      <c r="TWA65" s="2"/>
      <c r="TWB65" s="2"/>
      <c r="TWC65" s="2"/>
      <c r="TWD65" s="2"/>
      <c r="TWE65" s="2"/>
      <c r="TWF65" s="2"/>
      <c r="TWG65" s="2"/>
      <c r="TWH65" s="2"/>
      <c r="TWI65" s="2"/>
      <c r="TWJ65" s="2"/>
      <c r="TWK65" s="2"/>
      <c r="TWL65" s="2"/>
      <c r="TWM65" s="2"/>
      <c r="TWN65" s="2"/>
      <c r="TWO65" s="2"/>
      <c r="TWP65" s="2"/>
      <c r="TWQ65" s="2"/>
      <c r="TWR65" s="2"/>
      <c r="TWS65" s="2"/>
      <c r="TWT65" s="2"/>
      <c r="TWU65" s="2"/>
      <c r="TWV65" s="2"/>
      <c r="TWW65" s="2"/>
      <c r="TWX65" s="2"/>
      <c r="TWY65" s="2"/>
      <c r="TWZ65" s="2"/>
      <c r="TXA65" s="2"/>
      <c r="TXB65" s="2"/>
      <c r="TXC65" s="2"/>
      <c r="TXD65" s="2"/>
      <c r="TXE65" s="2"/>
      <c r="TXF65" s="2"/>
      <c r="TXG65" s="2"/>
      <c r="TXH65" s="2"/>
      <c r="TXI65" s="2"/>
      <c r="TXJ65" s="2"/>
      <c r="TXK65" s="2"/>
      <c r="TXL65" s="2"/>
      <c r="TXM65" s="2"/>
      <c r="TXN65" s="2"/>
      <c r="TXO65" s="2"/>
      <c r="TXP65" s="2"/>
      <c r="TXQ65" s="2"/>
      <c r="TXR65" s="2"/>
      <c r="TXS65" s="2"/>
      <c r="TXT65" s="2"/>
      <c r="TXU65" s="2"/>
      <c r="TXV65" s="2"/>
      <c r="TXW65" s="2"/>
      <c r="TXX65" s="2"/>
      <c r="TXY65" s="2"/>
      <c r="TXZ65" s="2"/>
      <c r="TYA65" s="2"/>
      <c r="TYB65" s="2"/>
      <c r="TYC65" s="2"/>
      <c r="TYD65" s="2"/>
      <c r="TYE65" s="2"/>
      <c r="TYF65" s="2"/>
      <c r="TYG65" s="2"/>
      <c r="TYH65" s="2"/>
      <c r="TYI65" s="2"/>
      <c r="TYJ65" s="2"/>
      <c r="TYK65" s="2"/>
      <c r="TYL65" s="2"/>
      <c r="TYM65" s="2"/>
      <c r="TYN65" s="2"/>
      <c r="TYO65" s="2"/>
      <c r="TYP65" s="2"/>
      <c r="TYQ65" s="2"/>
      <c r="TYR65" s="2"/>
      <c r="TYS65" s="2"/>
      <c r="TYT65" s="2"/>
      <c r="TYU65" s="2"/>
      <c r="TYV65" s="2"/>
      <c r="TYW65" s="2"/>
      <c r="TYX65" s="2"/>
      <c r="TYY65" s="2"/>
      <c r="TYZ65" s="2"/>
      <c r="TZA65" s="2"/>
      <c r="TZB65" s="2"/>
      <c r="TZC65" s="2"/>
      <c r="TZD65" s="2"/>
      <c r="TZE65" s="2"/>
      <c r="TZF65" s="2"/>
      <c r="TZG65" s="2"/>
      <c r="TZH65" s="2"/>
      <c r="TZI65" s="2"/>
      <c r="TZJ65" s="2"/>
      <c r="TZK65" s="2"/>
      <c r="TZL65" s="2"/>
      <c r="TZM65" s="2"/>
      <c r="TZN65" s="2"/>
      <c r="TZO65" s="2"/>
      <c r="TZP65" s="2"/>
      <c r="TZQ65" s="2"/>
      <c r="TZR65" s="2"/>
      <c r="TZS65" s="2"/>
      <c r="TZT65" s="2"/>
      <c r="TZU65" s="2"/>
      <c r="TZV65" s="2"/>
      <c r="TZW65" s="2"/>
      <c r="TZX65" s="2"/>
      <c r="TZY65" s="2"/>
      <c r="TZZ65" s="2"/>
      <c r="UAA65" s="2"/>
      <c r="UAB65" s="2"/>
      <c r="UAC65" s="2"/>
      <c r="UAD65" s="2"/>
      <c r="UAE65" s="2"/>
      <c r="UAF65" s="2"/>
      <c r="UAG65" s="2"/>
      <c r="UAH65" s="2"/>
      <c r="UAI65" s="2"/>
      <c r="UAJ65" s="2"/>
      <c r="UAK65" s="2"/>
      <c r="UAL65" s="2"/>
      <c r="UAM65" s="2"/>
      <c r="UAN65" s="2"/>
      <c r="UAO65" s="2"/>
      <c r="UAP65" s="2"/>
      <c r="UAQ65" s="2"/>
      <c r="UAR65" s="2"/>
      <c r="UAS65" s="2"/>
      <c r="UAT65" s="2"/>
      <c r="UAU65" s="2"/>
      <c r="UAV65" s="2"/>
      <c r="UAW65" s="2"/>
      <c r="UAX65" s="2"/>
      <c r="UAY65" s="2"/>
      <c r="UAZ65" s="2"/>
      <c r="UBA65" s="2"/>
      <c r="UBB65" s="2"/>
      <c r="UBC65" s="2"/>
      <c r="UBD65" s="2"/>
      <c r="UBE65" s="2"/>
      <c r="UBF65" s="2"/>
      <c r="UBG65" s="2"/>
      <c r="UBH65" s="2"/>
      <c r="UBI65" s="2"/>
      <c r="UBJ65" s="2"/>
      <c r="UBK65" s="2"/>
      <c r="UBL65" s="2"/>
      <c r="UBM65" s="2"/>
      <c r="UBN65" s="2"/>
      <c r="UBO65" s="2"/>
      <c r="UBP65" s="2"/>
      <c r="UBQ65" s="2"/>
      <c r="UBR65" s="2"/>
      <c r="UBS65" s="2"/>
      <c r="UBT65" s="2"/>
      <c r="UBU65" s="2"/>
      <c r="UBV65" s="2"/>
      <c r="UBW65" s="2"/>
      <c r="UBX65" s="2"/>
      <c r="UBY65" s="2"/>
      <c r="UBZ65" s="2"/>
      <c r="UCA65" s="2"/>
      <c r="UCB65" s="2"/>
      <c r="UCC65" s="2"/>
      <c r="UCD65" s="2"/>
      <c r="UCE65" s="2"/>
      <c r="UCF65" s="2"/>
      <c r="UCG65" s="2"/>
      <c r="UCH65" s="2"/>
      <c r="UCI65" s="2"/>
      <c r="UCJ65" s="2"/>
      <c r="UCK65" s="2"/>
      <c r="UCL65" s="2"/>
      <c r="UCM65" s="2"/>
      <c r="UCN65" s="2"/>
      <c r="UCO65" s="2"/>
      <c r="UCP65" s="2"/>
      <c r="UCQ65" s="2"/>
      <c r="UCR65" s="2"/>
      <c r="UCS65" s="2"/>
      <c r="UCT65" s="2"/>
      <c r="UCU65" s="2"/>
      <c r="UCV65" s="2"/>
      <c r="UCW65" s="2"/>
      <c r="UCX65" s="2"/>
      <c r="UCY65" s="2"/>
      <c r="UCZ65" s="2"/>
      <c r="UDA65" s="2"/>
      <c r="UDB65" s="2"/>
      <c r="UDC65" s="2"/>
      <c r="UDD65" s="2"/>
      <c r="UDE65" s="2"/>
      <c r="UDF65" s="2"/>
      <c r="UDG65" s="2"/>
      <c r="UDH65" s="2"/>
      <c r="UDI65" s="2"/>
      <c r="UDJ65" s="2"/>
      <c r="UDK65" s="2"/>
      <c r="UDL65" s="2"/>
      <c r="UDM65" s="2"/>
      <c r="UDN65" s="2"/>
      <c r="UDO65" s="2"/>
      <c r="UDP65" s="2"/>
      <c r="UDQ65" s="2"/>
      <c r="UDR65" s="2"/>
      <c r="UDS65" s="2"/>
      <c r="UDT65" s="2"/>
      <c r="UDU65" s="2"/>
      <c r="UDV65" s="2"/>
      <c r="UDW65" s="2"/>
      <c r="UDX65" s="2"/>
      <c r="UDY65" s="2"/>
      <c r="UDZ65" s="2"/>
      <c r="UEA65" s="2"/>
      <c r="UEB65" s="2"/>
      <c r="UEC65" s="2"/>
      <c r="UED65" s="2"/>
      <c r="UEE65" s="2"/>
      <c r="UEF65" s="2"/>
      <c r="UEG65" s="2"/>
      <c r="UEH65" s="2"/>
      <c r="UEI65" s="2"/>
      <c r="UEJ65" s="2"/>
      <c r="UEK65" s="2"/>
      <c r="UEL65" s="2"/>
      <c r="UEM65" s="2"/>
      <c r="UEN65" s="2"/>
      <c r="UEO65" s="2"/>
      <c r="UEP65" s="2"/>
      <c r="UEQ65" s="2"/>
      <c r="UER65" s="2"/>
      <c r="UES65" s="2"/>
      <c r="UET65" s="2"/>
      <c r="UEU65" s="2"/>
      <c r="UEV65" s="2"/>
      <c r="UEW65" s="2"/>
      <c r="UEX65" s="2"/>
      <c r="UEY65" s="2"/>
      <c r="UEZ65" s="2"/>
      <c r="UFA65" s="2"/>
      <c r="UFB65" s="2"/>
      <c r="UFC65" s="2"/>
      <c r="UFD65" s="2"/>
      <c r="UFE65" s="2"/>
      <c r="UFF65" s="2"/>
      <c r="UFG65" s="2"/>
      <c r="UFH65" s="2"/>
      <c r="UFI65" s="2"/>
      <c r="UFJ65" s="2"/>
      <c r="UFK65" s="2"/>
      <c r="UFL65" s="2"/>
      <c r="UFM65" s="2"/>
      <c r="UFN65" s="2"/>
      <c r="UFO65" s="2"/>
      <c r="UFP65" s="2"/>
      <c r="UFQ65" s="2"/>
      <c r="UFR65" s="2"/>
      <c r="UFS65" s="2"/>
      <c r="UFT65" s="2"/>
      <c r="UFU65" s="2"/>
      <c r="UFV65" s="2"/>
      <c r="UFW65" s="2"/>
      <c r="UFX65" s="2"/>
      <c r="UFY65" s="2"/>
      <c r="UFZ65" s="2"/>
      <c r="UGA65" s="2"/>
      <c r="UGB65" s="2"/>
      <c r="UGC65" s="2"/>
      <c r="UGD65" s="2"/>
      <c r="UGE65" s="2"/>
      <c r="UGF65" s="2"/>
      <c r="UGG65" s="2"/>
      <c r="UGH65" s="2"/>
      <c r="UGI65" s="2"/>
      <c r="UGJ65" s="2"/>
      <c r="UGK65" s="2"/>
      <c r="UGL65" s="2"/>
      <c r="UGM65" s="2"/>
      <c r="UGN65" s="2"/>
      <c r="UGO65" s="2"/>
      <c r="UGP65" s="2"/>
      <c r="UGQ65" s="2"/>
      <c r="UGR65" s="2"/>
      <c r="UGS65" s="2"/>
      <c r="UGT65" s="2"/>
      <c r="UGU65" s="2"/>
      <c r="UGV65" s="2"/>
      <c r="UGW65" s="2"/>
      <c r="UGX65" s="2"/>
      <c r="UGY65" s="2"/>
      <c r="UGZ65" s="2"/>
      <c r="UHA65" s="2"/>
      <c r="UHB65" s="2"/>
      <c r="UHC65" s="2"/>
      <c r="UHD65" s="2"/>
      <c r="UHE65" s="2"/>
      <c r="UHF65" s="2"/>
      <c r="UHG65" s="2"/>
      <c r="UHH65" s="2"/>
      <c r="UHI65" s="2"/>
      <c r="UHJ65" s="2"/>
      <c r="UHK65" s="2"/>
      <c r="UHL65" s="2"/>
      <c r="UHM65" s="2"/>
      <c r="UHN65" s="2"/>
      <c r="UHO65" s="2"/>
      <c r="UHP65" s="2"/>
      <c r="UHQ65" s="2"/>
      <c r="UHR65" s="2"/>
      <c r="UHS65" s="2"/>
      <c r="UHT65" s="2"/>
      <c r="UHU65" s="2"/>
      <c r="UHV65" s="2"/>
      <c r="UHW65" s="2"/>
      <c r="UHX65" s="2"/>
      <c r="UHY65" s="2"/>
      <c r="UHZ65" s="2"/>
      <c r="UIA65" s="2"/>
      <c r="UIB65" s="2"/>
      <c r="UIC65" s="2"/>
      <c r="UID65" s="2"/>
      <c r="UIE65" s="2"/>
      <c r="UIF65" s="2"/>
      <c r="UIG65" s="2"/>
      <c r="UIH65" s="2"/>
      <c r="UII65" s="2"/>
      <c r="UIJ65" s="2"/>
      <c r="UIK65" s="2"/>
      <c r="UIL65" s="2"/>
      <c r="UIM65" s="2"/>
      <c r="UIN65" s="2"/>
      <c r="UIO65" s="2"/>
      <c r="UIP65" s="2"/>
      <c r="UIQ65" s="2"/>
      <c r="UIR65" s="2"/>
      <c r="UIS65" s="2"/>
      <c r="UIT65" s="2"/>
      <c r="UIU65" s="2"/>
      <c r="UIV65" s="2"/>
      <c r="UIW65" s="2"/>
      <c r="UIX65" s="2"/>
      <c r="UIY65" s="2"/>
      <c r="UIZ65" s="2"/>
      <c r="UJA65" s="2"/>
      <c r="UJB65" s="2"/>
      <c r="UJC65" s="2"/>
      <c r="UJD65" s="2"/>
      <c r="UJE65" s="2"/>
      <c r="UJF65" s="2"/>
      <c r="UJG65" s="2"/>
      <c r="UJH65" s="2"/>
      <c r="UJI65" s="2"/>
      <c r="UJJ65" s="2"/>
      <c r="UJK65" s="2"/>
      <c r="UJL65" s="2"/>
      <c r="UJM65" s="2"/>
      <c r="UJN65" s="2"/>
      <c r="UJO65" s="2"/>
      <c r="UJP65" s="2"/>
      <c r="UJQ65" s="2"/>
      <c r="UJR65" s="2"/>
      <c r="UJS65" s="2"/>
      <c r="UJT65" s="2"/>
      <c r="UJU65" s="2"/>
      <c r="UJV65" s="2"/>
      <c r="UJW65" s="2"/>
      <c r="UJX65" s="2"/>
      <c r="UJY65" s="2"/>
      <c r="UJZ65" s="2"/>
      <c r="UKA65" s="2"/>
      <c r="UKB65" s="2"/>
      <c r="UKC65" s="2"/>
      <c r="UKD65" s="2"/>
      <c r="UKE65" s="2"/>
      <c r="UKF65" s="2"/>
      <c r="UKG65" s="2"/>
      <c r="UKH65" s="2"/>
      <c r="UKI65" s="2"/>
      <c r="UKJ65" s="2"/>
      <c r="UKK65" s="2"/>
      <c r="UKL65" s="2"/>
      <c r="UKM65" s="2"/>
      <c r="UKN65" s="2"/>
      <c r="UKO65" s="2"/>
      <c r="UKP65" s="2"/>
      <c r="UKQ65" s="2"/>
      <c r="UKR65" s="2"/>
      <c r="UKS65" s="2"/>
      <c r="UKT65" s="2"/>
      <c r="UKU65" s="2"/>
      <c r="UKV65" s="2"/>
      <c r="UKW65" s="2"/>
      <c r="UKX65" s="2"/>
      <c r="UKY65" s="2"/>
      <c r="UKZ65" s="2"/>
      <c r="ULA65" s="2"/>
      <c r="ULB65" s="2"/>
      <c r="ULC65" s="2"/>
      <c r="ULD65" s="2"/>
      <c r="ULE65" s="2"/>
      <c r="ULF65" s="2"/>
      <c r="ULG65" s="2"/>
      <c r="ULH65" s="2"/>
      <c r="ULI65" s="2"/>
      <c r="ULJ65" s="2"/>
      <c r="ULK65" s="2"/>
      <c r="ULL65" s="2"/>
      <c r="ULM65" s="2"/>
      <c r="ULN65" s="2"/>
      <c r="ULO65" s="2"/>
      <c r="ULP65" s="2"/>
      <c r="ULQ65" s="2"/>
      <c r="ULR65" s="2"/>
      <c r="ULS65" s="2"/>
      <c r="ULT65" s="2"/>
      <c r="ULU65" s="2"/>
      <c r="ULV65" s="2"/>
      <c r="ULW65" s="2"/>
      <c r="ULX65" s="2"/>
      <c r="ULY65" s="2"/>
      <c r="ULZ65" s="2"/>
      <c r="UMA65" s="2"/>
      <c r="UMB65" s="2"/>
      <c r="UMC65" s="2"/>
      <c r="UMD65" s="2"/>
      <c r="UME65" s="2"/>
      <c r="UMF65" s="2"/>
      <c r="UMG65" s="2"/>
      <c r="UMH65" s="2"/>
      <c r="UMI65" s="2"/>
      <c r="UMJ65" s="2"/>
      <c r="UMK65" s="2"/>
      <c r="UML65" s="2"/>
      <c r="UMM65" s="2"/>
      <c r="UMN65" s="2"/>
      <c r="UMO65" s="2"/>
      <c r="UMP65" s="2"/>
      <c r="UMQ65" s="2"/>
      <c r="UMR65" s="2"/>
      <c r="UMS65" s="2"/>
      <c r="UMT65" s="2"/>
      <c r="UMU65" s="2"/>
      <c r="UMV65" s="2"/>
      <c r="UMW65" s="2"/>
      <c r="UMX65" s="2"/>
      <c r="UMY65" s="2"/>
      <c r="UMZ65" s="2"/>
      <c r="UNA65" s="2"/>
      <c r="UNB65" s="2"/>
      <c r="UNC65" s="2"/>
      <c r="UND65" s="2"/>
      <c r="UNE65" s="2"/>
      <c r="UNF65" s="2"/>
      <c r="UNG65" s="2"/>
      <c r="UNH65" s="2"/>
      <c r="UNI65" s="2"/>
      <c r="UNJ65" s="2"/>
      <c r="UNK65" s="2"/>
      <c r="UNL65" s="2"/>
      <c r="UNM65" s="2"/>
      <c r="UNN65" s="2"/>
      <c r="UNO65" s="2"/>
      <c r="UNP65" s="2"/>
      <c r="UNQ65" s="2"/>
      <c r="UNR65" s="2"/>
      <c r="UNS65" s="2"/>
      <c r="UNT65" s="2"/>
      <c r="UNU65" s="2"/>
      <c r="UNV65" s="2"/>
      <c r="UNW65" s="2"/>
      <c r="UNX65" s="2"/>
      <c r="UNY65" s="2"/>
      <c r="UNZ65" s="2"/>
      <c r="UOA65" s="2"/>
      <c r="UOB65" s="2"/>
      <c r="UOC65" s="2"/>
      <c r="UOD65" s="2"/>
      <c r="UOE65" s="2"/>
      <c r="UOF65" s="2"/>
      <c r="UOG65" s="2"/>
      <c r="UOH65" s="2"/>
      <c r="UOI65" s="2"/>
      <c r="UOJ65" s="2"/>
      <c r="UOK65" s="2"/>
      <c r="UOL65" s="2"/>
      <c r="UOM65" s="2"/>
      <c r="UON65" s="2"/>
      <c r="UOO65" s="2"/>
      <c r="UOP65" s="2"/>
      <c r="UOQ65" s="2"/>
      <c r="UOR65" s="2"/>
      <c r="UOS65" s="2"/>
      <c r="UOT65" s="2"/>
      <c r="UOU65" s="2"/>
      <c r="UOV65" s="2"/>
      <c r="UOW65" s="2"/>
      <c r="UOX65" s="2"/>
      <c r="UOY65" s="2"/>
      <c r="UOZ65" s="2"/>
      <c r="UPA65" s="2"/>
      <c r="UPB65" s="2"/>
      <c r="UPC65" s="2"/>
      <c r="UPD65" s="2"/>
      <c r="UPE65" s="2"/>
      <c r="UPF65" s="2"/>
      <c r="UPG65" s="2"/>
      <c r="UPH65" s="2"/>
      <c r="UPI65" s="2"/>
      <c r="UPJ65" s="2"/>
      <c r="UPK65" s="2"/>
      <c r="UPL65" s="2"/>
      <c r="UPM65" s="2"/>
      <c r="UPN65" s="2"/>
      <c r="UPO65" s="2"/>
      <c r="UPP65" s="2"/>
      <c r="UPQ65" s="2"/>
      <c r="UPR65" s="2"/>
      <c r="UPS65" s="2"/>
      <c r="UPT65" s="2"/>
      <c r="UPU65" s="2"/>
      <c r="UPV65" s="2"/>
      <c r="UPW65" s="2"/>
      <c r="UPX65" s="2"/>
      <c r="UPY65" s="2"/>
      <c r="UPZ65" s="2"/>
      <c r="UQA65" s="2"/>
      <c r="UQB65" s="2"/>
      <c r="UQC65" s="2"/>
      <c r="UQD65" s="2"/>
      <c r="UQE65" s="2"/>
      <c r="UQF65" s="2"/>
      <c r="UQG65" s="2"/>
      <c r="UQH65" s="2"/>
      <c r="UQI65" s="2"/>
      <c r="UQJ65" s="2"/>
      <c r="UQK65" s="2"/>
      <c r="UQL65" s="2"/>
      <c r="UQM65" s="2"/>
      <c r="UQN65" s="2"/>
      <c r="UQO65" s="2"/>
      <c r="UQP65" s="2"/>
      <c r="UQQ65" s="2"/>
      <c r="UQR65" s="2"/>
      <c r="UQS65" s="2"/>
      <c r="UQT65" s="2"/>
      <c r="UQU65" s="2"/>
      <c r="UQV65" s="2"/>
      <c r="UQW65" s="2"/>
      <c r="UQX65" s="2"/>
      <c r="UQY65" s="2"/>
      <c r="UQZ65" s="2"/>
      <c r="URA65" s="2"/>
      <c r="URB65" s="2"/>
      <c r="URC65" s="2"/>
      <c r="URD65" s="2"/>
      <c r="URE65" s="2"/>
      <c r="URF65" s="2"/>
      <c r="URG65" s="2"/>
      <c r="URH65" s="2"/>
      <c r="URI65" s="2"/>
      <c r="URJ65" s="2"/>
      <c r="URK65" s="2"/>
      <c r="URL65" s="2"/>
      <c r="URM65" s="2"/>
      <c r="URN65" s="2"/>
      <c r="URO65" s="2"/>
      <c r="URP65" s="2"/>
      <c r="URQ65" s="2"/>
      <c r="URR65" s="2"/>
      <c r="URS65" s="2"/>
      <c r="URT65" s="2"/>
      <c r="URU65" s="2"/>
      <c r="URV65" s="2"/>
      <c r="URW65" s="2"/>
      <c r="URX65" s="2"/>
      <c r="URY65" s="2"/>
      <c r="URZ65" s="2"/>
      <c r="USA65" s="2"/>
      <c r="USB65" s="2"/>
      <c r="USC65" s="2"/>
      <c r="USD65" s="2"/>
      <c r="USE65" s="2"/>
      <c r="USF65" s="2"/>
      <c r="USG65" s="2"/>
      <c r="USH65" s="2"/>
      <c r="USI65" s="2"/>
      <c r="USJ65" s="2"/>
      <c r="USK65" s="2"/>
      <c r="USL65" s="2"/>
      <c r="USM65" s="2"/>
      <c r="USN65" s="2"/>
      <c r="USO65" s="2"/>
      <c r="USP65" s="2"/>
      <c r="USQ65" s="2"/>
      <c r="USR65" s="2"/>
      <c r="USS65" s="2"/>
      <c r="UST65" s="2"/>
      <c r="USU65" s="2"/>
      <c r="USV65" s="2"/>
      <c r="USW65" s="2"/>
      <c r="USX65" s="2"/>
      <c r="USY65" s="2"/>
      <c r="USZ65" s="2"/>
      <c r="UTA65" s="2"/>
      <c r="UTB65" s="2"/>
      <c r="UTC65" s="2"/>
      <c r="UTD65" s="2"/>
      <c r="UTE65" s="2"/>
      <c r="UTF65" s="2"/>
      <c r="UTG65" s="2"/>
      <c r="UTH65" s="2"/>
      <c r="UTI65" s="2"/>
      <c r="UTJ65" s="2"/>
      <c r="UTK65" s="2"/>
      <c r="UTL65" s="2"/>
      <c r="UTM65" s="2"/>
      <c r="UTN65" s="2"/>
      <c r="UTO65" s="2"/>
      <c r="UTP65" s="2"/>
      <c r="UTQ65" s="2"/>
      <c r="UTR65" s="2"/>
      <c r="UTS65" s="2"/>
      <c r="UTT65" s="2"/>
      <c r="UTU65" s="2"/>
      <c r="UTV65" s="2"/>
      <c r="UTW65" s="2"/>
      <c r="UTX65" s="2"/>
      <c r="UTY65" s="2"/>
      <c r="UTZ65" s="2"/>
      <c r="UUA65" s="2"/>
      <c r="UUB65" s="2"/>
      <c r="UUC65" s="2"/>
      <c r="UUD65" s="2"/>
      <c r="UUE65" s="2"/>
      <c r="UUF65" s="2"/>
      <c r="UUG65" s="2"/>
      <c r="UUH65" s="2"/>
      <c r="UUI65" s="2"/>
      <c r="UUJ65" s="2"/>
      <c r="UUK65" s="2"/>
      <c r="UUL65" s="2"/>
      <c r="UUM65" s="2"/>
      <c r="UUN65" s="2"/>
      <c r="UUO65" s="2"/>
      <c r="UUP65" s="2"/>
      <c r="UUQ65" s="2"/>
      <c r="UUR65" s="2"/>
      <c r="UUS65" s="2"/>
      <c r="UUT65" s="2"/>
      <c r="UUU65" s="2"/>
      <c r="UUV65" s="2"/>
      <c r="UUW65" s="2"/>
      <c r="UUX65" s="2"/>
      <c r="UUY65" s="2"/>
      <c r="UUZ65" s="2"/>
      <c r="UVA65" s="2"/>
      <c r="UVB65" s="2"/>
      <c r="UVC65" s="2"/>
      <c r="UVD65" s="2"/>
      <c r="UVE65" s="2"/>
      <c r="UVF65" s="2"/>
      <c r="UVG65" s="2"/>
      <c r="UVH65" s="2"/>
      <c r="UVI65" s="2"/>
      <c r="UVJ65" s="2"/>
      <c r="UVK65" s="2"/>
      <c r="UVL65" s="2"/>
      <c r="UVM65" s="2"/>
      <c r="UVN65" s="2"/>
      <c r="UVO65" s="2"/>
      <c r="UVP65" s="2"/>
      <c r="UVQ65" s="2"/>
      <c r="UVR65" s="2"/>
      <c r="UVS65" s="2"/>
      <c r="UVT65" s="2"/>
      <c r="UVU65" s="2"/>
      <c r="UVV65" s="2"/>
      <c r="UVW65" s="2"/>
      <c r="UVX65" s="2"/>
      <c r="UVY65" s="2"/>
      <c r="UVZ65" s="2"/>
      <c r="UWA65" s="2"/>
      <c r="UWB65" s="2"/>
      <c r="UWC65" s="2"/>
      <c r="UWD65" s="2"/>
      <c r="UWE65" s="2"/>
      <c r="UWF65" s="2"/>
      <c r="UWG65" s="2"/>
      <c r="UWH65" s="2"/>
      <c r="UWI65" s="2"/>
      <c r="UWJ65" s="2"/>
      <c r="UWK65" s="2"/>
      <c r="UWL65" s="2"/>
      <c r="UWM65" s="2"/>
      <c r="UWN65" s="2"/>
      <c r="UWO65" s="2"/>
      <c r="UWP65" s="2"/>
      <c r="UWQ65" s="2"/>
      <c r="UWR65" s="2"/>
      <c r="UWS65" s="2"/>
      <c r="UWT65" s="2"/>
      <c r="UWU65" s="2"/>
      <c r="UWV65" s="2"/>
      <c r="UWW65" s="2"/>
      <c r="UWX65" s="2"/>
      <c r="UWY65" s="2"/>
      <c r="UWZ65" s="2"/>
      <c r="UXA65" s="2"/>
      <c r="UXB65" s="2"/>
      <c r="UXC65" s="2"/>
      <c r="UXD65" s="2"/>
      <c r="UXE65" s="2"/>
      <c r="UXF65" s="2"/>
      <c r="UXG65" s="2"/>
      <c r="UXH65" s="2"/>
      <c r="UXI65" s="2"/>
      <c r="UXJ65" s="2"/>
      <c r="UXK65" s="2"/>
      <c r="UXL65" s="2"/>
      <c r="UXM65" s="2"/>
      <c r="UXN65" s="2"/>
      <c r="UXO65" s="2"/>
      <c r="UXP65" s="2"/>
      <c r="UXQ65" s="2"/>
      <c r="UXR65" s="2"/>
      <c r="UXS65" s="2"/>
      <c r="UXT65" s="2"/>
      <c r="UXU65" s="2"/>
      <c r="UXV65" s="2"/>
      <c r="UXW65" s="2"/>
      <c r="UXX65" s="2"/>
      <c r="UXY65" s="2"/>
      <c r="UXZ65" s="2"/>
      <c r="UYA65" s="2"/>
      <c r="UYB65" s="2"/>
      <c r="UYC65" s="2"/>
      <c r="UYD65" s="2"/>
      <c r="UYE65" s="2"/>
      <c r="UYF65" s="2"/>
      <c r="UYG65" s="2"/>
      <c r="UYH65" s="2"/>
      <c r="UYI65" s="2"/>
      <c r="UYJ65" s="2"/>
      <c r="UYK65" s="2"/>
      <c r="UYL65" s="2"/>
      <c r="UYM65" s="2"/>
      <c r="UYN65" s="2"/>
      <c r="UYO65" s="2"/>
      <c r="UYP65" s="2"/>
      <c r="UYQ65" s="2"/>
      <c r="UYR65" s="2"/>
      <c r="UYS65" s="2"/>
      <c r="UYT65" s="2"/>
      <c r="UYU65" s="2"/>
      <c r="UYV65" s="2"/>
      <c r="UYW65" s="2"/>
      <c r="UYX65" s="2"/>
      <c r="UYY65" s="2"/>
      <c r="UYZ65" s="2"/>
      <c r="UZA65" s="2"/>
      <c r="UZB65" s="2"/>
      <c r="UZC65" s="2"/>
      <c r="UZD65" s="2"/>
      <c r="UZE65" s="2"/>
      <c r="UZF65" s="2"/>
      <c r="UZG65" s="2"/>
      <c r="UZH65" s="2"/>
      <c r="UZI65" s="2"/>
      <c r="UZJ65" s="2"/>
      <c r="UZK65" s="2"/>
      <c r="UZL65" s="2"/>
      <c r="UZM65" s="2"/>
      <c r="UZN65" s="2"/>
      <c r="UZO65" s="2"/>
      <c r="UZP65" s="2"/>
      <c r="UZQ65" s="2"/>
      <c r="UZR65" s="2"/>
      <c r="UZS65" s="2"/>
      <c r="UZT65" s="2"/>
      <c r="UZU65" s="2"/>
      <c r="UZV65" s="2"/>
      <c r="UZW65" s="2"/>
      <c r="UZX65" s="2"/>
      <c r="UZY65" s="2"/>
      <c r="UZZ65" s="2"/>
      <c r="VAA65" s="2"/>
      <c r="VAB65" s="2"/>
      <c r="VAC65" s="2"/>
      <c r="VAD65" s="2"/>
      <c r="VAE65" s="2"/>
      <c r="VAF65" s="2"/>
      <c r="VAG65" s="2"/>
      <c r="VAH65" s="2"/>
      <c r="VAI65" s="2"/>
      <c r="VAJ65" s="2"/>
      <c r="VAK65" s="2"/>
      <c r="VAL65" s="2"/>
      <c r="VAM65" s="2"/>
      <c r="VAN65" s="2"/>
      <c r="VAO65" s="2"/>
      <c r="VAP65" s="2"/>
      <c r="VAQ65" s="2"/>
      <c r="VAR65" s="2"/>
      <c r="VAS65" s="2"/>
      <c r="VAT65" s="2"/>
      <c r="VAU65" s="2"/>
      <c r="VAV65" s="2"/>
      <c r="VAW65" s="2"/>
      <c r="VAX65" s="2"/>
      <c r="VAY65" s="2"/>
      <c r="VAZ65" s="2"/>
      <c r="VBA65" s="2"/>
      <c r="VBB65" s="2"/>
      <c r="VBC65" s="2"/>
      <c r="VBD65" s="2"/>
      <c r="VBE65" s="2"/>
      <c r="VBF65" s="2"/>
      <c r="VBG65" s="2"/>
      <c r="VBH65" s="2"/>
      <c r="VBI65" s="2"/>
      <c r="VBJ65" s="2"/>
      <c r="VBK65" s="2"/>
      <c r="VBL65" s="2"/>
      <c r="VBM65" s="2"/>
      <c r="VBN65" s="2"/>
      <c r="VBO65" s="2"/>
      <c r="VBP65" s="2"/>
      <c r="VBQ65" s="2"/>
      <c r="VBR65" s="2"/>
      <c r="VBS65" s="2"/>
      <c r="VBT65" s="2"/>
      <c r="VBU65" s="2"/>
      <c r="VBV65" s="2"/>
      <c r="VBW65" s="2"/>
      <c r="VBX65" s="2"/>
      <c r="VBY65" s="2"/>
      <c r="VBZ65" s="2"/>
      <c r="VCA65" s="2"/>
      <c r="VCB65" s="2"/>
      <c r="VCC65" s="2"/>
      <c r="VCD65" s="2"/>
      <c r="VCE65" s="2"/>
      <c r="VCF65" s="2"/>
      <c r="VCG65" s="2"/>
      <c r="VCH65" s="2"/>
      <c r="VCI65" s="2"/>
      <c r="VCJ65" s="2"/>
      <c r="VCK65" s="2"/>
      <c r="VCL65" s="2"/>
      <c r="VCM65" s="2"/>
      <c r="VCN65" s="2"/>
      <c r="VCO65" s="2"/>
      <c r="VCP65" s="2"/>
      <c r="VCQ65" s="2"/>
      <c r="VCR65" s="2"/>
      <c r="VCS65" s="2"/>
      <c r="VCT65" s="2"/>
      <c r="VCU65" s="2"/>
      <c r="VCV65" s="2"/>
      <c r="VCW65" s="2"/>
      <c r="VCX65" s="2"/>
      <c r="VCY65" s="2"/>
      <c r="VCZ65" s="2"/>
      <c r="VDA65" s="2"/>
      <c r="VDB65" s="2"/>
      <c r="VDC65" s="2"/>
      <c r="VDD65" s="2"/>
      <c r="VDE65" s="2"/>
      <c r="VDF65" s="2"/>
      <c r="VDG65" s="2"/>
      <c r="VDH65" s="2"/>
      <c r="VDI65" s="2"/>
      <c r="VDJ65" s="2"/>
      <c r="VDK65" s="2"/>
      <c r="VDL65" s="2"/>
      <c r="VDM65" s="2"/>
      <c r="VDN65" s="2"/>
      <c r="VDO65" s="2"/>
      <c r="VDP65" s="2"/>
      <c r="VDQ65" s="2"/>
      <c r="VDR65" s="2"/>
      <c r="VDS65" s="2"/>
      <c r="VDT65" s="2"/>
      <c r="VDU65" s="2"/>
      <c r="VDV65" s="2"/>
      <c r="VDW65" s="2"/>
      <c r="VDX65" s="2"/>
      <c r="VDY65" s="2"/>
      <c r="VDZ65" s="2"/>
      <c r="VEA65" s="2"/>
      <c r="VEB65" s="2"/>
      <c r="VEC65" s="2"/>
      <c r="VED65" s="2"/>
      <c r="VEE65" s="2"/>
      <c r="VEF65" s="2"/>
      <c r="VEG65" s="2"/>
      <c r="VEH65" s="2"/>
      <c r="VEI65" s="2"/>
      <c r="VEJ65" s="2"/>
      <c r="VEK65" s="2"/>
      <c r="VEL65" s="2"/>
      <c r="VEM65" s="2"/>
      <c r="VEN65" s="2"/>
      <c r="VEO65" s="2"/>
      <c r="VEP65" s="2"/>
      <c r="VEQ65" s="2"/>
      <c r="VER65" s="2"/>
      <c r="VES65" s="2"/>
      <c r="VET65" s="2"/>
      <c r="VEU65" s="2"/>
      <c r="VEV65" s="2"/>
      <c r="VEW65" s="2"/>
      <c r="VEX65" s="2"/>
      <c r="VEY65" s="2"/>
      <c r="VEZ65" s="2"/>
      <c r="VFA65" s="2"/>
      <c r="VFB65" s="2"/>
      <c r="VFC65" s="2"/>
      <c r="VFD65" s="2"/>
      <c r="VFE65" s="2"/>
      <c r="VFF65" s="2"/>
      <c r="VFG65" s="2"/>
      <c r="VFH65" s="2"/>
      <c r="VFI65" s="2"/>
      <c r="VFJ65" s="2"/>
      <c r="VFK65" s="2"/>
      <c r="VFL65" s="2"/>
      <c r="VFM65" s="2"/>
      <c r="VFN65" s="2"/>
      <c r="VFO65" s="2"/>
      <c r="VFP65" s="2"/>
      <c r="VFQ65" s="2"/>
      <c r="VFR65" s="2"/>
      <c r="VFS65" s="2"/>
      <c r="VFT65" s="2"/>
      <c r="VFU65" s="2"/>
      <c r="VFV65" s="2"/>
      <c r="VFW65" s="2"/>
      <c r="VFX65" s="2"/>
      <c r="VFY65" s="2"/>
      <c r="VFZ65" s="2"/>
      <c r="VGA65" s="2"/>
      <c r="VGB65" s="2"/>
      <c r="VGC65" s="2"/>
      <c r="VGD65" s="2"/>
      <c r="VGE65" s="2"/>
      <c r="VGF65" s="2"/>
      <c r="VGG65" s="2"/>
      <c r="VGH65" s="2"/>
      <c r="VGI65" s="2"/>
      <c r="VGJ65" s="2"/>
      <c r="VGK65" s="2"/>
      <c r="VGL65" s="2"/>
      <c r="VGM65" s="2"/>
      <c r="VGN65" s="2"/>
      <c r="VGO65" s="2"/>
      <c r="VGP65" s="2"/>
      <c r="VGQ65" s="2"/>
      <c r="VGR65" s="2"/>
      <c r="VGS65" s="2"/>
      <c r="VGT65" s="2"/>
      <c r="VGU65" s="2"/>
      <c r="VGV65" s="2"/>
      <c r="VGW65" s="2"/>
      <c r="VGX65" s="2"/>
      <c r="VGY65" s="2"/>
      <c r="VGZ65" s="2"/>
      <c r="VHA65" s="2"/>
      <c r="VHB65" s="2"/>
      <c r="VHC65" s="2"/>
      <c r="VHD65" s="2"/>
      <c r="VHE65" s="2"/>
      <c r="VHF65" s="2"/>
      <c r="VHG65" s="2"/>
      <c r="VHH65" s="2"/>
      <c r="VHI65" s="2"/>
      <c r="VHJ65" s="2"/>
      <c r="VHK65" s="2"/>
      <c r="VHL65" s="2"/>
      <c r="VHM65" s="2"/>
      <c r="VHN65" s="2"/>
      <c r="VHO65" s="2"/>
      <c r="VHP65" s="2"/>
      <c r="VHQ65" s="2"/>
      <c r="VHR65" s="2"/>
      <c r="VHS65" s="2"/>
      <c r="VHT65" s="2"/>
      <c r="VHU65" s="2"/>
      <c r="VHV65" s="2"/>
      <c r="VHW65" s="2"/>
      <c r="VHX65" s="2"/>
      <c r="VHY65" s="2"/>
      <c r="VHZ65" s="2"/>
      <c r="VIA65" s="2"/>
      <c r="VIB65" s="2"/>
      <c r="VIC65" s="2"/>
      <c r="VID65" s="2"/>
      <c r="VIE65" s="2"/>
      <c r="VIF65" s="2"/>
      <c r="VIG65" s="2"/>
      <c r="VIH65" s="2"/>
      <c r="VII65" s="2"/>
      <c r="VIJ65" s="2"/>
      <c r="VIK65" s="2"/>
      <c r="VIL65" s="2"/>
      <c r="VIM65" s="2"/>
      <c r="VIN65" s="2"/>
      <c r="VIO65" s="2"/>
      <c r="VIP65" s="2"/>
      <c r="VIQ65" s="2"/>
      <c r="VIR65" s="2"/>
      <c r="VIS65" s="2"/>
      <c r="VIT65" s="2"/>
      <c r="VIU65" s="2"/>
      <c r="VIV65" s="2"/>
      <c r="VIW65" s="2"/>
      <c r="VIX65" s="2"/>
      <c r="VIY65" s="2"/>
      <c r="VIZ65" s="2"/>
      <c r="VJA65" s="2"/>
      <c r="VJB65" s="2"/>
      <c r="VJC65" s="2"/>
      <c r="VJD65" s="2"/>
      <c r="VJE65" s="2"/>
      <c r="VJF65" s="2"/>
      <c r="VJG65" s="2"/>
      <c r="VJH65" s="2"/>
      <c r="VJI65" s="2"/>
      <c r="VJJ65" s="2"/>
      <c r="VJK65" s="2"/>
      <c r="VJL65" s="2"/>
      <c r="VJM65" s="2"/>
      <c r="VJN65" s="2"/>
      <c r="VJO65" s="2"/>
      <c r="VJP65" s="2"/>
      <c r="VJQ65" s="2"/>
      <c r="VJR65" s="2"/>
      <c r="VJS65" s="2"/>
      <c r="VJT65" s="2"/>
      <c r="VJU65" s="2"/>
      <c r="VJV65" s="2"/>
      <c r="VJW65" s="2"/>
      <c r="VJX65" s="2"/>
      <c r="VJY65" s="2"/>
      <c r="VJZ65" s="2"/>
      <c r="VKA65" s="2"/>
      <c r="VKB65" s="2"/>
      <c r="VKC65" s="2"/>
      <c r="VKD65" s="2"/>
      <c r="VKE65" s="2"/>
      <c r="VKF65" s="2"/>
      <c r="VKG65" s="2"/>
      <c r="VKH65" s="2"/>
      <c r="VKI65" s="2"/>
      <c r="VKJ65" s="2"/>
      <c r="VKK65" s="2"/>
      <c r="VKL65" s="2"/>
      <c r="VKM65" s="2"/>
      <c r="VKN65" s="2"/>
      <c r="VKO65" s="2"/>
      <c r="VKP65" s="2"/>
      <c r="VKQ65" s="2"/>
      <c r="VKR65" s="2"/>
      <c r="VKS65" s="2"/>
      <c r="VKT65" s="2"/>
      <c r="VKU65" s="2"/>
      <c r="VKV65" s="2"/>
      <c r="VKW65" s="2"/>
      <c r="VKX65" s="2"/>
      <c r="VKY65" s="2"/>
      <c r="VKZ65" s="2"/>
      <c r="VLA65" s="2"/>
      <c r="VLB65" s="2"/>
      <c r="VLC65" s="2"/>
      <c r="VLD65" s="2"/>
      <c r="VLE65" s="2"/>
      <c r="VLF65" s="2"/>
      <c r="VLG65" s="2"/>
      <c r="VLH65" s="2"/>
      <c r="VLI65" s="2"/>
      <c r="VLJ65" s="2"/>
      <c r="VLK65" s="2"/>
      <c r="VLL65" s="2"/>
      <c r="VLM65" s="2"/>
      <c r="VLN65" s="2"/>
      <c r="VLO65" s="2"/>
      <c r="VLP65" s="2"/>
      <c r="VLQ65" s="2"/>
      <c r="VLR65" s="2"/>
      <c r="VLS65" s="2"/>
      <c r="VLT65" s="2"/>
      <c r="VLU65" s="2"/>
      <c r="VLV65" s="2"/>
      <c r="VLW65" s="2"/>
      <c r="VLX65" s="2"/>
      <c r="VLY65" s="2"/>
      <c r="VLZ65" s="2"/>
      <c r="VMA65" s="2"/>
      <c r="VMB65" s="2"/>
      <c r="VMC65" s="2"/>
      <c r="VMD65" s="2"/>
      <c r="VME65" s="2"/>
      <c r="VMF65" s="2"/>
      <c r="VMG65" s="2"/>
      <c r="VMH65" s="2"/>
      <c r="VMI65" s="2"/>
      <c r="VMJ65" s="2"/>
      <c r="VMK65" s="2"/>
      <c r="VML65" s="2"/>
      <c r="VMM65" s="2"/>
      <c r="VMN65" s="2"/>
      <c r="VMO65" s="2"/>
      <c r="VMP65" s="2"/>
      <c r="VMQ65" s="2"/>
      <c r="VMR65" s="2"/>
      <c r="VMS65" s="2"/>
      <c r="VMT65" s="2"/>
      <c r="VMU65" s="2"/>
      <c r="VMV65" s="2"/>
      <c r="VMW65" s="2"/>
      <c r="VMX65" s="2"/>
      <c r="VMY65" s="2"/>
      <c r="VMZ65" s="2"/>
      <c r="VNA65" s="2"/>
      <c r="VNB65" s="2"/>
      <c r="VNC65" s="2"/>
      <c r="VND65" s="2"/>
      <c r="VNE65" s="2"/>
      <c r="VNF65" s="2"/>
      <c r="VNG65" s="2"/>
      <c r="VNH65" s="2"/>
      <c r="VNI65" s="2"/>
      <c r="VNJ65" s="2"/>
      <c r="VNK65" s="2"/>
      <c r="VNL65" s="2"/>
      <c r="VNM65" s="2"/>
      <c r="VNN65" s="2"/>
      <c r="VNO65" s="2"/>
      <c r="VNP65" s="2"/>
      <c r="VNQ65" s="2"/>
      <c r="VNR65" s="2"/>
      <c r="VNS65" s="2"/>
      <c r="VNT65" s="2"/>
      <c r="VNU65" s="2"/>
      <c r="VNV65" s="2"/>
      <c r="VNW65" s="2"/>
      <c r="VNX65" s="2"/>
      <c r="VNY65" s="2"/>
      <c r="VNZ65" s="2"/>
      <c r="VOA65" s="2"/>
      <c r="VOB65" s="2"/>
      <c r="VOC65" s="2"/>
      <c r="VOD65" s="2"/>
      <c r="VOE65" s="2"/>
      <c r="VOF65" s="2"/>
      <c r="VOG65" s="2"/>
      <c r="VOH65" s="2"/>
      <c r="VOI65" s="2"/>
      <c r="VOJ65" s="2"/>
      <c r="VOK65" s="2"/>
      <c r="VOL65" s="2"/>
      <c r="VOM65" s="2"/>
      <c r="VON65" s="2"/>
      <c r="VOO65" s="2"/>
      <c r="VOP65" s="2"/>
      <c r="VOQ65" s="2"/>
      <c r="VOR65" s="2"/>
      <c r="VOS65" s="2"/>
      <c r="VOT65" s="2"/>
      <c r="VOU65" s="2"/>
      <c r="VOV65" s="2"/>
      <c r="VOW65" s="2"/>
      <c r="VOX65" s="2"/>
      <c r="VOY65" s="2"/>
      <c r="VOZ65" s="2"/>
      <c r="VPA65" s="2"/>
      <c r="VPB65" s="2"/>
      <c r="VPC65" s="2"/>
      <c r="VPD65" s="2"/>
      <c r="VPE65" s="2"/>
      <c r="VPF65" s="2"/>
      <c r="VPG65" s="2"/>
      <c r="VPH65" s="2"/>
      <c r="VPI65" s="2"/>
      <c r="VPJ65" s="2"/>
      <c r="VPK65" s="2"/>
      <c r="VPL65" s="2"/>
      <c r="VPM65" s="2"/>
      <c r="VPN65" s="2"/>
      <c r="VPO65" s="2"/>
      <c r="VPP65" s="2"/>
      <c r="VPQ65" s="2"/>
      <c r="VPR65" s="2"/>
      <c r="VPS65" s="2"/>
      <c r="VPT65" s="2"/>
      <c r="VPU65" s="2"/>
      <c r="VPV65" s="2"/>
      <c r="VPW65" s="2"/>
      <c r="VPX65" s="2"/>
      <c r="VPY65" s="2"/>
      <c r="VPZ65" s="2"/>
      <c r="VQA65" s="2"/>
      <c r="VQB65" s="2"/>
      <c r="VQC65" s="2"/>
      <c r="VQD65" s="2"/>
      <c r="VQE65" s="2"/>
      <c r="VQF65" s="2"/>
      <c r="VQG65" s="2"/>
      <c r="VQH65" s="2"/>
      <c r="VQI65" s="2"/>
      <c r="VQJ65" s="2"/>
      <c r="VQK65" s="2"/>
      <c r="VQL65" s="2"/>
      <c r="VQM65" s="2"/>
      <c r="VQN65" s="2"/>
      <c r="VQO65" s="2"/>
      <c r="VQP65" s="2"/>
      <c r="VQQ65" s="2"/>
      <c r="VQR65" s="2"/>
      <c r="VQS65" s="2"/>
      <c r="VQT65" s="2"/>
      <c r="VQU65" s="2"/>
      <c r="VQV65" s="2"/>
      <c r="VQW65" s="2"/>
      <c r="VQX65" s="2"/>
      <c r="VQY65" s="2"/>
      <c r="VQZ65" s="2"/>
      <c r="VRA65" s="2"/>
      <c r="VRB65" s="2"/>
      <c r="VRC65" s="2"/>
      <c r="VRD65" s="2"/>
      <c r="VRE65" s="2"/>
      <c r="VRF65" s="2"/>
      <c r="VRG65" s="2"/>
      <c r="VRH65" s="2"/>
      <c r="VRI65" s="2"/>
      <c r="VRJ65" s="2"/>
      <c r="VRK65" s="2"/>
      <c r="VRL65" s="2"/>
      <c r="VRM65" s="2"/>
      <c r="VRN65" s="2"/>
      <c r="VRO65" s="2"/>
      <c r="VRP65" s="2"/>
      <c r="VRQ65" s="2"/>
      <c r="VRR65" s="2"/>
      <c r="VRS65" s="2"/>
      <c r="VRT65" s="2"/>
      <c r="VRU65" s="2"/>
      <c r="VRV65" s="2"/>
      <c r="VRW65" s="2"/>
      <c r="VRX65" s="2"/>
      <c r="VRY65" s="2"/>
      <c r="VRZ65" s="2"/>
      <c r="VSA65" s="2"/>
      <c r="VSB65" s="2"/>
      <c r="VSC65" s="2"/>
      <c r="VSD65" s="2"/>
      <c r="VSE65" s="2"/>
      <c r="VSF65" s="2"/>
      <c r="VSG65" s="2"/>
      <c r="VSH65" s="2"/>
      <c r="VSI65" s="2"/>
      <c r="VSJ65" s="2"/>
      <c r="VSK65" s="2"/>
      <c r="VSL65" s="2"/>
      <c r="VSM65" s="2"/>
      <c r="VSN65" s="2"/>
      <c r="VSO65" s="2"/>
      <c r="VSP65" s="2"/>
      <c r="VSQ65" s="2"/>
      <c r="VSR65" s="2"/>
      <c r="VSS65" s="2"/>
      <c r="VST65" s="2"/>
      <c r="VSU65" s="2"/>
      <c r="VSV65" s="2"/>
      <c r="VSW65" s="2"/>
      <c r="VSX65" s="2"/>
      <c r="VSY65" s="2"/>
      <c r="VSZ65" s="2"/>
      <c r="VTA65" s="2"/>
      <c r="VTB65" s="2"/>
      <c r="VTC65" s="2"/>
      <c r="VTD65" s="2"/>
      <c r="VTE65" s="2"/>
      <c r="VTF65" s="2"/>
      <c r="VTG65" s="2"/>
      <c r="VTH65" s="2"/>
      <c r="VTI65" s="2"/>
      <c r="VTJ65" s="2"/>
      <c r="VTK65" s="2"/>
      <c r="VTL65" s="2"/>
      <c r="VTM65" s="2"/>
      <c r="VTN65" s="2"/>
      <c r="VTO65" s="2"/>
      <c r="VTP65" s="2"/>
      <c r="VTQ65" s="2"/>
      <c r="VTR65" s="2"/>
      <c r="VTS65" s="2"/>
      <c r="VTT65" s="2"/>
      <c r="VTU65" s="2"/>
      <c r="VTV65" s="2"/>
      <c r="VTW65" s="2"/>
      <c r="VTX65" s="2"/>
      <c r="VTY65" s="2"/>
      <c r="VTZ65" s="2"/>
      <c r="VUA65" s="2"/>
      <c r="VUB65" s="2"/>
      <c r="VUC65" s="2"/>
      <c r="VUD65" s="2"/>
      <c r="VUE65" s="2"/>
      <c r="VUF65" s="2"/>
      <c r="VUG65" s="2"/>
      <c r="VUH65" s="2"/>
      <c r="VUI65" s="2"/>
      <c r="VUJ65" s="2"/>
      <c r="VUK65" s="2"/>
      <c r="VUL65" s="2"/>
      <c r="VUM65" s="2"/>
      <c r="VUN65" s="2"/>
      <c r="VUO65" s="2"/>
      <c r="VUP65" s="2"/>
      <c r="VUQ65" s="2"/>
      <c r="VUR65" s="2"/>
      <c r="VUS65" s="2"/>
      <c r="VUT65" s="2"/>
      <c r="VUU65" s="2"/>
      <c r="VUV65" s="2"/>
      <c r="VUW65" s="2"/>
      <c r="VUX65" s="2"/>
      <c r="VUY65" s="2"/>
      <c r="VUZ65" s="2"/>
      <c r="VVA65" s="2"/>
      <c r="VVB65" s="2"/>
      <c r="VVC65" s="2"/>
      <c r="VVD65" s="2"/>
      <c r="VVE65" s="2"/>
      <c r="VVF65" s="2"/>
      <c r="VVG65" s="2"/>
      <c r="VVH65" s="2"/>
      <c r="VVI65" s="2"/>
      <c r="VVJ65" s="2"/>
      <c r="VVK65" s="2"/>
      <c r="VVL65" s="2"/>
      <c r="VVM65" s="2"/>
      <c r="VVN65" s="2"/>
      <c r="VVO65" s="2"/>
      <c r="VVP65" s="2"/>
      <c r="VVQ65" s="2"/>
      <c r="VVR65" s="2"/>
      <c r="VVS65" s="2"/>
      <c r="VVT65" s="2"/>
      <c r="VVU65" s="2"/>
      <c r="VVV65" s="2"/>
      <c r="VVW65" s="2"/>
      <c r="VVX65" s="2"/>
      <c r="VVY65" s="2"/>
      <c r="VVZ65" s="2"/>
      <c r="VWA65" s="2"/>
      <c r="VWB65" s="2"/>
      <c r="VWC65" s="2"/>
      <c r="VWD65" s="2"/>
      <c r="VWE65" s="2"/>
      <c r="VWF65" s="2"/>
      <c r="VWG65" s="2"/>
      <c r="VWH65" s="2"/>
      <c r="VWI65" s="2"/>
      <c r="VWJ65" s="2"/>
      <c r="VWK65" s="2"/>
      <c r="VWL65" s="2"/>
      <c r="VWM65" s="2"/>
      <c r="VWN65" s="2"/>
      <c r="VWO65" s="2"/>
      <c r="VWP65" s="2"/>
      <c r="VWQ65" s="2"/>
      <c r="VWR65" s="2"/>
      <c r="VWS65" s="2"/>
      <c r="VWT65" s="2"/>
      <c r="VWU65" s="2"/>
      <c r="VWV65" s="2"/>
      <c r="VWW65" s="2"/>
      <c r="VWX65" s="2"/>
      <c r="VWY65" s="2"/>
      <c r="VWZ65" s="2"/>
      <c r="VXA65" s="2"/>
      <c r="VXB65" s="2"/>
      <c r="VXC65" s="2"/>
      <c r="VXD65" s="2"/>
      <c r="VXE65" s="2"/>
      <c r="VXF65" s="2"/>
      <c r="VXG65" s="2"/>
      <c r="VXH65" s="2"/>
      <c r="VXI65" s="2"/>
      <c r="VXJ65" s="2"/>
      <c r="VXK65" s="2"/>
      <c r="VXL65" s="2"/>
      <c r="VXM65" s="2"/>
      <c r="VXN65" s="2"/>
      <c r="VXO65" s="2"/>
      <c r="VXP65" s="2"/>
      <c r="VXQ65" s="2"/>
      <c r="VXR65" s="2"/>
      <c r="VXS65" s="2"/>
      <c r="VXT65" s="2"/>
      <c r="VXU65" s="2"/>
      <c r="VXV65" s="2"/>
      <c r="VXW65" s="2"/>
      <c r="VXX65" s="2"/>
      <c r="VXY65" s="2"/>
      <c r="VXZ65" s="2"/>
      <c r="VYA65" s="2"/>
      <c r="VYB65" s="2"/>
      <c r="VYC65" s="2"/>
      <c r="VYD65" s="2"/>
      <c r="VYE65" s="2"/>
      <c r="VYF65" s="2"/>
      <c r="VYG65" s="2"/>
      <c r="VYH65" s="2"/>
      <c r="VYI65" s="2"/>
      <c r="VYJ65" s="2"/>
      <c r="VYK65" s="2"/>
      <c r="VYL65" s="2"/>
      <c r="VYM65" s="2"/>
      <c r="VYN65" s="2"/>
      <c r="VYO65" s="2"/>
      <c r="VYP65" s="2"/>
      <c r="VYQ65" s="2"/>
      <c r="VYR65" s="2"/>
      <c r="VYS65" s="2"/>
      <c r="VYT65" s="2"/>
      <c r="VYU65" s="2"/>
      <c r="VYV65" s="2"/>
      <c r="VYW65" s="2"/>
      <c r="VYX65" s="2"/>
      <c r="VYY65" s="2"/>
      <c r="VYZ65" s="2"/>
      <c r="VZA65" s="2"/>
      <c r="VZB65" s="2"/>
      <c r="VZC65" s="2"/>
      <c r="VZD65" s="2"/>
      <c r="VZE65" s="2"/>
      <c r="VZF65" s="2"/>
      <c r="VZG65" s="2"/>
      <c r="VZH65" s="2"/>
      <c r="VZI65" s="2"/>
      <c r="VZJ65" s="2"/>
      <c r="VZK65" s="2"/>
      <c r="VZL65" s="2"/>
      <c r="VZM65" s="2"/>
      <c r="VZN65" s="2"/>
      <c r="VZO65" s="2"/>
      <c r="VZP65" s="2"/>
      <c r="VZQ65" s="2"/>
      <c r="VZR65" s="2"/>
      <c r="VZS65" s="2"/>
      <c r="VZT65" s="2"/>
      <c r="VZU65" s="2"/>
      <c r="VZV65" s="2"/>
      <c r="VZW65" s="2"/>
      <c r="VZX65" s="2"/>
      <c r="VZY65" s="2"/>
      <c r="VZZ65" s="2"/>
      <c r="WAA65" s="2"/>
      <c r="WAB65" s="2"/>
      <c r="WAC65" s="2"/>
      <c r="WAD65" s="2"/>
      <c r="WAE65" s="2"/>
      <c r="WAF65" s="2"/>
      <c r="WAG65" s="2"/>
      <c r="WAH65" s="2"/>
      <c r="WAI65" s="2"/>
      <c r="WAJ65" s="2"/>
      <c r="WAK65" s="2"/>
      <c r="WAL65" s="2"/>
      <c r="WAM65" s="2"/>
      <c r="WAN65" s="2"/>
      <c r="WAO65" s="2"/>
      <c r="WAP65" s="2"/>
      <c r="WAQ65" s="2"/>
      <c r="WAR65" s="2"/>
      <c r="WAS65" s="2"/>
      <c r="WAT65" s="2"/>
      <c r="WAU65" s="2"/>
      <c r="WAV65" s="2"/>
      <c r="WAW65" s="2"/>
      <c r="WAX65" s="2"/>
      <c r="WAY65" s="2"/>
      <c r="WAZ65" s="2"/>
      <c r="WBA65" s="2"/>
      <c r="WBB65" s="2"/>
      <c r="WBC65" s="2"/>
      <c r="WBD65" s="2"/>
      <c r="WBE65" s="2"/>
      <c r="WBF65" s="2"/>
      <c r="WBG65" s="2"/>
      <c r="WBH65" s="2"/>
      <c r="WBI65" s="2"/>
      <c r="WBJ65" s="2"/>
      <c r="WBK65" s="2"/>
      <c r="WBL65" s="2"/>
      <c r="WBM65" s="2"/>
      <c r="WBN65" s="2"/>
      <c r="WBO65" s="2"/>
      <c r="WBP65" s="2"/>
      <c r="WBQ65" s="2"/>
      <c r="WBR65" s="2"/>
      <c r="WBS65" s="2"/>
      <c r="WBT65" s="2"/>
      <c r="WBU65" s="2"/>
      <c r="WBV65" s="2"/>
      <c r="WBW65" s="2"/>
      <c r="WBX65" s="2"/>
      <c r="WBY65" s="2"/>
      <c r="WBZ65" s="2"/>
      <c r="WCA65" s="2"/>
      <c r="WCB65" s="2"/>
      <c r="WCC65" s="2"/>
      <c r="WCD65" s="2"/>
      <c r="WCE65" s="2"/>
      <c r="WCF65" s="2"/>
      <c r="WCG65" s="2"/>
      <c r="WCH65" s="2"/>
      <c r="WCI65" s="2"/>
      <c r="WCJ65" s="2"/>
      <c r="WCK65" s="2"/>
      <c r="WCL65" s="2"/>
      <c r="WCM65" s="2"/>
      <c r="WCN65" s="2"/>
      <c r="WCO65" s="2"/>
      <c r="WCP65" s="2"/>
      <c r="WCQ65" s="2"/>
      <c r="WCR65" s="2"/>
      <c r="WCS65" s="2"/>
      <c r="WCT65" s="2"/>
      <c r="WCU65" s="2"/>
      <c r="WCV65" s="2"/>
      <c r="WCW65" s="2"/>
      <c r="WCX65" s="2"/>
      <c r="WCY65" s="2"/>
      <c r="WCZ65" s="2"/>
      <c r="WDA65" s="2"/>
      <c r="WDB65" s="2"/>
      <c r="WDC65" s="2"/>
      <c r="WDD65" s="2"/>
      <c r="WDE65" s="2"/>
      <c r="WDF65" s="2"/>
      <c r="WDG65" s="2"/>
      <c r="WDH65" s="2"/>
      <c r="WDI65" s="2"/>
      <c r="WDJ65" s="2"/>
      <c r="WDK65" s="2"/>
      <c r="WDL65" s="2"/>
      <c r="WDM65" s="2"/>
      <c r="WDN65" s="2"/>
      <c r="WDO65" s="2"/>
      <c r="WDP65" s="2"/>
      <c r="WDQ65" s="2"/>
      <c r="WDR65" s="2"/>
      <c r="WDS65" s="2"/>
      <c r="WDT65" s="2"/>
      <c r="WDU65" s="2"/>
      <c r="WDV65" s="2"/>
      <c r="WDW65" s="2"/>
      <c r="WDX65" s="2"/>
      <c r="WDY65" s="2"/>
      <c r="WDZ65" s="2"/>
      <c r="WEA65" s="2"/>
      <c r="WEB65" s="2"/>
      <c r="WEC65" s="2"/>
      <c r="WED65" s="2"/>
      <c r="WEE65" s="2"/>
      <c r="WEF65" s="2"/>
      <c r="WEG65" s="2"/>
      <c r="WEH65" s="2"/>
      <c r="WEI65" s="2"/>
      <c r="WEJ65" s="2"/>
      <c r="WEK65" s="2"/>
      <c r="WEL65" s="2"/>
      <c r="WEM65" s="2"/>
      <c r="WEN65" s="2"/>
      <c r="WEO65" s="2"/>
      <c r="WEP65" s="2"/>
      <c r="WEQ65" s="2"/>
      <c r="WER65" s="2"/>
      <c r="WES65" s="2"/>
      <c r="WET65" s="2"/>
      <c r="WEU65" s="2"/>
      <c r="WEV65" s="2"/>
      <c r="WEW65" s="2"/>
      <c r="WEX65" s="2"/>
      <c r="WEY65" s="2"/>
      <c r="WEZ65" s="2"/>
      <c r="WFA65" s="2"/>
      <c r="WFB65" s="2"/>
      <c r="WFC65" s="2"/>
      <c r="WFD65" s="2"/>
      <c r="WFE65" s="2"/>
      <c r="WFF65" s="2"/>
      <c r="WFG65" s="2"/>
      <c r="WFH65" s="2"/>
      <c r="WFI65" s="2"/>
      <c r="WFJ65" s="2"/>
      <c r="WFK65" s="2"/>
      <c r="WFL65" s="2"/>
      <c r="WFM65" s="2"/>
      <c r="WFN65" s="2"/>
      <c r="WFO65" s="2"/>
      <c r="WFP65" s="2"/>
      <c r="WFQ65" s="2"/>
      <c r="WFR65" s="2"/>
      <c r="WFS65" s="2"/>
      <c r="WFT65" s="2"/>
      <c r="WFU65" s="2"/>
      <c r="WFV65" s="2"/>
      <c r="WFW65" s="2"/>
      <c r="WFX65" s="2"/>
      <c r="WFY65" s="2"/>
      <c r="WFZ65" s="2"/>
      <c r="WGA65" s="2"/>
      <c r="WGB65" s="2"/>
      <c r="WGC65" s="2"/>
      <c r="WGD65" s="2"/>
      <c r="WGE65" s="2"/>
      <c r="WGF65" s="2"/>
      <c r="WGG65" s="2"/>
      <c r="WGH65" s="2"/>
      <c r="WGI65" s="2"/>
      <c r="WGJ65" s="2"/>
      <c r="WGK65" s="2"/>
      <c r="WGL65" s="2"/>
      <c r="WGM65" s="2"/>
      <c r="WGN65" s="2"/>
      <c r="WGO65" s="2"/>
      <c r="WGP65" s="2"/>
      <c r="WGQ65" s="2"/>
      <c r="WGR65" s="2"/>
      <c r="WGS65" s="2"/>
      <c r="WGT65" s="2"/>
      <c r="WGU65" s="2"/>
      <c r="WGV65" s="2"/>
      <c r="WGW65" s="2"/>
      <c r="WGX65" s="2"/>
      <c r="WGY65" s="2"/>
      <c r="WGZ65" s="2"/>
      <c r="WHA65" s="2"/>
      <c r="WHB65" s="2"/>
      <c r="WHC65" s="2"/>
      <c r="WHD65" s="2"/>
      <c r="WHE65" s="2"/>
      <c r="WHF65" s="2"/>
      <c r="WHG65" s="2"/>
      <c r="WHH65" s="2"/>
      <c r="WHI65" s="2"/>
      <c r="WHJ65" s="2"/>
      <c r="WHK65" s="2"/>
      <c r="WHL65" s="2"/>
      <c r="WHM65" s="2"/>
      <c r="WHN65" s="2"/>
      <c r="WHO65" s="2"/>
      <c r="WHP65" s="2"/>
      <c r="WHQ65" s="2"/>
      <c r="WHR65" s="2"/>
      <c r="WHS65" s="2"/>
      <c r="WHT65" s="2"/>
      <c r="WHU65" s="2"/>
      <c r="WHV65" s="2"/>
      <c r="WHW65" s="2"/>
      <c r="WHX65" s="2"/>
      <c r="WHY65" s="2"/>
      <c r="WHZ65" s="2"/>
      <c r="WIA65" s="2"/>
      <c r="WIB65" s="2"/>
      <c r="WIC65" s="2"/>
      <c r="WID65" s="2"/>
      <c r="WIE65" s="2"/>
      <c r="WIF65" s="2"/>
      <c r="WIG65" s="2"/>
      <c r="WIH65" s="2"/>
      <c r="WII65" s="2"/>
      <c r="WIJ65" s="2"/>
      <c r="WIK65" s="2"/>
      <c r="WIL65" s="2"/>
      <c r="WIM65" s="2"/>
      <c r="WIN65" s="2"/>
      <c r="WIO65" s="2"/>
      <c r="WIP65" s="2"/>
      <c r="WIQ65" s="2"/>
      <c r="WIR65" s="2"/>
      <c r="WIS65" s="2"/>
      <c r="WIT65" s="2"/>
      <c r="WIU65" s="2"/>
      <c r="WIV65" s="2"/>
      <c r="WIW65" s="2"/>
      <c r="WIX65" s="2"/>
      <c r="WIY65" s="2"/>
      <c r="WIZ65" s="2"/>
      <c r="WJA65" s="2"/>
      <c r="WJB65" s="2"/>
      <c r="WJC65" s="2"/>
      <c r="WJD65" s="2"/>
      <c r="WJE65" s="2"/>
      <c r="WJF65" s="2"/>
      <c r="WJG65" s="2"/>
      <c r="WJH65" s="2"/>
      <c r="WJI65" s="2"/>
      <c r="WJJ65" s="2"/>
      <c r="WJK65" s="2"/>
      <c r="WJL65" s="2"/>
      <c r="WJM65" s="2"/>
      <c r="WJN65" s="2"/>
      <c r="WJO65" s="2"/>
      <c r="WJP65" s="2"/>
      <c r="WJQ65" s="2"/>
      <c r="WJR65" s="2"/>
      <c r="WJS65" s="2"/>
      <c r="WJT65" s="2"/>
      <c r="WJU65" s="2"/>
      <c r="WJV65" s="2"/>
      <c r="WJW65" s="2"/>
      <c r="WJX65" s="2"/>
      <c r="WJY65" s="2"/>
      <c r="WJZ65" s="2"/>
      <c r="WKA65" s="2"/>
      <c r="WKB65" s="2"/>
      <c r="WKC65" s="2"/>
      <c r="WKD65" s="2"/>
      <c r="WKE65" s="2"/>
      <c r="WKF65" s="2"/>
      <c r="WKG65" s="2"/>
      <c r="WKH65" s="2"/>
      <c r="WKI65" s="2"/>
      <c r="WKJ65" s="2"/>
      <c r="WKK65" s="2"/>
      <c r="WKL65" s="2"/>
      <c r="WKM65" s="2"/>
      <c r="WKN65" s="2"/>
      <c r="WKO65" s="2"/>
      <c r="WKP65" s="2"/>
      <c r="WKQ65" s="2"/>
      <c r="WKR65" s="2"/>
      <c r="WKS65" s="2"/>
      <c r="WKT65" s="2"/>
      <c r="WKU65" s="2"/>
      <c r="WKV65" s="2"/>
      <c r="WKW65" s="2"/>
      <c r="WKX65" s="2"/>
      <c r="WKY65" s="2"/>
      <c r="WKZ65" s="2"/>
      <c r="WLA65" s="2"/>
      <c r="WLB65" s="2"/>
      <c r="WLC65" s="2"/>
      <c r="WLD65" s="2"/>
      <c r="WLE65" s="2"/>
      <c r="WLF65" s="2"/>
      <c r="WLG65" s="2"/>
      <c r="WLH65" s="2"/>
      <c r="WLI65" s="2"/>
      <c r="WLJ65" s="2"/>
      <c r="WLK65" s="2"/>
      <c r="WLL65" s="2"/>
      <c r="WLM65" s="2"/>
      <c r="WLN65" s="2"/>
      <c r="WLO65" s="2"/>
      <c r="WLP65" s="2"/>
      <c r="WLQ65" s="2"/>
      <c r="WLR65" s="2"/>
      <c r="WLS65" s="2"/>
      <c r="WLT65" s="2"/>
      <c r="WLU65" s="2"/>
      <c r="WLV65" s="2"/>
      <c r="WLW65" s="2"/>
      <c r="WLX65" s="2"/>
      <c r="WLY65" s="2"/>
      <c r="WLZ65" s="2"/>
      <c r="WMA65" s="2"/>
      <c r="WMB65" s="2"/>
      <c r="WMC65" s="2"/>
      <c r="WMD65" s="2"/>
      <c r="WME65" s="2"/>
      <c r="WMF65" s="2"/>
      <c r="WMG65" s="2"/>
      <c r="WMH65" s="2"/>
      <c r="WMI65" s="2"/>
      <c r="WMJ65" s="2"/>
      <c r="WMK65" s="2"/>
      <c r="WML65" s="2"/>
      <c r="WMM65" s="2"/>
      <c r="WMN65" s="2"/>
      <c r="WMO65" s="2"/>
      <c r="WMP65" s="2"/>
      <c r="WMQ65" s="2"/>
      <c r="WMR65" s="2"/>
      <c r="WMS65" s="2"/>
      <c r="WMT65" s="2"/>
      <c r="WMU65" s="2"/>
      <c r="WMV65" s="2"/>
      <c r="WMW65" s="2"/>
      <c r="WMX65" s="2"/>
      <c r="WMY65" s="2"/>
      <c r="WMZ65" s="2"/>
      <c r="WNA65" s="2"/>
      <c r="WNB65" s="2"/>
      <c r="WNC65" s="2"/>
      <c r="WND65" s="2"/>
      <c r="WNE65" s="2"/>
      <c r="WNF65" s="2"/>
      <c r="WNG65" s="2"/>
      <c r="WNH65" s="2"/>
      <c r="WNI65" s="2"/>
      <c r="WNJ65" s="2"/>
      <c r="WNK65" s="2"/>
      <c r="WNL65" s="2"/>
      <c r="WNM65" s="2"/>
      <c r="WNN65" s="2"/>
      <c r="WNO65" s="2"/>
      <c r="WNP65" s="2"/>
      <c r="WNQ65" s="2"/>
      <c r="WNR65" s="2"/>
      <c r="WNS65" s="2"/>
      <c r="WNT65" s="2"/>
      <c r="WNU65" s="2"/>
      <c r="WNV65" s="2"/>
      <c r="WNW65" s="2"/>
      <c r="WNX65" s="2"/>
      <c r="WNY65" s="2"/>
      <c r="WNZ65" s="2"/>
      <c r="WOA65" s="2"/>
      <c r="WOB65" s="2"/>
      <c r="WOC65" s="2"/>
      <c r="WOD65" s="2"/>
      <c r="WOE65" s="2"/>
      <c r="WOF65" s="2"/>
      <c r="WOG65" s="2"/>
      <c r="WOH65" s="2"/>
      <c r="WOI65" s="2"/>
      <c r="WOJ65" s="2"/>
      <c r="WOK65" s="2"/>
      <c r="WOL65" s="2"/>
      <c r="WOM65" s="2"/>
      <c r="WON65" s="2"/>
      <c r="WOO65" s="2"/>
      <c r="WOP65" s="2"/>
      <c r="WOQ65" s="2"/>
      <c r="WOR65" s="2"/>
      <c r="WOS65" s="2"/>
      <c r="WOT65" s="2"/>
      <c r="WOU65" s="2"/>
      <c r="WOV65" s="2"/>
      <c r="WOW65" s="2"/>
      <c r="WOX65" s="2"/>
      <c r="WOY65" s="2"/>
      <c r="WOZ65" s="2"/>
      <c r="WPA65" s="2"/>
      <c r="WPB65" s="2"/>
      <c r="WPC65" s="2"/>
      <c r="WPD65" s="2"/>
      <c r="WPE65" s="2"/>
      <c r="WPF65" s="2"/>
      <c r="WPG65" s="2"/>
      <c r="WPH65" s="2"/>
      <c r="WPI65" s="2"/>
      <c r="WPJ65" s="2"/>
      <c r="WPK65" s="2"/>
      <c r="WPL65" s="2"/>
      <c r="WPM65" s="2"/>
      <c r="WPN65" s="2"/>
      <c r="WPO65" s="2"/>
      <c r="WPP65" s="2"/>
      <c r="WPQ65" s="2"/>
      <c r="WPR65" s="2"/>
      <c r="WPS65" s="2"/>
      <c r="WPT65" s="2"/>
      <c r="WPU65" s="2"/>
      <c r="WPV65" s="2"/>
      <c r="WPW65" s="2"/>
      <c r="WPX65" s="2"/>
      <c r="WPY65" s="2"/>
      <c r="WPZ65" s="2"/>
      <c r="WQA65" s="2"/>
      <c r="WQB65" s="2"/>
      <c r="WQC65" s="2"/>
      <c r="WQD65" s="2"/>
      <c r="WQE65" s="2"/>
      <c r="WQF65" s="2"/>
      <c r="WQG65" s="2"/>
      <c r="WQH65" s="2"/>
      <c r="WQI65" s="2"/>
      <c r="WQJ65" s="2"/>
      <c r="WQK65" s="2"/>
      <c r="WQL65" s="2"/>
      <c r="WQM65" s="2"/>
      <c r="WQN65" s="2"/>
      <c r="WQO65" s="2"/>
      <c r="WQP65" s="2"/>
      <c r="WQQ65" s="2"/>
      <c r="WQR65" s="2"/>
      <c r="WQS65" s="2"/>
      <c r="WQT65" s="2"/>
      <c r="WQU65" s="2"/>
      <c r="WQV65" s="2"/>
      <c r="WQW65" s="2"/>
      <c r="WQX65" s="2"/>
      <c r="WQY65" s="2"/>
      <c r="WQZ65" s="2"/>
      <c r="WRA65" s="2"/>
      <c r="WRB65" s="2"/>
      <c r="WRC65" s="2"/>
      <c r="WRD65" s="2"/>
      <c r="WRE65" s="2"/>
      <c r="WRF65" s="2"/>
      <c r="WRG65" s="2"/>
      <c r="WRH65" s="2"/>
      <c r="WRI65" s="2"/>
      <c r="WRJ65" s="2"/>
      <c r="WRK65" s="2"/>
      <c r="WRL65" s="2"/>
      <c r="WRM65" s="2"/>
      <c r="WRN65" s="2"/>
      <c r="WRO65" s="2"/>
      <c r="WRP65" s="2"/>
      <c r="WRQ65" s="2"/>
      <c r="WRR65" s="2"/>
      <c r="WRS65" s="2"/>
      <c r="WRT65" s="2"/>
      <c r="WRU65" s="2"/>
      <c r="WRV65" s="2"/>
      <c r="WRW65" s="2"/>
      <c r="WRX65" s="2"/>
      <c r="WRY65" s="2"/>
      <c r="WRZ65" s="2"/>
      <c r="WSA65" s="2"/>
      <c r="WSB65" s="2"/>
      <c r="WSC65" s="2"/>
      <c r="WSD65" s="2"/>
      <c r="WSE65" s="2"/>
      <c r="WSF65" s="2"/>
      <c r="WSG65" s="2"/>
      <c r="WSH65" s="2"/>
      <c r="WSI65" s="2"/>
      <c r="WSJ65" s="2"/>
      <c r="WSK65" s="2"/>
      <c r="WSL65" s="2"/>
      <c r="WSM65" s="2"/>
      <c r="WSN65" s="2"/>
      <c r="WSO65" s="2"/>
      <c r="WSP65" s="2"/>
      <c r="WSQ65" s="2"/>
      <c r="WSR65" s="2"/>
      <c r="WSS65" s="2"/>
      <c r="WST65" s="2"/>
      <c r="WSU65" s="2"/>
      <c r="WSV65" s="2"/>
      <c r="WSW65" s="2"/>
      <c r="WSX65" s="2"/>
      <c r="WSY65" s="2"/>
      <c r="WSZ65" s="2"/>
      <c r="WTA65" s="2"/>
      <c r="WTB65" s="2"/>
      <c r="WTC65" s="2"/>
      <c r="WTD65" s="2"/>
      <c r="WTE65" s="2"/>
      <c r="WTF65" s="2"/>
      <c r="WTG65" s="2"/>
      <c r="WTH65" s="2"/>
      <c r="WTI65" s="2"/>
      <c r="WTJ65" s="2"/>
      <c r="WTK65" s="2"/>
      <c r="WTL65" s="2"/>
      <c r="WTM65" s="2"/>
      <c r="WTN65" s="2"/>
      <c r="WTO65" s="2"/>
      <c r="WTP65" s="2"/>
      <c r="WTQ65" s="2"/>
      <c r="WTR65" s="2"/>
      <c r="WTS65" s="2"/>
      <c r="WTT65" s="2"/>
      <c r="WTU65" s="2"/>
      <c r="WTV65" s="2"/>
      <c r="WTW65" s="2"/>
      <c r="WTX65" s="2"/>
      <c r="WTY65" s="2"/>
      <c r="WTZ65" s="2"/>
      <c r="WUA65" s="2"/>
      <c r="WUB65" s="2"/>
      <c r="WUC65" s="2"/>
      <c r="WUD65" s="2"/>
      <c r="WUE65" s="2"/>
      <c r="WUF65" s="2"/>
      <c r="WUG65" s="2"/>
      <c r="WUH65" s="2"/>
      <c r="WUI65" s="2"/>
      <c r="WUJ65" s="2"/>
      <c r="WUK65" s="2"/>
      <c r="WUL65" s="2"/>
      <c r="WUM65" s="2"/>
      <c r="WUN65" s="2"/>
      <c r="WUO65" s="2"/>
      <c r="WUP65" s="2"/>
      <c r="WUQ65" s="2"/>
      <c r="WUR65" s="2"/>
      <c r="WUS65" s="2"/>
      <c r="WUT65" s="2"/>
      <c r="WUU65" s="2"/>
      <c r="WUV65" s="2"/>
      <c r="WUW65" s="2"/>
      <c r="WUX65" s="2"/>
      <c r="WUY65" s="2"/>
      <c r="WUZ65" s="2"/>
      <c r="WVA65" s="2"/>
      <c r="WVB65" s="2"/>
      <c r="WVC65" s="2"/>
      <c r="WVD65" s="2"/>
      <c r="WVE65" s="2"/>
      <c r="WVF65" s="2"/>
      <c r="WVG65" s="2"/>
      <c r="WVH65" s="2"/>
      <c r="WVI65" s="2"/>
      <c r="WVJ65" s="2"/>
      <c r="WVK65" s="2"/>
      <c r="WVL65" s="2"/>
      <c r="WVM65" s="2"/>
      <c r="WVN65" s="2"/>
      <c r="WVO65" s="2"/>
      <c r="WVP65" s="2"/>
      <c r="WVQ65" s="2"/>
      <c r="WVR65" s="2"/>
      <c r="WVS65" s="2"/>
      <c r="WVT65" s="2"/>
      <c r="WVU65" s="2"/>
      <c r="WVV65" s="2"/>
      <c r="WVW65" s="2"/>
      <c r="WVX65" s="2"/>
      <c r="WVY65" s="2"/>
      <c r="WVZ65" s="2"/>
      <c r="WWA65" s="2"/>
      <c r="WWB65" s="2"/>
      <c r="WWC65" s="2"/>
      <c r="WWD65" s="2"/>
      <c r="WWE65" s="2"/>
      <c r="WWF65" s="2"/>
      <c r="WWG65" s="2"/>
      <c r="WWH65" s="2"/>
      <c r="WWI65" s="2"/>
      <c r="WWJ65" s="2"/>
      <c r="WWK65" s="2"/>
      <c r="WWL65" s="2"/>
      <c r="WWM65" s="2"/>
      <c r="WWN65" s="2"/>
      <c r="WWO65" s="2"/>
      <c r="WWP65" s="2"/>
      <c r="WWQ65" s="2"/>
      <c r="WWR65" s="2"/>
      <c r="WWS65" s="2"/>
      <c r="WWT65" s="2"/>
      <c r="WWU65" s="2"/>
      <c r="WWV65" s="2"/>
      <c r="WWW65" s="2"/>
      <c r="WWX65" s="2"/>
      <c r="WWY65" s="2"/>
      <c r="WWZ65" s="2"/>
      <c r="WXA65" s="2"/>
      <c r="WXB65" s="2"/>
      <c r="WXC65" s="2"/>
      <c r="WXD65" s="2"/>
      <c r="WXE65" s="2"/>
      <c r="WXF65" s="2"/>
      <c r="WXG65" s="2"/>
      <c r="WXH65" s="2"/>
      <c r="WXI65" s="2"/>
      <c r="WXJ65" s="2"/>
      <c r="WXK65" s="2"/>
      <c r="WXL65" s="2"/>
      <c r="WXM65" s="2"/>
      <c r="WXN65" s="2"/>
      <c r="WXO65" s="2"/>
      <c r="WXP65" s="2"/>
      <c r="WXQ65" s="2"/>
      <c r="WXR65" s="2"/>
      <c r="WXS65" s="2"/>
      <c r="WXT65" s="2"/>
      <c r="WXU65" s="2"/>
      <c r="WXV65" s="2"/>
      <c r="WXW65" s="2"/>
      <c r="WXX65" s="2"/>
      <c r="WXY65" s="2"/>
      <c r="WXZ65" s="2"/>
      <c r="WYA65" s="2"/>
      <c r="WYB65" s="2"/>
      <c r="WYC65" s="2"/>
      <c r="WYD65" s="2"/>
      <c r="WYE65" s="2"/>
      <c r="WYF65" s="2"/>
      <c r="WYG65" s="2"/>
      <c r="WYH65" s="2"/>
      <c r="WYI65" s="2"/>
      <c r="WYJ65" s="2"/>
      <c r="WYK65" s="2"/>
      <c r="WYL65" s="2"/>
      <c r="WYM65" s="2"/>
      <c r="WYN65" s="2"/>
      <c r="WYO65" s="2"/>
      <c r="WYP65" s="2"/>
      <c r="WYQ65" s="2"/>
      <c r="WYR65" s="2"/>
      <c r="WYS65" s="2"/>
      <c r="WYT65" s="2"/>
      <c r="WYU65" s="2"/>
      <c r="WYV65" s="2"/>
      <c r="WYW65" s="2"/>
      <c r="WYX65" s="2"/>
      <c r="WYY65" s="2"/>
      <c r="WYZ65" s="2"/>
      <c r="WZA65" s="2"/>
      <c r="WZB65" s="2"/>
      <c r="WZC65" s="2"/>
      <c r="WZD65" s="2"/>
      <c r="WZE65" s="2"/>
      <c r="WZF65" s="2"/>
      <c r="WZG65" s="2"/>
      <c r="WZH65" s="2"/>
      <c r="WZI65" s="2"/>
      <c r="WZJ65" s="2"/>
      <c r="WZK65" s="2"/>
      <c r="WZL65" s="2"/>
      <c r="WZM65" s="2"/>
      <c r="WZN65" s="2"/>
      <c r="WZO65" s="2"/>
      <c r="WZP65" s="2"/>
      <c r="WZQ65" s="2"/>
      <c r="WZR65" s="2"/>
      <c r="WZS65" s="2"/>
      <c r="WZT65" s="2"/>
      <c r="WZU65" s="2"/>
      <c r="WZV65" s="2"/>
      <c r="WZW65" s="2"/>
      <c r="WZX65" s="2"/>
      <c r="WZY65" s="2"/>
      <c r="WZZ65" s="2"/>
      <c r="XAA65" s="2"/>
      <c r="XAB65" s="2"/>
      <c r="XAC65" s="2"/>
      <c r="XAD65" s="2"/>
      <c r="XAE65" s="2"/>
      <c r="XAF65" s="2"/>
      <c r="XAG65" s="2"/>
      <c r="XAH65" s="2"/>
      <c r="XAI65" s="2"/>
      <c r="XAJ65" s="2"/>
      <c r="XAK65" s="2"/>
      <c r="XAL65" s="2"/>
      <c r="XAM65" s="2"/>
      <c r="XAN65" s="2"/>
      <c r="XAO65" s="2"/>
      <c r="XAP65" s="2"/>
      <c r="XAQ65" s="2"/>
      <c r="XAR65" s="2"/>
      <c r="XAS65" s="2"/>
      <c r="XAT65" s="2"/>
      <c r="XAU65" s="2"/>
      <c r="XAV65" s="2"/>
      <c r="XAW65" s="2"/>
      <c r="XAX65" s="2"/>
      <c r="XAY65" s="2"/>
      <c r="XAZ65" s="2"/>
      <c r="XBA65" s="2"/>
      <c r="XBB65" s="2"/>
      <c r="XBC65" s="2"/>
      <c r="XBD65" s="2"/>
      <c r="XBE65" s="2"/>
      <c r="XBF65" s="2"/>
      <c r="XBG65" s="2"/>
      <c r="XBH65" s="2"/>
      <c r="XBI65" s="2"/>
      <c r="XBJ65" s="2"/>
      <c r="XBK65" s="2"/>
      <c r="XBL65" s="2"/>
      <c r="XBM65" s="2"/>
      <c r="XBN65" s="2"/>
      <c r="XBO65" s="2"/>
      <c r="XBP65" s="2"/>
      <c r="XBQ65" s="2"/>
      <c r="XBR65" s="2"/>
      <c r="XBS65" s="2"/>
      <c r="XBT65" s="2"/>
      <c r="XBU65" s="2"/>
      <c r="XBV65" s="2"/>
      <c r="XBW65" s="2"/>
      <c r="XBX65" s="2"/>
      <c r="XBY65" s="2"/>
      <c r="XBZ65" s="2"/>
      <c r="XCA65" s="2"/>
      <c r="XCB65" s="2"/>
      <c r="XCC65" s="2"/>
      <c r="XCD65" s="2"/>
      <c r="XCE65" s="2"/>
      <c r="XCF65" s="2"/>
      <c r="XCG65" s="2"/>
      <c r="XCH65" s="2"/>
      <c r="XCI65" s="2"/>
      <c r="XCJ65" s="2"/>
      <c r="XCK65" s="2"/>
      <c r="XCL65" s="2"/>
      <c r="XCM65" s="2"/>
      <c r="XCN65" s="2"/>
      <c r="XCO65" s="2"/>
      <c r="XCP65" s="2"/>
      <c r="XCQ65" s="2"/>
      <c r="XCR65" s="2"/>
      <c r="XCS65" s="2"/>
      <c r="XCT65" s="2"/>
      <c r="XCU65" s="2"/>
      <c r="XCV65" s="2"/>
      <c r="XCW65" s="2"/>
      <c r="XCX65" s="2"/>
      <c r="XCY65" s="2"/>
      <c r="XCZ65" s="2"/>
      <c r="XDA65" s="2"/>
      <c r="XDB65" s="2"/>
      <c r="XDC65" s="2"/>
      <c r="XDD65" s="2"/>
      <c r="XDE65" s="2"/>
      <c r="XDF65" s="2"/>
      <c r="XDG65" s="2"/>
      <c r="XDH65" s="2"/>
      <c r="XDI65" s="2"/>
      <c r="XDJ65" s="2"/>
      <c r="XDK65" s="2"/>
      <c r="XDL65" s="2"/>
      <c r="XDM65" s="2"/>
      <c r="XDN65" s="2"/>
      <c r="XDO65" s="2"/>
      <c r="XDP65" s="2"/>
      <c r="XDQ65" s="2"/>
      <c r="XDR65" s="2"/>
      <c r="XDS65" s="2"/>
      <c r="XDT65" s="2"/>
      <c r="XDU65" s="2"/>
      <c r="XDV65" s="2"/>
      <c r="XDW65" s="2"/>
      <c r="XDX65" s="2"/>
      <c r="XDY65" s="2"/>
      <c r="XDZ65" s="2"/>
      <c r="XEA65" s="2"/>
      <c r="XEB65" s="2"/>
      <c r="XEC65" s="2"/>
      <c r="XED65" s="2"/>
      <c r="XEE65" s="2"/>
      <c r="XEF65" s="2"/>
      <c r="XEG65" s="2"/>
      <c r="XEH65" s="2"/>
      <c r="XEI65" s="2"/>
      <c r="XEJ65" s="2"/>
      <c r="XEK65" s="2"/>
      <c r="XEL65" s="2"/>
      <c r="XEM65" s="2"/>
      <c r="XEN65" s="2"/>
      <c r="XEO65" s="2"/>
      <c r="XEP65" s="2"/>
      <c r="XEQ65" s="2"/>
      <c r="XER65" s="2"/>
      <c r="XES65" s="2"/>
      <c r="XET65" s="2"/>
      <c r="XEU65" s="2"/>
      <c r="XEV65" s="2"/>
      <c r="XEW65" s="2"/>
      <c r="XEX65" s="2"/>
      <c r="XEY65" s="2"/>
      <c r="XEZ65" s="2"/>
      <c r="XFA65" s="2"/>
      <c r="XFB65" s="2"/>
      <c r="XFC65" s="2"/>
    </row>
    <row r="66" spans="1:16383" x14ac:dyDescent="0.35">
      <c r="A66" t="s">
        <v>209</v>
      </c>
      <c r="I66" s="22">
        <f>SUM(G63:I63)+I65</f>
        <v>280845643736.21796</v>
      </c>
      <c r="O66" s="22"/>
    </row>
    <row r="67" spans="1:16383" x14ac:dyDescent="0.35">
      <c r="A67" t="s">
        <v>210</v>
      </c>
      <c r="I67" s="1">
        <f>'NESN.SW_Balance Sheet'!C72</f>
        <v>4816000000</v>
      </c>
      <c r="O67" s="8"/>
    </row>
    <row r="68" spans="1:16383" ht="15" thickBot="1" x14ac:dyDescent="0.4">
      <c r="A68" s="2" t="s">
        <v>211</v>
      </c>
      <c r="B68" s="2"/>
      <c r="C68" s="2"/>
      <c r="D68" s="2"/>
      <c r="E68" s="2"/>
      <c r="F68" s="2"/>
      <c r="G68" s="2"/>
      <c r="H68" s="2"/>
      <c r="I68" s="28">
        <f>'NESN.SW_Balance Sheet'!B27</f>
        <v>51697000000</v>
      </c>
      <c r="J68" s="2"/>
      <c r="K68" s="2"/>
      <c r="L68" s="2"/>
      <c r="M68" s="2"/>
      <c r="N68" s="2"/>
      <c r="O68" s="28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  <c r="DP68" s="2"/>
      <c r="DQ68" s="2"/>
      <c r="DR68" s="2"/>
      <c r="DS68" s="2"/>
      <c r="DT68" s="2"/>
      <c r="DU68" s="2"/>
      <c r="DV68" s="2"/>
      <c r="DW68" s="2"/>
      <c r="DX68" s="2"/>
      <c r="DY68" s="2"/>
      <c r="DZ68" s="2"/>
      <c r="EA68" s="2"/>
      <c r="EB68" s="2"/>
      <c r="EC68" s="2"/>
      <c r="ED68" s="2"/>
      <c r="EE68" s="2"/>
      <c r="EF68" s="2"/>
      <c r="EG68" s="2"/>
      <c r="EH68" s="2"/>
      <c r="EI68" s="2"/>
      <c r="EJ68" s="2"/>
      <c r="EK68" s="2"/>
      <c r="EL68" s="2"/>
      <c r="EM68" s="2"/>
      <c r="EN68" s="2"/>
      <c r="EO68" s="2"/>
      <c r="EP68" s="2"/>
      <c r="EQ68" s="2"/>
      <c r="ER68" s="2"/>
      <c r="ES68" s="2"/>
      <c r="ET68" s="2"/>
      <c r="EU68" s="2"/>
      <c r="EV68" s="2"/>
      <c r="EW68" s="2"/>
      <c r="EX68" s="2"/>
      <c r="EY68" s="2"/>
      <c r="EZ68" s="2"/>
      <c r="FA68" s="2"/>
      <c r="FB68" s="2"/>
      <c r="FC68" s="2"/>
      <c r="FD68" s="2"/>
      <c r="FE68" s="2"/>
      <c r="FF68" s="2"/>
      <c r="FG68" s="2"/>
      <c r="FH68" s="2"/>
      <c r="FI68" s="2"/>
      <c r="FJ68" s="2"/>
      <c r="FK68" s="2"/>
      <c r="FL68" s="2"/>
      <c r="FM68" s="2"/>
      <c r="FN68" s="2"/>
      <c r="FO68" s="2"/>
      <c r="FP68" s="2"/>
      <c r="FQ68" s="2"/>
      <c r="FR68" s="2"/>
      <c r="FS68" s="2"/>
      <c r="FT68" s="2"/>
      <c r="FU68" s="2"/>
      <c r="FV68" s="2"/>
      <c r="FW68" s="2"/>
      <c r="FX68" s="2"/>
      <c r="FY68" s="2"/>
      <c r="FZ68" s="2"/>
      <c r="GA68" s="2"/>
      <c r="GB68" s="2"/>
      <c r="GC68" s="2"/>
      <c r="GD68" s="2"/>
      <c r="GE68" s="2"/>
      <c r="GF68" s="2"/>
      <c r="GG68" s="2"/>
      <c r="GH68" s="2"/>
      <c r="GI68" s="2"/>
      <c r="GJ68" s="2"/>
      <c r="GK68" s="2"/>
      <c r="GL68" s="2"/>
      <c r="GM68" s="2"/>
      <c r="GN68" s="2"/>
      <c r="GO68" s="2"/>
      <c r="GP68" s="2"/>
      <c r="GQ68" s="2"/>
      <c r="GR68" s="2"/>
      <c r="GS68" s="2"/>
      <c r="GT68" s="2"/>
      <c r="GU68" s="2"/>
      <c r="GV68" s="2"/>
      <c r="GW68" s="2"/>
      <c r="GX68" s="2"/>
      <c r="GY68" s="2"/>
      <c r="GZ68" s="2"/>
      <c r="HA68" s="2"/>
      <c r="HB68" s="2"/>
      <c r="HC68" s="2"/>
      <c r="HD68" s="2"/>
      <c r="HE68" s="2"/>
      <c r="HF68" s="2"/>
      <c r="HG68" s="2"/>
      <c r="HH68" s="2"/>
      <c r="HI68" s="2"/>
      <c r="HJ68" s="2"/>
      <c r="HK68" s="2"/>
      <c r="HL68" s="2"/>
      <c r="HM68" s="2"/>
      <c r="HN68" s="2"/>
      <c r="HO68" s="2"/>
      <c r="HP68" s="2"/>
      <c r="HQ68" s="2"/>
      <c r="HR68" s="2"/>
      <c r="HS68" s="2"/>
      <c r="HT68" s="2"/>
      <c r="HU68" s="2"/>
      <c r="HV68" s="2"/>
      <c r="HW68" s="2"/>
      <c r="HX68" s="2"/>
      <c r="HY68" s="2"/>
      <c r="HZ68" s="2"/>
      <c r="IA68" s="2"/>
      <c r="IB68" s="2"/>
      <c r="IC68" s="2"/>
      <c r="ID68" s="2"/>
      <c r="IE68" s="2"/>
      <c r="IF68" s="2"/>
      <c r="IG68" s="2"/>
      <c r="IH68" s="2"/>
      <c r="II68" s="2"/>
      <c r="IJ68" s="2"/>
      <c r="IK68" s="2"/>
      <c r="IL68" s="2"/>
      <c r="IM68" s="2"/>
      <c r="IN68" s="2"/>
      <c r="IO68" s="2"/>
      <c r="IP68" s="2"/>
      <c r="IQ68" s="2"/>
      <c r="IR68" s="2"/>
      <c r="IS68" s="2"/>
      <c r="IT68" s="2"/>
      <c r="IU68" s="2"/>
      <c r="IV68" s="2"/>
      <c r="IW68" s="2"/>
      <c r="IX68" s="2"/>
      <c r="IY68" s="2"/>
      <c r="IZ68" s="2"/>
      <c r="JA68" s="2"/>
      <c r="JB68" s="2"/>
      <c r="JC68" s="2"/>
      <c r="JD68" s="2"/>
      <c r="JE68" s="2"/>
      <c r="JF68" s="2"/>
      <c r="JG68" s="2"/>
      <c r="JH68" s="2"/>
      <c r="JI68" s="2"/>
      <c r="JJ68" s="2"/>
      <c r="JK68" s="2"/>
      <c r="JL68" s="2"/>
      <c r="JM68" s="2"/>
      <c r="JN68" s="2"/>
      <c r="JO68" s="2"/>
      <c r="JP68" s="2"/>
      <c r="JQ68" s="2"/>
      <c r="JR68" s="2"/>
      <c r="JS68" s="2"/>
      <c r="JT68" s="2"/>
      <c r="JU68" s="2"/>
      <c r="JV68" s="2"/>
      <c r="JW68" s="2"/>
      <c r="JX68" s="2"/>
      <c r="JY68" s="2"/>
      <c r="JZ68" s="2"/>
      <c r="KA68" s="2"/>
      <c r="KB68" s="2"/>
      <c r="KC68" s="2"/>
      <c r="KD68" s="2"/>
      <c r="KE68" s="2"/>
      <c r="KF68" s="2"/>
      <c r="KG68" s="2"/>
      <c r="KH68" s="2"/>
      <c r="KI68" s="2"/>
      <c r="KJ68" s="2"/>
      <c r="KK68" s="2"/>
      <c r="KL68" s="2"/>
      <c r="KM68" s="2"/>
      <c r="KN68" s="2"/>
      <c r="KO68" s="2"/>
      <c r="KP68" s="2"/>
      <c r="KQ68" s="2"/>
      <c r="KR68" s="2"/>
      <c r="KS68" s="2"/>
      <c r="KT68" s="2"/>
      <c r="KU68" s="2"/>
      <c r="KV68" s="2"/>
      <c r="KW68" s="2"/>
      <c r="KX68" s="2"/>
      <c r="KY68" s="2"/>
      <c r="KZ68" s="2"/>
      <c r="LA68" s="2"/>
      <c r="LB68" s="2"/>
      <c r="LC68" s="2"/>
      <c r="LD68" s="2"/>
      <c r="LE68" s="2"/>
      <c r="LF68" s="2"/>
      <c r="LG68" s="2"/>
      <c r="LH68" s="2"/>
      <c r="LI68" s="2"/>
      <c r="LJ68" s="2"/>
      <c r="LK68" s="2"/>
      <c r="LL68" s="2"/>
      <c r="LM68" s="2"/>
      <c r="LN68" s="2"/>
      <c r="LO68" s="2"/>
      <c r="LP68" s="2"/>
      <c r="LQ68" s="2"/>
      <c r="LR68" s="2"/>
      <c r="LS68" s="2"/>
      <c r="LT68" s="2"/>
      <c r="LU68" s="2"/>
      <c r="LV68" s="2"/>
      <c r="LW68" s="2"/>
      <c r="LX68" s="2"/>
      <c r="LY68" s="2"/>
      <c r="LZ68" s="2"/>
      <c r="MA68" s="2"/>
      <c r="MB68" s="2"/>
      <c r="MC68" s="2"/>
      <c r="MD68" s="2"/>
      <c r="ME68" s="2"/>
      <c r="MF68" s="2"/>
      <c r="MG68" s="2"/>
      <c r="MH68" s="2"/>
      <c r="MI68" s="2"/>
      <c r="MJ68" s="2"/>
      <c r="MK68" s="2"/>
      <c r="ML68" s="2"/>
      <c r="MM68" s="2"/>
      <c r="MN68" s="2"/>
      <c r="MO68" s="2"/>
      <c r="MP68" s="2"/>
      <c r="MQ68" s="2"/>
      <c r="MR68" s="2"/>
      <c r="MS68" s="2"/>
      <c r="MT68" s="2"/>
      <c r="MU68" s="2"/>
      <c r="MV68" s="2"/>
      <c r="MW68" s="2"/>
      <c r="MX68" s="2"/>
      <c r="MY68" s="2"/>
      <c r="MZ68" s="2"/>
      <c r="NA68" s="2"/>
      <c r="NB68" s="2"/>
      <c r="NC68" s="2"/>
      <c r="ND68" s="2"/>
      <c r="NE68" s="2"/>
      <c r="NF68" s="2"/>
      <c r="NG68" s="2"/>
      <c r="NH68" s="2"/>
      <c r="NI68" s="2"/>
      <c r="NJ68" s="2"/>
      <c r="NK68" s="2"/>
      <c r="NL68" s="2"/>
      <c r="NM68" s="2"/>
      <c r="NN68" s="2"/>
      <c r="NO68" s="2"/>
      <c r="NP68" s="2"/>
      <c r="NQ68" s="2"/>
      <c r="NR68" s="2"/>
      <c r="NS68" s="2"/>
      <c r="NT68" s="2"/>
      <c r="NU68" s="2"/>
      <c r="NV68" s="2"/>
      <c r="NW68" s="2"/>
      <c r="NX68" s="2"/>
      <c r="NY68" s="2"/>
      <c r="NZ68" s="2"/>
      <c r="OA68" s="2"/>
      <c r="OB68" s="2"/>
      <c r="OC68" s="2"/>
      <c r="OD68" s="2"/>
      <c r="OE68" s="2"/>
      <c r="OF68" s="2"/>
      <c r="OG68" s="2"/>
      <c r="OH68" s="2"/>
      <c r="OI68" s="2"/>
      <c r="OJ68" s="2"/>
      <c r="OK68" s="2"/>
      <c r="OL68" s="2"/>
      <c r="OM68" s="2"/>
      <c r="ON68" s="2"/>
      <c r="OO68" s="2"/>
      <c r="OP68" s="2"/>
      <c r="OQ68" s="2"/>
      <c r="OR68" s="2"/>
      <c r="OS68" s="2"/>
      <c r="OT68" s="2"/>
      <c r="OU68" s="2"/>
      <c r="OV68" s="2"/>
      <c r="OW68" s="2"/>
      <c r="OX68" s="2"/>
      <c r="OY68" s="2"/>
      <c r="OZ68" s="2"/>
      <c r="PA68" s="2"/>
      <c r="PB68" s="2"/>
      <c r="PC68" s="2"/>
      <c r="PD68" s="2"/>
      <c r="PE68" s="2"/>
      <c r="PF68" s="2"/>
      <c r="PG68" s="2"/>
      <c r="PH68" s="2"/>
      <c r="PI68" s="2"/>
      <c r="PJ68" s="2"/>
      <c r="PK68" s="2"/>
      <c r="PL68" s="2"/>
      <c r="PM68" s="2"/>
      <c r="PN68" s="2"/>
      <c r="PO68" s="2"/>
      <c r="PP68" s="2"/>
      <c r="PQ68" s="2"/>
      <c r="PR68" s="2"/>
      <c r="PS68" s="2"/>
      <c r="PT68" s="2"/>
      <c r="PU68" s="2"/>
      <c r="PV68" s="2"/>
      <c r="PW68" s="2"/>
      <c r="PX68" s="2"/>
      <c r="PY68" s="2"/>
      <c r="PZ68" s="2"/>
      <c r="QA68" s="2"/>
      <c r="QB68" s="2"/>
      <c r="QC68" s="2"/>
      <c r="QD68" s="2"/>
      <c r="QE68" s="2"/>
      <c r="QF68" s="2"/>
      <c r="QG68" s="2"/>
      <c r="QH68" s="2"/>
      <c r="QI68" s="2"/>
      <c r="QJ68" s="2"/>
      <c r="QK68" s="2"/>
      <c r="QL68" s="2"/>
      <c r="QM68" s="2"/>
      <c r="QN68" s="2"/>
      <c r="QO68" s="2"/>
      <c r="QP68" s="2"/>
      <c r="QQ68" s="2"/>
      <c r="QR68" s="2"/>
      <c r="QS68" s="2"/>
      <c r="QT68" s="2"/>
      <c r="QU68" s="2"/>
      <c r="QV68" s="2"/>
      <c r="QW68" s="2"/>
      <c r="QX68" s="2"/>
      <c r="QY68" s="2"/>
      <c r="QZ68" s="2"/>
      <c r="RA68" s="2"/>
      <c r="RB68" s="2"/>
      <c r="RC68" s="2"/>
      <c r="RD68" s="2"/>
      <c r="RE68" s="2"/>
      <c r="RF68" s="2"/>
      <c r="RG68" s="2"/>
      <c r="RH68" s="2"/>
      <c r="RI68" s="2"/>
      <c r="RJ68" s="2"/>
      <c r="RK68" s="2"/>
      <c r="RL68" s="2"/>
      <c r="RM68" s="2"/>
      <c r="RN68" s="2"/>
      <c r="RO68" s="2"/>
      <c r="RP68" s="2"/>
      <c r="RQ68" s="2"/>
      <c r="RR68" s="2"/>
      <c r="RS68" s="2"/>
      <c r="RT68" s="2"/>
      <c r="RU68" s="2"/>
      <c r="RV68" s="2"/>
      <c r="RW68" s="2"/>
      <c r="RX68" s="2"/>
      <c r="RY68" s="2"/>
      <c r="RZ68" s="2"/>
      <c r="SA68" s="2"/>
      <c r="SB68" s="2"/>
      <c r="SC68" s="2"/>
      <c r="SD68" s="2"/>
      <c r="SE68" s="2"/>
      <c r="SF68" s="2"/>
      <c r="SG68" s="2"/>
      <c r="SH68" s="2"/>
      <c r="SI68" s="2"/>
      <c r="SJ68" s="2"/>
      <c r="SK68" s="2"/>
      <c r="SL68" s="2"/>
      <c r="SM68" s="2"/>
      <c r="SN68" s="2"/>
      <c r="SO68" s="2"/>
      <c r="SP68" s="2"/>
      <c r="SQ68" s="2"/>
      <c r="SR68" s="2"/>
      <c r="SS68" s="2"/>
      <c r="ST68" s="2"/>
      <c r="SU68" s="2"/>
      <c r="SV68" s="2"/>
      <c r="SW68" s="2"/>
      <c r="SX68" s="2"/>
      <c r="SY68" s="2"/>
      <c r="SZ68" s="2"/>
      <c r="TA68" s="2"/>
      <c r="TB68" s="2"/>
      <c r="TC68" s="2"/>
      <c r="TD68" s="2"/>
      <c r="TE68" s="2"/>
      <c r="TF68" s="2"/>
      <c r="TG68" s="2"/>
      <c r="TH68" s="2"/>
      <c r="TI68" s="2"/>
      <c r="TJ68" s="2"/>
      <c r="TK68" s="2"/>
      <c r="TL68" s="2"/>
      <c r="TM68" s="2"/>
      <c r="TN68" s="2"/>
      <c r="TO68" s="2"/>
      <c r="TP68" s="2"/>
      <c r="TQ68" s="2"/>
      <c r="TR68" s="2"/>
      <c r="TS68" s="2"/>
      <c r="TT68" s="2"/>
      <c r="TU68" s="2"/>
      <c r="TV68" s="2"/>
      <c r="TW68" s="2"/>
      <c r="TX68" s="2"/>
      <c r="TY68" s="2"/>
      <c r="TZ68" s="2"/>
      <c r="UA68" s="2"/>
      <c r="UB68" s="2"/>
      <c r="UC68" s="2"/>
      <c r="UD68" s="2"/>
      <c r="UE68" s="2"/>
      <c r="UF68" s="2"/>
      <c r="UG68" s="2"/>
      <c r="UH68" s="2"/>
      <c r="UI68" s="2"/>
      <c r="UJ68" s="2"/>
      <c r="UK68" s="2"/>
      <c r="UL68" s="2"/>
      <c r="UM68" s="2"/>
      <c r="UN68" s="2"/>
      <c r="UO68" s="2"/>
      <c r="UP68" s="2"/>
      <c r="UQ68" s="2"/>
      <c r="UR68" s="2"/>
      <c r="US68" s="2"/>
      <c r="UT68" s="2"/>
      <c r="UU68" s="2"/>
      <c r="UV68" s="2"/>
      <c r="UW68" s="2"/>
      <c r="UX68" s="2"/>
      <c r="UY68" s="2"/>
      <c r="UZ68" s="2"/>
      <c r="VA68" s="2"/>
      <c r="VB68" s="2"/>
      <c r="VC68" s="2"/>
      <c r="VD68" s="2"/>
      <c r="VE68" s="2"/>
      <c r="VF68" s="2"/>
      <c r="VG68" s="2"/>
      <c r="VH68" s="2"/>
      <c r="VI68" s="2"/>
      <c r="VJ68" s="2"/>
      <c r="VK68" s="2"/>
      <c r="VL68" s="2"/>
      <c r="VM68" s="2"/>
      <c r="VN68" s="2"/>
      <c r="VO68" s="2"/>
      <c r="VP68" s="2"/>
      <c r="VQ68" s="2"/>
      <c r="VR68" s="2"/>
      <c r="VS68" s="2"/>
      <c r="VT68" s="2"/>
      <c r="VU68" s="2"/>
      <c r="VV68" s="2"/>
      <c r="VW68" s="2"/>
      <c r="VX68" s="2"/>
      <c r="VY68" s="2"/>
      <c r="VZ68" s="2"/>
      <c r="WA68" s="2"/>
      <c r="WB68" s="2"/>
      <c r="WC68" s="2"/>
      <c r="WD68" s="2"/>
      <c r="WE68" s="2"/>
      <c r="WF68" s="2"/>
      <c r="WG68" s="2"/>
      <c r="WH68" s="2"/>
      <c r="WI68" s="2"/>
      <c r="WJ68" s="2"/>
      <c r="WK68" s="2"/>
      <c r="WL68" s="2"/>
      <c r="WM68" s="2"/>
      <c r="WN68" s="2"/>
      <c r="WO68" s="2"/>
      <c r="WP68" s="2"/>
      <c r="WQ68" s="2"/>
      <c r="WR68" s="2"/>
      <c r="WS68" s="2"/>
      <c r="WT68" s="2"/>
      <c r="WU68" s="2"/>
      <c r="WV68" s="2"/>
      <c r="WW68" s="2"/>
      <c r="WX68" s="2"/>
      <c r="WY68" s="2"/>
      <c r="WZ68" s="2"/>
      <c r="XA68" s="2"/>
      <c r="XB68" s="2"/>
      <c r="XC68" s="2"/>
      <c r="XD68" s="2"/>
      <c r="XE68" s="2"/>
      <c r="XF68" s="2"/>
      <c r="XG68" s="2"/>
      <c r="XH68" s="2"/>
      <c r="XI68" s="2"/>
      <c r="XJ68" s="2"/>
      <c r="XK68" s="2"/>
      <c r="XL68" s="2"/>
      <c r="XM68" s="2"/>
      <c r="XN68" s="2"/>
      <c r="XO68" s="2"/>
      <c r="XP68" s="2"/>
      <c r="XQ68" s="2"/>
      <c r="XR68" s="2"/>
      <c r="XS68" s="2"/>
      <c r="XT68" s="2"/>
      <c r="XU68" s="2"/>
      <c r="XV68" s="2"/>
      <c r="XW68" s="2"/>
      <c r="XX68" s="2"/>
      <c r="XY68" s="2"/>
      <c r="XZ68" s="2"/>
      <c r="YA68" s="2"/>
      <c r="YB68" s="2"/>
      <c r="YC68" s="2"/>
      <c r="YD68" s="2"/>
      <c r="YE68" s="2"/>
      <c r="YF68" s="2"/>
      <c r="YG68" s="2"/>
      <c r="YH68" s="2"/>
      <c r="YI68" s="2"/>
      <c r="YJ68" s="2"/>
      <c r="YK68" s="2"/>
      <c r="YL68" s="2"/>
      <c r="YM68" s="2"/>
      <c r="YN68" s="2"/>
      <c r="YO68" s="2"/>
      <c r="YP68" s="2"/>
      <c r="YQ68" s="2"/>
      <c r="YR68" s="2"/>
      <c r="YS68" s="2"/>
      <c r="YT68" s="2"/>
      <c r="YU68" s="2"/>
      <c r="YV68" s="2"/>
      <c r="YW68" s="2"/>
      <c r="YX68" s="2"/>
      <c r="YY68" s="2"/>
      <c r="YZ68" s="2"/>
      <c r="ZA68" s="2"/>
      <c r="ZB68" s="2"/>
      <c r="ZC68" s="2"/>
      <c r="ZD68" s="2"/>
      <c r="ZE68" s="2"/>
      <c r="ZF68" s="2"/>
      <c r="ZG68" s="2"/>
      <c r="ZH68" s="2"/>
      <c r="ZI68" s="2"/>
      <c r="ZJ68" s="2"/>
      <c r="ZK68" s="2"/>
      <c r="ZL68" s="2"/>
      <c r="ZM68" s="2"/>
      <c r="ZN68" s="2"/>
      <c r="ZO68" s="2"/>
      <c r="ZP68" s="2"/>
      <c r="ZQ68" s="2"/>
      <c r="ZR68" s="2"/>
      <c r="ZS68" s="2"/>
      <c r="ZT68" s="2"/>
      <c r="ZU68" s="2"/>
      <c r="ZV68" s="2"/>
      <c r="ZW68" s="2"/>
      <c r="ZX68" s="2"/>
      <c r="ZY68" s="2"/>
      <c r="ZZ68" s="2"/>
      <c r="AAA68" s="2"/>
      <c r="AAB68" s="2"/>
      <c r="AAC68" s="2"/>
      <c r="AAD68" s="2"/>
      <c r="AAE68" s="2"/>
      <c r="AAF68" s="2"/>
      <c r="AAG68" s="2"/>
      <c r="AAH68" s="2"/>
      <c r="AAI68" s="2"/>
      <c r="AAJ68" s="2"/>
      <c r="AAK68" s="2"/>
      <c r="AAL68" s="2"/>
      <c r="AAM68" s="2"/>
      <c r="AAN68" s="2"/>
      <c r="AAO68" s="2"/>
      <c r="AAP68" s="2"/>
      <c r="AAQ68" s="2"/>
      <c r="AAR68" s="2"/>
      <c r="AAS68" s="2"/>
      <c r="AAT68" s="2"/>
      <c r="AAU68" s="2"/>
      <c r="AAV68" s="2"/>
      <c r="AAW68" s="2"/>
      <c r="AAX68" s="2"/>
      <c r="AAY68" s="2"/>
      <c r="AAZ68" s="2"/>
      <c r="ABA68" s="2"/>
      <c r="ABB68" s="2"/>
      <c r="ABC68" s="2"/>
      <c r="ABD68" s="2"/>
      <c r="ABE68" s="2"/>
      <c r="ABF68" s="2"/>
      <c r="ABG68" s="2"/>
      <c r="ABH68" s="2"/>
      <c r="ABI68" s="2"/>
      <c r="ABJ68" s="2"/>
      <c r="ABK68" s="2"/>
      <c r="ABL68" s="2"/>
      <c r="ABM68" s="2"/>
      <c r="ABN68" s="2"/>
      <c r="ABO68" s="2"/>
      <c r="ABP68" s="2"/>
      <c r="ABQ68" s="2"/>
      <c r="ABR68" s="2"/>
      <c r="ABS68" s="2"/>
      <c r="ABT68" s="2"/>
      <c r="ABU68" s="2"/>
      <c r="ABV68" s="2"/>
      <c r="ABW68" s="2"/>
      <c r="ABX68" s="2"/>
      <c r="ABY68" s="2"/>
      <c r="ABZ68" s="2"/>
      <c r="ACA68" s="2"/>
      <c r="ACB68" s="2"/>
      <c r="ACC68" s="2"/>
      <c r="ACD68" s="2"/>
      <c r="ACE68" s="2"/>
      <c r="ACF68" s="2"/>
      <c r="ACG68" s="2"/>
      <c r="ACH68" s="2"/>
      <c r="ACI68" s="2"/>
      <c r="ACJ68" s="2"/>
      <c r="ACK68" s="2"/>
      <c r="ACL68" s="2"/>
      <c r="ACM68" s="2"/>
      <c r="ACN68" s="2"/>
      <c r="ACO68" s="2"/>
      <c r="ACP68" s="2"/>
      <c r="ACQ68" s="2"/>
      <c r="ACR68" s="2"/>
      <c r="ACS68" s="2"/>
      <c r="ACT68" s="2"/>
      <c r="ACU68" s="2"/>
      <c r="ACV68" s="2"/>
      <c r="ACW68" s="2"/>
      <c r="ACX68" s="2"/>
      <c r="ACY68" s="2"/>
      <c r="ACZ68" s="2"/>
      <c r="ADA68" s="2"/>
      <c r="ADB68" s="2"/>
      <c r="ADC68" s="2"/>
      <c r="ADD68" s="2"/>
      <c r="ADE68" s="2"/>
      <c r="ADF68" s="2"/>
      <c r="ADG68" s="2"/>
      <c r="ADH68" s="2"/>
      <c r="ADI68" s="2"/>
      <c r="ADJ68" s="2"/>
      <c r="ADK68" s="2"/>
      <c r="ADL68" s="2"/>
      <c r="ADM68" s="2"/>
      <c r="ADN68" s="2"/>
      <c r="ADO68" s="2"/>
      <c r="ADP68" s="2"/>
      <c r="ADQ68" s="2"/>
      <c r="ADR68" s="2"/>
      <c r="ADS68" s="2"/>
      <c r="ADT68" s="2"/>
      <c r="ADU68" s="2"/>
      <c r="ADV68" s="2"/>
      <c r="ADW68" s="2"/>
      <c r="ADX68" s="2"/>
      <c r="ADY68" s="2"/>
      <c r="ADZ68" s="2"/>
      <c r="AEA68" s="2"/>
      <c r="AEB68" s="2"/>
      <c r="AEC68" s="2"/>
      <c r="AED68" s="2"/>
      <c r="AEE68" s="2"/>
      <c r="AEF68" s="2"/>
      <c r="AEG68" s="2"/>
      <c r="AEH68" s="2"/>
      <c r="AEI68" s="2"/>
      <c r="AEJ68" s="2"/>
      <c r="AEK68" s="2"/>
      <c r="AEL68" s="2"/>
      <c r="AEM68" s="2"/>
      <c r="AEN68" s="2"/>
      <c r="AEO68" s="2"/>
      <c r="AEP68" s="2"/>
      <c r="AEQ68" s="2"/>
      <c r="AER68" s="2"/>
      <c r="AES68" s="2"/>
      <c r="AET68" s="2"/>
      <c r="AEU68" s="2"/>
      <c r="AEV68" s="2"/>
      <c r="AEW68" s="2"/>
      <c r="AEX68" s="2"/>
      <c r="AEY68" s="2"/>
      <c r="AEZ68" s="2"/>
      <c r="AFA68" s="2"/>
      <c r="AFB68" s="2"/>
      <c r="AFC68" s="2"/>
      <c r="AFD68" s="2"/>
      <c r="AFE68" s="2"/>
      <c r="AFF68" s="2"/>
      <c r="AFG68" s="2"/>
      <c r="AFH68" s="2"/>
      <c r="AFI68" s="2"/>
      <c r="AFJ68" s="2"/>
      <c r="AFK68" s="2"/>
      <c r="AFL68" s="2"/>
      <c r="AFM68" s="2"/>
      <c r="AFN68" s="2"/>
      <c r="AFO68" s="2"/>
      <c r="AFP68" s="2"/>
      <c r="AFQ68" s="2"/>
      <c r="AFR68" s="2"/>
      <c r="AFS68" s="2"/>
      <c r="AFT68" s="2"/>
      <c r="AFU68" s="2"/>
      <c r="AFV68" s="2"/>
      <c r="AFW68" s="2"/>
      <c r="AFX68" s="2"/>
      <c r="AFY68" s="2"/>
      <c r="AFZ68" s="2"/>
      <c r="AGA68" s="2"/>
      <c r="AGB68" s="2"/>
      <c r="AGC68" s="2"/>
      <c r="AGD68" s="2"/>
      <c r="AGE68" s="2"/>
      <c r="AGF68" s="2"/>
      <c r="AGG68" s="2"/>
      <c r="AGH68" s="2"/>
      <c r="AGI68" s="2"/>
      <c r="AGJ68" s="2"/>
      <c r="AGK68" s="2"/>
      <c r="AGL68" s="2"/>
      <c r="AGM68" s="2"/>
      <c r="AGN68" s="2"/>
      <c r="AGO68" s="2"/>
      <c r="AGP68" s="2"/>
      <c r="AGQ68" s="2"/>
      <c r="AGR68" s="2"/>
      <c r="AGS68" s="2"/>
      <c r="AGT68" s="2"/>
      <c r="AGU68" s="2"/>
      <c r="AGV68" s="2"/>
      <c r="AGW68" s="2"/>
      <c r="AGX68" s="2"/>
      <c r="AGY68" s="2"/>
      <c r="AGZ68" s="2"/>
      <c r="AHA68" s="2"/>
      <c r="AHB68" s="2"/>
      <c r="AHC68" s="2"/>
      <c r="AHD68" s="2"/>
      <c r="AHE68" s="2"/>
      <c r="AHF68" s="2"/>
      <c r="AHG68" s="2"/>
      <c r="AHH68" s="2"/>
      <c r="AHI68" s="2"/>
      <c r="AHJ68" s="2"/>
      <c r="AHK68" s="2"/>
      <c r="AHL68" s="2"/>
      <c r="AHM68" s="2"/>
      <c r="AHN68" s="2"/>
      <c r="AHO68" s="2"/>
      <c r="AHP68" s="2"/>
      <c r="AHQ68" s="2"/>
      <c r="AHR68" s="2"/>
      <c r="AHS68" s="2"/>
      <c r="AHT68" s="2"/>
      <c r="AHU68" s="2"/>
      <c r="AHV68" s="2"/>
      <c r="AHW68" s="2"/>
      <c r="AHX68" s="2"/>
      <c r="AHY68" s="2"/>
      <c r="AHZ68" s="2"/>
      <c r="AIA68" s="2"/>
      <c r="AIB68" s="2"/>
      <c r="AIC68" s="2"/>
      <c r="AID68" s="2"/>
      <c r="AIE68" s="2"/>
      <c r="AIF68" s="2"/>
      <c r="AIG68" s="2"/>
      <c r="AIH68" s="2"/>
      <c r="AII68" s="2"/>
      <c r="AIJ68" s="2"/>
      <c r="AIK68" s="2"/>
      <c r="AIL68" s="2"/>
      <c r="AIM68" s="2"/>
      <c r="AIN68" s="2"/>
      <c r="AIO68" s="2"/>
      <c r="AIP68" s="2"/>
      <c r="AIQ68" s="2"/>
      <c r="AIR68" s="2"/>
      <c r="AIS68" s="2"/>
      <c r="AIT68" s="2"/>
      <c r="AIU68" s="2"/>
      <c r="AIV68" s="2"/>
      <c r="AIW68" s="2"/>
      <c r="AIX68" s="2"/>
      <c r="AIY68" s="2"/>
      <c r="AIZ68" s="2"/>
      <c r="AJA68" s="2"/>
      <c r="AJB68" s="2"/>
      <c r="AJC68" s="2"/>
      <c r="AJD68" s="2"/>
      <c r="AJE68" s="2"/>
      <c r="AJF68" s="2"/>
      <c r="AJG68" s="2"/>
      <c r="AJH68" s="2"/>
      <c r="AJI68" s="2"/>
      <c r="AJJ68" s="2"/>
      <c r="AJK68" s="2"/>
      <c r="AJL68" s="2"/>
      <c r="AJM68" s="2"/>
      <c r="AJN68" s="2"/>
      <c r="AJO68" s="2"/>
      <c r="AJP68" s="2"/>
      <c r="AJQ68" s="2"/>
      <c r="AJR68" s="2"/>
      <c r="AJS68" s="2"/>
      <c r="AJT68" s="2"/>
      <c r="AJU68" s="2"/>
      <c r="AJV68" s="2"/>
      <c r="AJW68" s="2"/>
      <c r="AJX68" s="2"/>
      <c r="AJY68" s="2"/>
      <c r="AJZ68" s="2"/>
      <c r="AKA68" s="2"/>
      <c r="AKB68" s="2"/>
      <c r="AKC68" s="2"/>
      <c r="AKD68" s="2"/>
      <c r="AKE68" s="2"/>
      <c r="AKF68" s="2"/>
      <c r="AKG68" s="2"/>
      <c r="AKH68" s="2"/>
      <c r="AKI68" s="2"/>
      <c r="AKJ68" s="2"/>
      <c r="AKK68" s="2"/>
      <c r="AKL68" s="2"/>
      <c r="AKM68" s="2"/>
      <c r="AKN68" s="2"/>
      <c r="AKO68" s="2"/>
      <c r="AKP68" s="2"/>
      <c r="AKQ68" s="2"/>
      <c r="AKR68" s="2"/>
      <c r="AKS68" s="2"/>
      <c r="AKT68" s="2"/>
      <c r="AKU68" s="2"/>
      <c r="AKV68" s="2"/>
      <c r="AKW68" s="2"/>
      <c r="AKX68" s="2"/>
      <c r="AKY68" s="2"/>
      <c r="AKZ68" s="2"/>
      <c r="ALA68" s="2"/>
      <c r="ALB68" s="2"/>
      <c r="ALC68" s="2"/>
      <c r="ALD68" s="2"/>
      <c r="ALE68" s="2"/>
      <c r="ALF68" s="2"/>
      <c r="ALG68" s="2"/>
      <c r="ALH68" s="2"/>
      <c r="ALI68" s="2"/>
      <c r="ALJ68" s="2"/>
      <c r="ALK68" s="2"/>
      <c r="ALL68" s="2"/>
      <c r="ALM68" s="2"/>
      <c r="ALN68" s="2"/>
      <c r="ALO68" s="2"/>
      <c r="ALP68" s="2"/>
      <c r="ALQ68" s="2"/>
      <c r="ALR68" s="2"/>
      <c r="ALS68" s="2"/>
      <c r="ALT68" s="2"/>
      <c r="ALU68" s="2"/>
      <c r="ALV68" s="2"/>
      <c r="ALW68" s="2"/>
      <c r="ALX68" s="2"/>
      <c r="ALY68" s="2"/>
      <c r="ALZ68" s="2"/>
      <c r="AMA68" s="2"/>
      <c r="AMB68" s="2"/>
      <c r="AMC68" s="2"/>
      <c r="AMD68" s="2"/>
      <c r="AME68" s="2"/>
      <c r="AMF68" s="2"/>
      <c r="AMG68" s="2"/>
      <c r="AMH68" s="2"/>
      <c r="AMI68" s="2"/>
      <c r="AMJ68" s="2"/>
      <c r="AMK68" s="2"/>
      <c r="AML68" s="2"/>
      <c r="AMM68" s="2"/>
      <c r="AMN68" s="2"/>
      <c r="AMO68" s="2"/>
      <c r="AMP68" s="2"/>
      <c r="AMQ68" s="2"/>
      <c r="AMR68" s="2"/>
      <c r="AMS68" s="2"/>
      <c r="AMT68" s="2"/>
      <c r="AMU68" s="2"/>
      <c r="AMV68" s="2"/>
      <c r="AMW68" s="2"/>
      <c r="AMX68" s="2"/>
      <c r="AMY68" s="2"/>
      <c r="AMZ68" s="2"/>
      <c r="ANA68" s="2"/>
      <c r="ANB68" s="2"/>
      <c r="ANC68" s="2"/>
      <c r="AND68" s="2"/>
      <c r="ANE68" s="2"/>
      <c r="ANF68" s="2"/>
      <c r="ANG68" s="2"/>
      <c r="ANH68" s="2"/>
      <c r="ANI68" s="2"/>
      <c r="ANJ68" s="2"/>
      <c r="ANK68" s="2"/>
      <c r="ANL68" s="2"/>
      <c r="ANM68" s="2"/>
      <c r="ANN68" s="2"/>
      <c r="ANO68" s="2"/>
      <c r="ANP68" s="2"/>
      <c r="ANQ68" s="2"/>
      <c r="ANR68" s="2"/>
      <c r="ANS68" s="2"/>
      <c r="ANT68" s="2"/>
      <c r="ANU68" s="2"/>
      <c r="ANV68" s="2"/>
      <c r="ANW68" s="2"/>
      <c r="ANX68" s="2"/>
      <c r="ANY68" s="2"/>
      <c r="ANZ68" s="2"/>
      <c r="AOA68" s="2"/>
      <c r="AOB68" s="2"/>
      <c r="AOC68" s="2"/>
      <c r="AOD68" s="2"/>
      <c r="AOE68" s="2"/>
      <c r="AOF68" s="2"/>
      <c r="AOG68" s="2"/>
      <c r="AOH68" s="2"/>
      <c r="AOI68" s="2"/>
      <c r="AOJ68" s="2"/>
      <c r="AOK68" s="2"/>
      <c r="AOL68" s="2"/>
      <c r="AOM68" s="2"/>
      <c r="AON68" s="2"/>
      <c r="AOO68" s="2"/>
      <c r="AOP68" s="2"/>
      <c r="AOQ68" s="2"/>
      <c r="AOR68" s="2"/>
      <c r="AOS68" s="2"/>
      <c r="AOT68" s="2"/>
      <c r="AOU68" s="2"/>
      <c r="AOV68" s="2"/>
      <c r="AOW68" s="2"/>
      <c r="AOX68" s="2"/>
      <c r="AOY68" s="2"/>
      <c r="AOZ68" s="2"/>
      <c r="APA68" s="2"/>
      <c r="APB68" s="2"/>
      <c r="APC68" s="2"/>
      <c r="APD68" s="2"/>
      <c r="APE68" s="2"/>
      <c r="APF68" s="2"/>
      <c r="APG68" s="2"/>
      <c r="APH68" s="2"/>
      <c r="API68" s="2"/>
      <c r="APJ68" s="2"/>
      <c r="APK68" s="2"/>
      <c r="APL68" s="2"/>
      <c r="APM68" s="2"/>
      <c r="APN68" s="2"/>
      <c r="APO68" s="2"/>
      <c r="APP68" s="2"/>
      <c r="APQ68" s="2"/>
      <c r="APR68" s="2"/>
      <c r="APS68" s="2"/>
      <c r="APT68" s="2"/>
      <c r="APU68" s="2"/>
      <c r="APV68" s="2"/>
      <c r="APW68" s="2"/>
      <c r="APX68" s="2"/>
      <c r="APY68" s="2"/>
      <c r="APZ68" s="2"/>
      <c r="AQA68" s="2"/>
      <c r="AQB68" s="2"/>
      <c r="AQC68" s="2"/>
      <c r="AQD68" s="2"/>
      <c r="AQE68" s="2"/>
      <c r="AQF68" s="2"/>
      <c r="AQG68" s="2"/>
      <c r="AQH68" s="2"/>
      <c r="AQI68" s="2"/>
      <c r="AQJ68" s="2"/>
      <c r="AQK68" s="2"/>
      <c r="AQL68" s="2"/>
      <c r="AQM68" s="2"/>
      <c r="AQN68" s="2"/>
      <c r="AQO68" s="2"/>
      <c r="AQP68" s="2"/>
      <c r="AQQ68" s="2"/>
      <c r="AQR68" s="2"/>
      <c r="AQS68" s="2"/>
      <c r="AQT68" s="2"/>
      <c r="AQU68" s="2"/>
      <c r="AQV68" s="2"/>
      <c r="AQW68" s="2"/>
      <c r="AQX68" s="2"/>
      <c r="AQY68" s="2"/>
      <c r="AQZ68" s="2"/>
      <c r="ARA68" s="2"/>
      <c r="ARB68" s="2"/>
      <c r="ARC68" s="2"/>
      <c r="ARD68" s="2"/>
      <c r="ARE68" s="2"/>
      <c r="ARF68" s="2"/>
      <c r="ARG68" s="2"/>
      <c r="ARH68" s="2"/>
      <c r="ARI68" s="2"/>
      <c r="ARJ68" s="2"/>
      <c r="ARK68" s="2"/>
      <c r="ARL68" s="2"/>
      <c r="ARM68" s="2"/>
      <c r="ARN68" s="2"/>
      <c r="ARO68" s="2"/>
      <c r="ARP68" s="2"/>
      <c r="ARQ68" s="2"/>
      <c r="ARR68" s="2"/>
      <c r="ARS68" s="2"/>
      <c r="ART68" s="2"/>
      <c r="ARU68" s="2"/>
      <c r="ARV68" s="2"/>
      <c r="ARW68" s="2"/>
      <c r="ARX68" s="2"/>
      <c r="ARY68" s="2"/>
      <c r="ARZ68" s="2"/>
      <c r="ASA68" s="2"/>
      <c r="ASB68" s="2"/>
      <c r="ASC68" s="2"/>
      <c r="ASD68" s="2"/>
      <c r="ASE68" s="2"/>
      <c r="ASF68" s="2"/>
      <c r="ASG68" s="2"/>
      <c r="ASH68" s="2"/>
      <c r="ASI68" s="2"/>
      <c r="ASJ68" s="2"/>
      <c r="ASK68" s="2"/>
      <c r="ASL68" s="2"/>
      <c r="ASM68" s="2"/>
      <c r="ASN68" s="2"/>
      <c r="ASO68" s="2"/>
      <c r="ASP68" s="2"/>
      <c r="ASQ68" s="2"/>
      <c r="ASR68" s="2"/>
      <c r="ASS68" s="2"/>
      <c r="AST68" s="2"/>
      <c r="ASU68" s="2"/>
      <c r="ASV68" s="2"/>
      <c r="ASW68" s="2"/>
      <c r="ASX68" s="2"/>
      <c r="ASY68" s="2"/>
      <c r="ASZ68" s="2"/>
      <c r="ATA68" s="2"/>
      <c r="ATB68" s="2"/>
      <c r="ATC68" s="2"/>
      <c r="ATD68" s="2"/>
      <c r="ATE68" s="2"/>
      <c r="ATF68" s="2"/>
      <c r="ATG68" s="2"/>
      <c r="ATH68" s="2"/>
      <c r="ATI68" s="2"/>
      <c r="ATJ68" s="2"/>
      <c r="ATK68" s="2"/>
      <c r="ATL68" s="2"/>
      <c r="ATM68" s="2"/>
      <c r="ATN68" s="2"/>
      <c r="ATO68" s="2"/>
      <c r="ATP68" s="2"/>
      <c r="ATQ68" s="2"/>
      <c r="ATR68" s="2"/>
      <c r="ATS68" s="2"/>
      <c r="ATT68" s="2"/>
      <c r="ATU68" s="2"/>
      <c r="ATV68" s="2"/>
      <c r="ATW68" s="2"/>
      <c r="ATX68" s="2"/>
      <c r="ATY68" s="2"/>
      <c r="ATZ68" s="2"/>
      <c r="AUA68" s="2"/>
      <c r="AUB68" s="2"/>
      <c r="AUC68" s="2"/>
      <c r="AUD68" s="2"/>
      <c r="AUE68" s="2"/>
      <c r="AUF68" s="2"/>
      <c r="AUG68" s="2"/>
      <c r="AUH68" s="2"/>
      <c r="AUI68" s="2"/>
      <c r="AUJ68" s="2"/>
      <c r="AUK68" s="2"/>
      <c r="AUL68" s="2"/>
      <c r="AUM68" s="2"/>
      <c r="AUN68" s="2"/>
      <c r="AUO68" s="2"/>
      <c r="AUP68" s="2"/>
      <c r="AUQ68" s="2"/>
      <c r="AUR68" s="2"/>
      <c r="AUS68" s="2"/>
      <c r="AUT68" s="2"/>
      <c r="AUU68" s="2"/>
      <c r="AUV68" s="2"/>
      <c r="AUW68" s="2"/>
      <c r="AUX68" s="2"/>
      <c r="AUY68" s="2"/>
      <c r="AUZ68" s="2"/>
      <c r="AVA68" s="2"/>
      <c r="AVB68" s="2"/>
      <c r="AVC68" s="2"/>
      <c r="AVD68" s="2"/>
      <c r="AVE68" s="2"/>
      <c r="AVF68" s="2"/>
      <c r="AVG68" s="2"/>
      <c r="AVH68" s="2"/>
      <c r="AVI68" s="2"/>
      <c r="AVJ68" s="2"/>
      <c r="AVK68" s="2"/>
      <c r="AVL68" s="2"/>
      <c r="AVM68" s="2"/>
      <c r="AVN68" s="2"/>
      <c r="AVO68" s="2"/>
      <c r="AVP68" s="2"/>
      <c r="AVQ68" s="2"/>
      <c r="AVR68" s="2"/>
      <c r="AVS68" s="2"/>
      <c r="AVT68" s="2"/>
      <c r="AVU68" s="2"/>
      <c r="AVV68" s="2"/>
      <c r="AVW68" s="2"/>
      <c r="AVX68" s="2"/>
      <c r="AVY68" s="2"/>
      <c r="AVZ68" s="2"/>
      <c r="AWA68" s="2"/>
      <c r="AWB68" s="2"/>
      <c r="AWC68" s="2"/>
      <c r="AWD68" s="2"/>
      <c r="AWE68" s="2"/>
      <c r="AWF68" s="2"/>
      <c r="AWG68" s="2"/>
      <c r="AWH68" s="2"/>
      <c r="AWI68" s="2"/>
      <c r="AWJ68" s="2"/>
      <c r="AWK68" s="2"/>
      <c r="AWL68" s="2"/>
      <c r="AWM68" s="2"/>
      <c r="AWN68" s="2"/>
      <c r="AWO68" s="2"/>
      <c r="AWP68" s="2"/>
      <c r="AWQ68" s="2"/>
      <c r="AWR68" s="2"/>
      <c r="AWS68" s="2"/>
      <c r="AWT68" s="2"/>
      <c r="AWU68" s="2"/>
      <c r="AWV68" s="2"/>
      <c r="AWW68" s="2"/>
      <c r="AWX68" s="2"/>
      <c r="AWY68" s="2"/>
      <c r="AWZ68" s="2"/>
      <c r="AXA68" s="2"/>
      <c r="AXB68" s="2"/>
      <c r="AXC68" s="2"/>
      <c r="AXD68" s="2"/>
      <c r="AXE68" s="2"/>
      <c r="AXF68" s="2"/>
      <c r="AXG68" s="2"/>
      <c r="AXH68" s="2"/>
      <c r="AXI68" s="2"/>
      <c r="AXJ68" s="2"/>
      <c r="AXK68" s="2"/>
      <c r="AXL68" s="2"/>
      <c r="AXM68" s="2"/>
      <c r="AXN68" s="2"/>
      <c r="AXO68" s="2"/>
      <c r="AXP68" s="2"/>
      <c r="AXQ68" s="2"/>
      <c r="AXR68" s="2"/>
      <c r="AXS68" s="2"/>
      <c r="AXT68" s="2"/>
      <c r="AXU68" s="2"/>
      <c r="AXV68" s="2"/>
      <c r="AXW68" s="2"/>
      <c r="AXX68" s="2"/>
      <c r="AXY68" s="2"/>
      <c r="AXZ68" s="2"/>
      <c r="AYA68" s="2"/>
      <c r="AYB68" s="2"/>
      <c r="AYC68" s="2"/>
      <c r="AYD68" s="2"/>
      <c r="AYE68" s="2"/>
      <c r="AYF68" s="2"/>
      <c r="AYG68" s="2"/>
      <c r="AYH68" s="2"/>
      <c r="AYI68" s="2"/>
      <c r="AYJ68" s="2"/>
      <c r="AYK68" s="2"/>
      <c r="AYL68" s="2"/>
      <c r="AYM68" s="2"/>
      <c r="AYN68" s="2"/>
      <c r="AYO68" s="2"/>
      <c r="AYP68" s="2"/>
      <c r="AYQ68" s="2"/>
      <c r="AYR68" s="2"/>
      <c r="AYS68" s="2"/>
      <c r="AYT68" s="2"/>
      <c r="AYU68" s="2"/>
      <c r="AYV68" s="2"/>
      <c r="AYW68" s="2"/>
      <c r="AYX68" s="2"/>
      <c r="AYY68" s="2"/>
      <c r="AYZ68" s="2"/>
      <c r="AZA68" s="2"/>
      <c r="AZB68" s="2"/>
      <c r="AZC68" s="2"/>
      <c r="AZD68" s="2"/>
      <c r="AZE68" s="2"/>
      <c r="AZF68" s="2"/>
      <c r="AZG68" s="2"/>
      <c r="AZH68" s="2"/>
      <c r="AZI68" s="2"/>
      <c r="AZJ68" s="2"/>
      <c r="AZK68" s="2"/>
      <c r="AZL68" s="2"/>
      <c r="AZM68" s="2"/>
      <c r="AZN68" s="2"/>
      <c r="AZO68" s="2"/>
      <c r="AZP68" s="2"/>
      <c r="AZQ68" s="2"/>
      <c r="AZR68" s="2"/>
      <c r="AZS68" s="2"/>
      <c r="AZT68" s="2"/>
      <c r="AZU68" s="2"/>
      <c r="AZV68" s="2"/>
      <c r="AZW68" s="2"/>
      <c r="AZX68" s="2"/>
      <c r="AZY68" s="2"/>
      <c r="AZZ68" s="2"/>
      <c r="BAA68" s="2"/>
      <c r="BAB68" s="2"/>
      <c r="BAC68" s="2"/>
      <c r="BAD68" s="2"/>
      <c r="BAE68" s="2"/>
      <c r="BAF68" s="2"/>
      <c r="BAG68" s="2"/>
      <c r="BAH68" s="2"/>
      <c r="BAI68" s="2"/>
      <c r="BAJ68" s="2"/>
      <c r="BAK68" s="2"/>
      <c r="BAL68" s="2"/>
      <c r="BAM68" s="2"/>
      <c r="BAN68" s="2"/>
      <c r="BAO68" s="2"/>
      <c r="BAP68" s="2"/>
      <c r="BAQ68" s="2"/>
      <c r="BAR68" s="2"/>
      <c r="BAS68" s="2"/>
      <c r="BAT68" s="2"/>
      <c r="BAU68" s="2"/>
      <c r="BAV68" s="2"/>
      <c r="BAW68" s="2"/>
      <c r="BAX68" s="2"/>
      <c r="BAY68" s="2"/>
      <c r="BAZ68" s="2"/>
      <c r="BBA68" s="2"/>
      <c r="BBB68" s="2"/>
      <c r="BBC68" s="2"/>
      <c r="BBD68" s="2"/>
      <c r="BBE68" s="2"/>
      <c r="BBF68" s="2"/>
      <c r="BBG68" s="2"/>
      <c r="BBH68" s="2"/>
      <c r="BBI68" s="2"/>
      <c r="BBJ68" s="2"/>
      <c r="BBK68" s="2"/>
      <c r="BBL68" s="2"/>
      <c r="BBM68" s="2"/>
      <c r="BBN68" s="2"/>
      <c r="BBO68" s="2"/>
      <c r="BBP68" s="2"/>
      <c r="BBQ68" s="2"/>
      <c r="BBR68" s="2"/>
      <c r="BBS68" s="2"/>
      <c r="BBT68" s="2"/>
      <c r="BBU68" s="2"/>
      <c r="BBV68" s="2"/>
      <c r="BBW68" s="2"/>
      <c r="BBX68" s="2"/>
      <c r="BBY68" s="2"/>
      <c r="BBZ68" s="2"/>
      <c r="BCA68" s="2"/>
      <c r="BCB68" s="2"/>
      <c r="BCC68" s="2"/>
      <c r="BCD68" s="2"/>
      <c r="BCE68" s="2"/>
      <c r="BCF68" s="2"/>
      <c r="BCG68" s="2"/>
      <c r="BCH68" s="2"/>
      <c r="BCI68" s="2"/>
      <c r="BCJ68" s="2"/>
      <c r="BCK68" s="2"/>
      <c r="BCL68" s="2"/>
      <c r="BCM68" s="2"/>
      <c r="BCN68" s="2"/>
      <c r="BCO68" s="2"/>
      <c r="BCP68" s="2"/>
      <c r="BCQ68" s="2"/>
      <c r="BCR68" s="2"/>
      <c r="BCS68" s="2"/>
      <c r="BCT68" s="2"/>
      <c r="BCU68" s="2"/>
      <c r="BCV68" s="2"/>
      <c r="BCW68" s="2"/>
      <c r="BCX68" s="2"/>
      <c r="BCY68" s="2"/>
      <c r="BCZ68" s="2"/>
      <c r="BDA68" s="2"/>
      <c r="BDB68" s="2"/>
      <c r="BDC68" s="2"/>
      <c r="BDD68" s="2"/>
      <c r="BDE68" s="2"/>
      <c r="BDF68" s="2"/>
      <c r="BDG68" s="2"/>
      <c r="BDH68" s="2"/>
      <c r="BDI68" s="2"/>
      <c r="BDJ68" s="2"/>
      <c r="BDK68" s="2"/>
      <c r="BDL68" s="2"/>
      <c r="BDM68" s="2"/>
      <c r="BDN68" s="2"/>
      <c r="BDO68" s="2"/>
      <c r="BDP68" s="2"/>
      <c r="BDQ68" s="2"/>
      <c r="BDR68" s="2"/>
      <c r="BDS68" s="2"/>
      <c r="BDT68" s="2"/>
      <c r="BDU68" s="2"/>
      <c r="BDV68" s="2"/>
      <c r="BDW68" s="2"/>
      <c r="BDX68" s="2"/>
      <c r="BDY68" s="2"/>
      <c r="BDZ68" s="2"/>
      <c r="BEA68" s="2"/>
      <c r="BEB68" s="2"/>
      <c r="BEC68" s="2"/>
      <c r="BED68" s="2"/>
      <c r="BEE68" s="2"/>
      <c r="BEF68" s="2"/>
      <c r="BEG68" s="2"/>
      <c r="BEH68" s="2"/>
      <c r="BEI68" s="2"/>
      <c r="BEJ68" s="2"/>
      <c r="BEK68" s="2"/>
      <c r="BEL68" s="2"/>
      <c r="BEM68" s="2"/>
      <c r="BEN68" s="2"/>
      <c r="BEO68" s="2"/>
      <c r="BEP68" s="2"/>
      <c r="BEQ68" s="2"/>
      <c r="BER68" s="2"/>
      <c r="BES68" s="2"/>
      <c r="BET68" s="2"/>
      <c r="BEU68" s="2"/>
      <c r="BEV68" s="2"/>
      <c r="BEW68" s="2"/>
      <c r="BEX68" s="2"/>
      <c r="BEY68" s="2"/>
      <c r="BEZ68" s="2"/>
      <c r="BFA68" s="2"/>
      <c r="BFB68" s="2"/>
      <c r="BFC68" s="2"/>
      <c r="BFD68" s="2"/>
      <c r="BFE68" s="2"/>
      <c r="BFF68" s="2"/>
      <c r="BFG68" s="2"/>
      <c r="BFH68" s="2"/>
      <c r="BFI68" s="2"/>
      <c r="BFJ68" s="2"/>
      <c r="BFK68" s="2"/>
      <c r="BFL68" s="2"/>
      <c r="BFM68" s="2"/>
      <c r="BFN68" s="2"/>
      <c r="BFO68" s="2"/>
      <c r="BFP68" s="2"/>
      <c r="BFQ68" s="2"/>
      <c r="BFR68" s="2"/>
      <c r="BFS68" s="2"/>
      <c r="BFT68" s="2"/>
      <c r="BFU68" s="2"/>
      <c r="BFV68" s="2"/>
      <c r="BFW68" s="2"/>
      <c r="BFX68" s="2"/>
      <c r="BFY68" s="2"/>
      <c r="BFZ68" s="2"/>
      <c r="BGA68" s="2"/>
      <c r="BGB68" s="2"/>
      <c r="BGC68" s="2"/>
      <c r="BGD68" s="2"/>
      <c r="BGE68" s="2"/>
      <c r="BGF68" s="2"/>
      <c r="BGG68" s="2"/>
      <c r="BGH68" s="2"/>
      <c r="BGI68" s="2"/>
      <c r="BGJ68" s="2"/>
      <c r="BGK68" s="2"/>
      <c r="BGL68" s="2"/>
      <c r="BGM68" s="2"/>
      <c r="BGN68" s="2"/>
      <c r="BGO68" s="2"/>
      <c r="BGP68" s="2"/>
      <c r="BGQ68" s="2"/>
      <c r="BGR68" s="2"/>
      <c r="BGS68" s="2"/>
      <c r="BGT68" s="2"/>
      <c r="BGU68" s="2"/>
      <c r="BGV68" s="2"/>
      <c r="BGW68" s="2"/>
      <c r="BGX68" s="2"/>
      <c r="BGY68" s="2"/>
      <c r="BGZ68" s="2"/>
      <c r="BHA68" s="2"/>
      <c r="BHB68" s="2"/>
      <c r="BHC68" s="2"/>
      <c r="BHD68" s="2"/>
      <c r="BHE68" s="2"/>
      <c r="BHF68" s="2"/>
      <c r="BHG68" s="2"/>
      <c r="BHH68" s="2"/>
      <c r="BHI68" s="2"/>
      <c r="BHJ68" s="2"/>
      <c r="BHK68" s="2"/>
      <c r="BHL68" s="2"/>
      <c r="BHM68" s="2"/>
      <c r="BHN68" s="2"/>
      <c r="BHO68" s="2"/>
      <c r="BHP68" s="2"/>
      <c r="BHQ68" s="2"/>
      <c r="BHR68" s="2"/>
      <c r="BHS68" s="2"/>
      <c r="BHT68" s="2"/>
      <c r="BHU68" s="2"/>
      <c r="BHV68" s="2"/>
      <c r="BHW68" s="2"/>
      <c r="BHX68" s="2"/>
      <c r="BHY68" s="2"/>
      <c r="BHZ68" s="2"/>
      <c r="BIA68" s="2"/>
      <c r="BIB68" s="2"/>
      <c r="BIC68" s="2"/>
      <c r="BID68" s="2"/>
      <c r="BIE68" s="2"/>
      <c r="BIF68" s="2"/>
      <c r="BIG68" s="2"/>
      <c r="BIH68" s="2"/>
      <c r="BII68" s="2"/>
      <c r="BIJ68" s="2"/>
      <c r="BIK68" s="2"/>
      <c r="BIL68" s="2"/>
      <c r="BIM68" s="2"/>
      <c r="BIN68" s="2"/>
      <c r="BIO68" s="2"/>
      <c r="BIP68" s="2"/>
      <c r="BIQ68" s="2"/>
      <c r="BIR68" s="2"/>
      <c r="BIS68" s="2"/>
      <c r="BIT68" s="2"/>
      <c r="BIU68" s="2"/>
      <c r="BIV68" s="2"/>
      <c r="BIW68" s="2"/>
      <c r="BIX68" s="2"/>
      <c r="BIY68" s="2"/>
      <c r="BIZ68" s="2"/>
      <c r="BJA68" s="2"/>
      <c r="BJB68" s="2"/>
      <c r="BJC68" s="2"/>
      <c r="BJD68" s="2"/>
      <c r="BJE68" s="2"/>
      <c r="BJF68" s="2"/>
      <c r="BJG68" s="2"/>
      <c r="BJH68" s="2"/>
      <c r="BJI68" s="2"/>
      <c r="BJJ68" s="2"/>
      <c r="BJK68" s="2"/>
      <c r="BJL68" s="2"/>
      <c r="BJM68" s="2"/>
      <c r="BJN68" s="2"/>
      <c r="BJO68" s="2"/>
      <c r="BJP68" s="2"/>
      <c r="BJQ68" s="2"/>
      <c r="BJR68" s="2"/>
      <c r="BJS68" s="2"/>
      <c r="BJT68" s="2"/>
      <c r="BJU68" s="2"/>
      <c r="BJV68" s="2"/>
      <c r="BJW68" s="2"/>
      <c r="BJX68" s="2"/>
      <c r="BJY68" s="2"/>
      <c r="BJZ68" s="2"/>
      <c r="BKA68" s="2"/>
      <c r="BKB68" s="2"/>
      <c r="BKC68" s="2"/>
      <c r="BKD68" s="2"/>
      <c r="BKE68" s="2"/>
      <c r="BKF68" s="2"/>
      <c r="BKG68" s="2"/>
      <c r="BKH68" s="2"/>
      <c r="BKI68" s="2"/>
      <c r="BKJ68" s="2"/>
      <c r="BKK68" s="2"/>
      <c r="BKL68" s="2"/>
      <c r="BKM68" s="2"/>
      <c r="BKN68" s="2"/>
      <c r="BKO68" s="2"/>
      <c r="BKP68" s="2"/>
      <c r="BKQ68" s="2"/>
      <c r="BKR68" s="2"/>
      <c r="BKS68" s="2"/>
      <c r="BKT68" s="2"/>
      <c r="BKU68" s="2"/>
      <c r="BKV68" s="2"/>
      <c r="BKW68" s="2"/>
      <c r="BKX68" s="2"/>
      <c r="BKY68" s="2"/>
      <c r="BKZ68" s="2"/>
      <c r="BLA68" s="2"/>
      <c r="BLB68" s="2"/>
      <c r="BLC68" s="2"/>
      <c r="BLD68" s="2"/>
      <c r="BLE68" s="2"/>
      <c r="BLF68" s="2"/>
      <c r="BLG68" s="2"/>
      <c r="BLH68" s="2"/>
      <c r="BLI68" s="2"/>
      <c r="BLJ68" s="2"/>
      <c r="BLK68" s="2"/>
      <c r="BLL68" s="2"/>
      <c r="BLM68" s="2"/>
      <c r="BLN68" s="2"/>
      <c r="BLO68" s="2"/>
      <c r="BLP68" s="2"/>
      <c r="BLQ68" s="2"/>
      <c r="BLR68" s="2"/>
      <c r="BLS68" s="2"/>
      <c r="BLT68" s="2"/>
      <c r="BLU68" s="2"/>
      <c r="BLV68" s="2"/>
      <c r="BLW68" s="2"/>
      <c r="BLX68" s="2"/>
      <c r="BLY68" s="2"/>
      <c r="BLZ68" s="2"/>
      <c r="BMA68" s="2"/>
      <c r="BMB68" s="2"/>
      <c r="BMC68" s="2"/>
      <c r="BMD68" s="2"/>
      <c r="BME68" s="2"/>
      <c r="BMF68" s="2"/>
      <c r="BMG68" s="2"/>
      <c r="BMH68" s="2"/>
      <c r="BMI68" s="2"/>
      <c r="BMJ68" s="2"/>
      <c r="BMK68" s="2"/>
      <c r="BML68" s="2"/>
      <c r="BMM68" s="2"/>
      <c r="BMN68" s="2"/>
      <c r="BMO68" s="2"/>
      <c r="BMP68" s="2"/>
      <c r="BMQ68" s="2"/>
      <c r="BMR68" s="2"/>
      <c r="BMS68" s="2"/>
      <c r="BMT68" s="2"/>
      <c r="BMU68" s="2"/>
      <c r="BMV68" s="2"/>
      <c r="BMW68" s="2"/>
      <c r="BMX68" s="2"/>
      <c r="BMY68" s="2"/>
      <c r="BMZ68" s="2"/>
      <c r="BNA68" s="2"/>
      <c r="BNB68" s="2"/>
      <c r="BNC68" s="2"/>
      <c r="BND68" s="2"/>
      <c r="BNE68" s="2"/>
      <c r="BNF68" s="2"/>
      <c r="BNG68" s="2"/>
      <c r="BNH68" s="2"/>
      <c r="BNI68" s="2"/>
      <c r="BNJ68" s="2"/>
      <c r="BNK68" s="2"/>
      <c r="BNL68" s="2"/>
      <c r="BNM68" s="2"/>
      <c r="BNN68" s="2"/>
      <c r="BNO68" s="2"/>
      <c r="BNP68" s="2"/>
      <c r="BNQ68" s="2"/>
      <c r="BNR68" s="2"/>
      <c r="BNS68" s="2"/>
      <c r="BNT68" s="2"/>
      <c r="BNU68" s="2"/>
      <c r="BNV68" s="2"/>
      <c r="BNW68" s="2"/>
      <c r="BNX68" s="2"/>
      <c r="BNY68" s="2"/>
      <c r="BNZ68" s="2"/>
      <c r="BOA68" s="2"/>
      <c r="BOB68" s="2"/>
      <c r="BOC68" s="2"/>
      <c r="BOD68" s="2"/>
      <c r="BOE68" s="2"/>
      <c r="BOF68" s="2"/>
      <c r="BOG68" s="2"/>
      <c r="BOH68" s="2"/>
      <c r="BOI68" s="2"/>
      <c r="BOJ68" s="2"/>
      <c r="BOK68" s="2"/>
      <c r="BOL68" s="2"/>
      <c r="BOM68" s="2"/>
      <c r="BON68" s="2"/>
      <c r="BOO68" s="2"/>
      <c r="BOP68" s="2"/>
      <c r="BOQ68" s="2"/>
      <c r="BOR68" s="2"/>
      <c r="BOS68" s="2"/>
      <c r="BOT68" s="2"/>
      <c r="BOU68" s="2"/>
      <c r="BOV68" s="2"/>
      <c r="BOW68" s="2"/>
      <c r="BOX68" s="2"/>
      <c r="BOY68" s="2"/>
      <c r="BOZ68" s="2"/>
      <c r="BPA68" s="2"/>
      <c r="BPB68" s="2"/>
      <c r="BPC68" s="2"/>
      <c r="BPD68" s="2"/>
      <c r="BPE68" s="2"/>
      <c r="BPF68" s="2"/>
      <c r="BPG68" s="2"/>
      <c r="BPH68" s="2"/>
      <c r="BPI68" s="2"/>
      <c r="BPJ68" s="2"/>
      <c r="BPK68" s="2"/>
      <c r="BPL68" s="2"/>
      <c r="BPM68" s="2"/>
      <c r="BPN68" s="2"/>
      <c r="BPO68" s="2"/>
      <c r="BPP68" s="2"/>
      <c r="BPQ68" s="2"/>
      <c r="BPR68" s="2"/>
      <c r="BPS68" s="2"/>
      <c r="BPT68" s="2"/>
      <c r="BPU68" s="2"/>
      <c r="BPV68" s="2"/>
      <c r="BPW68" s="2"/>
      <c r="BPX68" s="2"/>
      <c r="BPY68" s="2"/>
      <c r="BPZ68" s="2"/>
      <c r="BQA68" s="2"/>
      <c r="BQB68" s="2"/>
      <c r="BQC68" s="2"/>
      <c r="BQD68" s="2"/>
      <c r="BQE68" s="2"/>
      <c r="BQF68" s="2"/>
      <c r="BQG68" s="2"/>
      <c r="BQH68" s="2"/>
      <c r="BQI68" s="2"/>
      <c r="BQJ68" s="2"/>
      <c r="BQK68" s="2"/>
      <c r="BQL68" s="2"/>
      <c r="BQM68" s="2"/>
      <c r="BQN68" s="2"/>
      <c r="BQO68" s="2"/>
      <c r="BQP68" s="2"/>
      <c r="BQQ68" s="2"/>
      <c r="BQR68" s="2"/>
      <c r="BQS68" s="2"/>
      <c r="BQT68" s="2"/>
      <c r="BQU68" s="2"/>
      <c r="BQV68" s="2"/>
      <c r="BQW68" s="2"/>
      <c r="BQX68" s="2"/>
      <c r="BQY68" s="2"/>
      <c r="BQZ68" s="2"/>
      <c r="BRA68" s="2"/>
      <c r="BRB68" s="2"/>
      <c r="BRC68" s="2"/>
      <c r="BRD68" s="2"/>
      <c r="BRE68" s="2"/>
      <c r="BRF68" s="2"/>
      <c r="BRG68" s="2"/>
      <c r="BRH68" s="2"/>
      <c r="BRI68" s="2"/>
      <c r="BRJ68" s="2"/>
      <c r="BRK68" s="2"/>
      <c r="BRL68" s="2"/>
      <c r="BRM68" s="2"/>
      <c r="BRN68" s="2"/>
      <c r="BRO68" s="2"/>
      <c r="BRP68" s="2"/>
      <c r="BRQ68" s="2"/>
      <c r="BRR68" s="2"/>
      <c r="BRS68" s="2"/>
      <c r="BRT68" s="2"/>
      <c r="BRU68" s="2"/>
      <c r="BRV68" s="2"/>
      <c r="BRW68" s="2"/>
      <c r="BRX68" s="2"/>
      <c r="BRY68" s="2"/>
      <c r="BRZ68" s="2"/>
      <c r="BSA68" s="2"/>
      <c r="BSB68" s="2"/>
      <c r="BSC68" s="2"/>
      <c r="BSD68" s="2"/>
      <c r="BSE68" s="2"/>
      <c r="BSF68" s="2"/>
      <c r="BSG68" s="2"/>
      <c r="BSH68" s="2"/>
      <c r="BSI68" s="2"/>
      <c r="BSJ68" s="2"/>
      <c r="BSK68" s="2"/>
      <c r="BSL68" s="2"/>
      <c r="BSM68" s="2"/>
      <c r="BSN68" s="2"/>
      <c r="BSO68" s="2"/>
      <c r="BSP68" s="2"/>
      <c r="BSQ68" s="2"/>
      <c r="BSR68" s="2"/>
      <c r="BSS68" s="2"/>
      <c r="BST68" s="2"/>
      <c r="BSU68" s="2"/>
      <c r="BSV68" s="2"/>
      <c r="BSW68" s="2"/>
      <c r="BSX68" s="2"/>
      <c r="BSY68" s="2"/>
      <c r="BSZ68" s="2"/>
      <c r="BTA68" s="2"/>
      <c r="BTB68" s="2"/>
      <c r="BTC68" s="2"/>
      <c r="BTD68" s="2"/>
      <c r="BTE68" s="2"/>
      <c r="BTF68" s="2"/>
      <c r="BTG68" s="2"/>
      <c r="BTH68" s="2"/>
      <c r="BTI68" s="2"/>
      <c r="BTJ68" s="2"/>
      <c r="BTK68" s="2"/>
      <c r="BTL68" s="2"/>
      <c r="BTM68" s="2"/>
      <c r="BTN68" s="2"/>
      <c r="BTO68" s="2"/>
      <c r="BTP68" s="2"/>
      <c r="BTQ68" s="2"/>
      <c r="BTR68" s="2"/>
      <c r="BTS68" s="2"/>
      <c r="BTT68" s="2"/>
      <c r="BTU68" s="2"/>
      <c r="BTV68" s="2"/>
      <c r="BTW68" s="2"/>
      <c r="BTX68" s="2"/>
      <c r="BTY68" s="2"/>
      <c r="BTZ68" s="2"/>
      <c r="BUA68" s="2"/>
      <c r="BUB68" s="2"/>
      <c r="BUC68" s="2"/>
      <c r="BUD68" s="2"/>
      <c r="BUE68" s="2"/>
      <c r="BUF68" s="2"/>
      <c r="BUG68" s="2"/>
      <c r="BUH68" s="2"/>
      <c r="BUI68" s="2"/>
      <c r="BUJ68" s="2"/>
      <c r="BUK68" s="2"/>
      <c r="BUL68" s="2"/>
      <c r="BUM68" s="2"/>
      <c r="BUN68" s="2"/>
      <c r="BUO68" s="2"/>
      <c r="BUP68" s="2"/>
      <c r="BUQ68" s="2"/>
      <c r="BUR68" s="2"/>
      <c r="BUS68" s="2"/>
      <c r="BUT68" s="2"/>
      <c r="BUU68" s="2"/>
      <c r="BUV68" s="2"/>
      <c r="BUW68" s="2"/>
      <c r="BUX68" s="2"/>
      <c r="BUY68" s="2"/>
      <c r="BUZ68" s="2"/>
      <c r="BVA68" s="2"/>
      <c r="BVB68" s="2"/>
      <c r="BVC68" s="2"/>
      <c r="BVD68" s="2"/>
      <c r="BVE68" s="2"/>
      <c r="BVF68" s="2"/>
      <c r="BVG68" s="2"/>
      <c r="BVH68" s="2"/>
      <c r="BVI68" s="2"/>
      <c r="BVJ68" s="2"/>
      <c r="BVK68" s="2"/>
      <c r="BVL68" s="2"/>
      <c r="BVM68" s="2"/>
      <c r="BVN68" s="2"/>
      <c r="BVO68" s="2"/>
      <c r="BVP68" s="2"/>
      <c r="BVQ68" s="2"/>
      <c r="BVR68" s="2"/>
      <c r="BVS68" s="2"/>
      <c r="BVT68" s="2"/>
      <c r="BVU68" s="2"/>
      <c r="BVV68" s="2"/>
      <c r="BVW68" s="2"/>
      <c r="BVX68" s="2"/>
      <c r="BVY68" s="2"/>
      <c r="BVZ68" s="2"/>
      <c r="BWA68" s="2"/>
      <c r="BWB68" s="2"/>
      <c r="BWC68" s="2"/>
      <c r="BWD68" s="2"/>
      <c r="BWE68" s="2"/>
      <c r="BWF68" s="2"/>
      <c r="BWG68" s="2"/>
      <c r="BWH68" s="2"/>
      <c r="BWI68" s="2"/>
      <c r="BWJ68" s="2"/>
      <c r="BWK68" s="2"/>
      <c r="BWL68" s="2"/>
      <c r="BWM68" s="2"/>
      <c r="BWN68" s="2"/>
      <c r="BWO68" s="2"/>
      <c r="BWP68" s="2"/>
      <c r="BWQ68" s="2"/>
      <c r="BWR68" s="2"/>
      <c r="BWS68" s="2"/>
      <c r="BWT68" s="2"/>
      <c r="BWU68" s="2"/>
      <c r="BWV68" s="2"/>
      <c r="BWW68" s="2"/>
      <c r="BWX68" s="2"/>
      <c r="BWY68" s="2"/>
      <c r="BWZ68" s="2"/>
      <c r="BXA68" s="2"/>
      <c r="BXB68" s="2"/>
      <c r="BXC68" s="2"/>
      <c r="BXD68" s="2"/>
      <c r="BXE68" s="2"/>
      <c r="BXF68" s="2"/>
      <c r="BXG68" s="2"/>
      <c r="BXH68" s="2"/>
      <c r="BXI68" s="2"/>
      <c r="BXJ68" s="2"/>
      <c r="BXK68" s="2"/>
      <c r="BXL68" s="2"/>
      <c r="BXM68" s="2"/>
      <c r="BXN68" s="2"/>
      <c r="BXO68" s="2"/>
      <c r="BXP68" s="2"/>
      <c r="BXQ68" s="2"/>
      <c r="BXR68" s="2"/>
      <c r="BXS68" s="2"/>
      <c r="BXT68" s="2"/>
      <c r="BXU68" s="2"/>
      <c r="BXV68" s="2"/>
      <c r="BXW68" s="2"/>
      <c r="BXX68" s="2"/>
      <c r="BXY68" s="2"/>
      <c r="BXZ68" s="2"/>
      <c r="BYA68" s="2"/>
      <c r="BYB68" s="2"/>
      <c r="BYC68" s="2"/>
      <c r="BYD68" s="2"/>
      <c r="BYE68" s="2"/>
      <c r="BYF68" s="2"/>
      <c r="BYG68" s="2"/>
      <c r="BYH68" s="2"/>
      <c r="BYI68" s="2"/>
      <c r="BYJ68" s="2"/>
      <c r="BYK68" s="2"/>
      <c r="BYL68" s="2"/>
      <c r="BYM68" s="2"/>
      <c r="BYN68" s="2"/>
      <c r="BYO68" s="2"/>
      <c r="BYP68" s="2"/>
      <c r="BYQ68" s="2"/>
      <c r="BYR68" s="2"/>
      <c r="BYS68" s="2"/>
      <c r="BYT68" s="2"/>
      <c r="BYU68" s="2"/>
      <c r="BYV68" s="2"/>
      <c r="BYW68" s="2"/>
      <c r="BYX68" s="2"/>
      <c r="BYY68" s="2"/>
      <c r="BYZ68" s="2"/>
      <c r="BZA68" s="2"/>
      <c r="BZB68" s="2"/>
      <c r="BZC68" s="2"/>
      <c r="BZD68" s="2"/>
      <c r="BZE68" s="2"/>
      <c r="BZF68" s="2"/>
      <c r="BZG68" s="2"/>
      <c r="BZH68" s="2"/>
      <c r="BZI68" s="2"/>
      <c r="BZJ68" s="2"/>
      <c r="BZK68" s="2"/>
      <c r="BZL68" s="2"/>
      <c r="BZM68" s="2"/>
      <c r="BZN68" s="2"/>
      <c r="BZO68" s="2"/>
      <c r="BZP68" s="2"/>
      <c r="BZQ68" s="2"/>
      <c r="BZR68" s="2"/>
      <c r="BZS68" s="2"/>
      <c r="BZT68" s="2"/>
      <c r="BZU68" s="2"/>
      <c r="BZV68" s="2"/>
      <c r="BZW68" s="2"/>
      <c r="BZX68" s="2"/>
      <c r="BZY68" s="2"/>
      <c r="BZZ68" s="2"/>
      <c r="CAA68" s="2"/>
      <c r="CAB68" s="2"/>
      <c r="CAC68" s="2"/>
      <c r="CAD68" s="2"/>
      <c r="CAE68" s="2"/>
      <c r="CAF68" s="2"/>
      <c r="CAG68" s="2"/>
      <c r="CAH68" s="2"/>
      <c r="CAI68" s="2"/>
      <c r="CAJ68" s="2"/>
      <c r="CAK68" s="2"/>
      <c r="CAL68" s="2"/>
      <c r="CAM68" s="2"/>
      <c r="CAN68" s="2"/>
      <c r="CAO68" s="2"/>
      <c r="CAP68" s="2"/>
      <c r="CAQ68" s="2"/>
      <c r="CAR68" s="2"/>
      <c r="CAS68" s="2"/>
      <c r="CAT68" s="2"/>
      <c r="CAU68" s="2"/>
      <c r="CAV68" s="2"/>
      <c r="CAW68" s="2"/>
      <c r="CAX68" s="2"/>
      <c r="CAY68" s="2"/>
      <c r="CAZ68" s="2"/>
      <c r="CBA68" s="2"/>
      <c r="CBB68" s="2"/>
      <c r="CBC68" s="2"/>
      <c r="CBD68" s="2"/>
      <c r="CBE68" s="2"/>
      <c r="CBF68" s="2"/>
      <c r="CBG68" s="2"/>
      <c r="CBH68" s="2"/>
      <c r="CBI68" s="2"/>
      <c r="CBJ68" s="2"/>
      <c r="CBK68" s="2"/>
      <c r="CBL68" s="2"/>
      <c r="CBM68" s="2"/>
      <c r="CBN68" s="2"/>
      <c r="CBO68" s="2"/>
      <c r="CBP68" s="2"/>
      <c r="CBQ68" s="2"/>
      <c r="CBR68" s="2"/>
      <c r="CBS68" s="2"/>
      <c r="CBT68" s="2"/>
      <c r="CBU68" s="2"/>
      <c r="CBV68" s="2"/>
      <c r="CBW68" s="2"/>
      <c r="CBX68" s="2"/>
      <c r="CBY68" s="2"/>
      <c r="CBZ68" s="2"/>
      <c r="CCA68" s="2"/>
      <c r="CCB68" s="2"/>
      <c r="CCC68" s="2"/>
      <c r="CCD68" s="2"/>
      <c r="CCE68" s="2"/>
      <c r="CCF68" s="2"/>
      <c r="CCG68" s="2"/>
      <c r="CCH68" s="2"/>
      <c r="CCI68" s="2"/>
      <c r="CCJ68" s="2"/>
      <c r="CCK68" s="2"/>
      <c r="CCL68" s="2"/>
      <c r="CCM68" s="2"/>
      <c r="CCN68" s="2"/>
      <c r="CCO68" s="2"/>
      <c r="CCP68" s="2"/>
      <c r="CCQ68" s="2"/>
      <c r="CCR68" s="2"/>
      <c r="CCS68" s="2"/>
      <c r="CCT68" s="2"/>
      <c r="CCU68" s="2"/>
      <c r="CCV68" s="2"/>
      <c r="CCW68" s="2"/>
      <c r="CCX68" s="2"/>
      <c r="CCY68" s="2"/>
      <c r="CCZ68" s="2"/>
      <c r="CDA68" s="2"/>
      <c r="CDB68" s="2"/>
      <c r="CDC68" s="2"/>
      <c r="CDD68" s="2"/>
      <c r="CDE68" s="2"/>
      <c r="CDF68" s="2"/>
      <c r="CDG68" s="2"/>
      <c r="CDH68" s="2"/>
      <c r="CDI68" s="2"/>
      <c r="CDJ68" s="2"/>
      <c r="CDK68" s="2"/>
      <c r="CDL68" s="2"/>
      <c r="CDM68" s="2"/>
      <c r="CDN68" s="2"/>
      <c r="CDO68" s="2"/>
      <c r="CDP68" s="2"/>
      <c r="CDQ68" s="2"/>
      <c r="CDR68" s="2"/>
      <c r="CDS68" s="2"/>
      <c r="CDT68" s="2"/>
      <c r="CDU68" s="2"/>
      <c r="CDV68" s="2"/>
      <c r="CDW68" s="2"/>
      <c r="CDX68" s="2"/>
      <c r="CDY68" s="2"/>
      <c r="CDZ68" s="2"/>
      <c r="CEA68" s="2"/>
      <c r="CEB68" s="2"/>
      <c r="CEC68" s="2"/>
      <c r="CED68" s="2"/>
      <c r="CEE68" s="2"/>
      <c r="CEF68" s="2"/>
      <c r="CEG68" s="2"/>
      <c r="CEH68" s="2"/>
      <c r="CEI68" s="2"/>
      <c r="CEJ68" s="2"/>
      <c r="CEK68" s="2"/>
      <c r="CEL68" s="2"/>
      <c r="CEM68" s="2"/>
      <c r="CEN68" s="2"/>
      <c r="CEO68" s="2"/>
      <c r="CEP68" s="2"/>
      <c r="CEQ68" s="2"/>
      <c r="CER68" s="2"/>
      <c r="CES68" s="2"/>
      <c r="CET68" s="2"/>
      <c r="CEU68" s="2"/>
      <c r="CEV68" s="2"/>
      <c r="CEW68" s="2"/>
      <c r="CEX68" s="2"/>
      <c r="CEY68" s="2"/>
      <c r="CEZ68" s="2"/>
      <c r="CFA68" s="2"/>
      <c r="CFB68" s="2"/>
      <c r="CFC68" s="2"/>
      <c r="CFD68" s="2"/>
      <c r="CFE68" s="2"/>
      <c r="CFF68" s="2"/>
      <c r="CFG68" s="2"/>
      <c r="CFH68" s="2"/>
      <c r="CFI68" s="2"/>
      <c r="CFJ68" s="2"/>
      <c r="CFK68" s="2"/>
      <c r="CFL68" s="2"/>
      <c r="CFM68" s="2"/>
      <c r="CFN68" s="2"/>
      <c r="CFO68" s="2"/>
      <c r="CFP68" s="2"/>
      <c r="CFQ68" s="2"/>
      <c r="CFR68" s="2"/>
      <c r="CFS68" s="2"/>
      <c r="CFT68" s="2"/>
      <c r="CFU68" s="2"/>
      <c r="CFV68" s="2"/>
      <c r="CFW68" s="2"/>
      <c r="CFX68" s="2"/>
      <c r="CFY68" s="2"/>
      <c r="CFZ68" s="2"/>
      <c r="CGA68" s="2"/>
      <c r="CGB68" s="2"/>
      <c r="CGC68" s="2"/>
      <c r="CGD68" s="2"/>
      <c r="CGE68" s="2"/>
      <c r="CGF68" s="2"/>
      <c r="CGG68" s="2"/>
      <c r="CGH68" s="2"/>
      <c r="CGI68" s="2"/>
      <c r="CGJ68" s="2"/>
      <c r="CGK68" s="2"/>
      <c r="CGL68" s="2"/>
      <c r="CGM68" s="2"/>
      <c r="CGN68" s="2"/>
      <c r="CGO68" s="2"/>
      <c r="CGP68" s="2"/>
      <c r="CGQ68" s="2"/>
      <c r="CGR68" s="2"/>
      <c r="CGS68" s="2"/>
      <c r="CGT68" s="2"/>
      <c r="CGU68" s="2"/>
      <c r="CGV68" s="2"/>
      <c r="CGW68" s="2"/>
      <c r="CGX68" s="2"/>
      <c r="CGY68" s="2"/>
      <c r="CGZ68" s="2"/>
      <c r="CHA68" s="2"/>
      <c r="CHB68" s="2"/>
      <c r="CHC68" s="2"/>
      <c r="CHD68" s="2"/>
      <c r="CHE68" s="2"/>
      <c r="CHF68" s="2"/>
      <c r="CHG68" s="2"/>
      <c r="CHH68" s="2"/>
      <c r="CHI68" s="2"/>
      <c r="CHJ68" s="2"/>
      <c r="CHK68" s="2"/>
      <c r="CHL68" s="2"/>
      <c r="CHM68" s="2"/>
      <c r="CHN68" s="2"/>
      <c r="CHO68" s="2"/>
      <c r="CHP68" s="2"/>
      <c r="CHQ68" s="2"/>
      <c r="CHR68" s="2"/>
      <c r="CHS68" s="2"/>
      <c r="CHT68" s="2"/>
      <c r="CHU68" s="2"/>
      <c r="CHV68" s="2"/>
      <c r="CHW68" s="2"/>
      <c r="CHX68" s="2"/>
      <c r="CHY68" s="2"/>
      <c r="CHZ68" s="2"/>
      <c r="CIA68" s="2"/>
      <c r="CIB68" s="2"/>
      <c r="CIC68" s="2"/>
      <c r="CID68" s="2"/>
      <c r="CIE68" s="2"/>
      <c r="CIF68" s="2"/>
      <c r="CIG68" s="2"/>
      <c r="CIH68" s="2"/>
      <c r="CII68" s="2"/>
      <c r="CIJ68" s="2"/>
      <c r="CIK68" s="2"/>
      <c r="CIL68" s="2"/>
      <c r="CIM68" s="2"/>
      <c r="CIN68" s="2"/>
      <c r="CIO68" s="2"/>
      <c r="CIP68" s="2"/>
      <c r="CIQ68" s="2"/>
      <c r="CIR68" s="2"/>
      <c r="CIS68" s="2"/>
      <c r="CIT68" s="2"/>
      <c r="CIU68" s="2"/>
      <c r="CIV68" s="2"/>
      <c r="CIW68" s="2"/>
      <c r="CIX68" s="2"/>
      <c r="CIY68" s="2"/>
      <c r="CIZ68" s="2"/>
      <c r="CJA68" s="2"/>
      <c r="CJB68" s="2"/>
      <c r="CJC68" s="2"/>
      <c r="CJD68" s="2"/>
      <c r="CJE68" s="2"/>
      <c r="CJF68" s="2"/>
      <c r="CJG68" s="2"/>
      <c r="CJH68" s="2"/>
      <c r="CJI68" s="2"/>
      <c r="CJJ68" s="2"/>
      <c r="CJK68" s="2"/>
      <c r="CJL68" s="2"/>
      <c r="CJM68" s="2"/>
      <c r="CJN68" s="2"/>
      <c r="CJO68" s="2"/>
      <c r="CJP68" s="2"/>
      <c r="CJQ68" s="2"/>
      <c r="CJR68" s="2"/>
      <c r="CJS68" s="2"/>
      <c r="CJT68" s="2"/>
      <c r="CJU68" s="2"/>
      <c r="CJV68" s="2"/>
      <c r="CJW68" s="2"/>
      <c r="CJX68" s="2"/>
      <c r="CJY68" s="2"/>
      <c r="CJZ68" s="2"/>
      <c r="CKA68" s="2"/>
      <c r="CKB68" s="2"/>
      <c r="CKC68" s="2"/>
      <c r="CKD68" s="2"/>
      <c r="CKE68" s="2"/>
      <c r="CKF68" s="2"/>
      <c r="CKG68" s="2"/>
      <c r="CKH68" s="2"/>
      <c r="CKI68" s="2"/>
      <c r="CKJ68" s="2"/>
      <c r="CKK68" s="2"/>
      <c r="CKL68" s="2"/>
      <c r="CKM68" s="2"/>
      <c r="CKN68" s="2"/>
      <c r="CKO68" s="2"/>
      <c r="CKP68" s="2"/>
      <c r="CKQ68" s="2"/>
      <c r="CKR68" s="2"/>
      <c r="CKS68" s="2"/>
      <c r="CKT68" s="2"/>
      <c r="CKU68" s="2"/>
      <c r="CKV68" s="2"/>
      <c r="CKW68" s="2"/>
      <c r="CKX68" s="2"/>
      <c r="CKY68" s="2"/>
      <c r="CKZ68" s="2"/>
      <c r="CLA68" s="2"/>
      <c r="CLB68" s="2"/>
      <c r="CLC68" s="2"/>
      <c r="CLD68" s="2"/>
      <c r="CLE68" s="2"/>
      <c r="CLF68" s="2"/>
      <c r="CLG68" s="2"/>
      <c r="CLH68" s="2"/>
      <c r="CLI68" s="2"/>
      <c r="CLJ68" s="2"/>
      <c r="CLK68" s="2"/>
      <c r="CLL68" s="2"/>
      <c r="CLM68" s="2"/>
      <c r="CLN68" s="2"/>
      <c r="CLO68" s="2"/>
      <c r="CLP68" s="2"/>
      <c r="CLQ68" s="2"/>
      <c r="CLR68" s="2"/>
      <c r="CLS68" s="2"/>
      <c r="CLT68" s="2"/>
      <c r="CLU68" s="2"/>
      <c r="CLV68" s="2"/>
      <c r="CLW68" s="2"/>
      <c r="CLX68" s="2"/>
      <c r="CLY68" s="2"/>
      <c r="CLZ68" s="2"/>
      <c r="CMA68" s="2"/>
      <c r="CMB68" s="2"/>
      <c r="CMC68" s="2"/>
      <c r="CMD68" s="2"/>
      <c r="CME68" s="2"/>
      <c r="CMF68" s="2"/>
      <c r="CMG68" s="2"/>
      <c r="CMH68" s="2"/>
      <c r="CMI68" s="2"/>
      <c r="CMJ68" s="2"/>
      <c r="CMK68" s="2"/>
      <c r="CML68" s="2"/>
      <c r="CMM68" s="2"/>
      <c r="CMN68" s="2"/>
      <c r="CMO68" s="2"/>
      <c r="CMP68" s="2"/>
      <c r="CMQ68" s="2"/>
      <c r="CMR68" s="2"/>
      <c r="CMS68" s="2"/>
      <c r="CMT68" s="2"/>
      <c r="CMU68" s="2"/>
      <c r="CMV68" s="2"/>
      <c r="CMW68" s="2"/>
      <c r="CMX68" s="2"/>
      <c r="CMY68" s="2"/>
      <c r="CMZ68" s="2"/>
      <c r="CNA68" s="2"/>
      <c r="CNB68" s="2"/>
      <c r="CNC68" s="2"/>
      <c r="CND68" s="2"/>
      <c r="CNE68" s="2"/>
      <c r="CNF68" s="2"/>
      <c r="CNG68" s="2"/>
      <c r="CNH68" s="2"/>
      <c r="CNI68" s="2"/>
      <c r="CNJ68" s="2"/>
      <c r="CNK68" s="2"/>
      <c r="CNL68" s="2"/>
      <c r="CNM68" s="2"/>
      <c r="CNN68" s="2"/>
      <c r="CNO68" s="2"/>
      <c r="CNP68" s="2"/>
      <c r="CNQ68" s="2"/>
      <c r="CNR68" s="2"/>
      <c r="CNS68" s="2"/>
      <c r="CNT68" s="2"/>
      <c r="CNU68" s="2"/>
      <c r="CNV68" s="2"/>
      <c r="CNW68" s="2"/>
      <c r="CNX68" s="2"/>
      <c r="CNY68" s="2"/>
      <c r="CNZ68" s="2"/>
      <c r="COA68" s="2"/>
      <c r="COB68" s="2"/>
      <c r="COC68" s="2"/>
      <c r="COD68" s="2"/>
      <c r="COE68" s="2"/>
      <c r="COF68" s="2"/>
      <c r="COG68" s="2"/>
      <c r="COH68" s="2"/>
      <c r="COI68" s="2"/>
      <c r="COJ68" s="2"/>
      <c r="COK68" s="2"/>
      <c r="COL68" s="2"/>
      <c r="COM68" s="2"/>
      <c r="CON68" s="2"/>
      <c r="COO68" s="2"/>
      <c r="COP68" s="2"/>
      <c r="COQ68" s="2"/>
      <c r="COR68" s="2"/>
      <c r="COS68" s="2"/>
      <c r="COT68" s="2"/>
      <c r="COU68" s="2"/>
      <c r="COV68" s="2"/>
      <c r="COW68" s="2"/>
      <c r="COX68" s="2"/>
      <c r="COY68" s="2"/>
      <c r="COZ68" s="2"/>
      <c r="CPA68" s="2"/>
      <c r="CPB68" s="2"/>
      <c r="CPC68" s="2"/>
      <c r="CPD68" s="2"/>
      <c r="CPE68" s="2"/>
      <c r="CPF68" s="2"/>
      <c r="CPG68" s="2"/>
      <c r="CPH68" s="2"/>
      <c r="CPI68" s="2"/>
      <c r="CPJ68" s="2"/>
      <c r="CPK68" s="2"/>
      <c r="CPL68" s="2"/>
      <c r="CPM68" s="2"/>
      <c r="CPN68" s="2"/>
      <c r="CPO68" s="2"/>
      <c r="CPP68" s="2"/>
      <c r="CPQ68" s="2"/>
      <c r="CPR68" s="2"/>
      <c r="CPS68" s="2"/>
      <c r="CPT68" s="2"/>
      <c r="CPU68" s="2"/>
      <c r="CPV68" s="2"/>
      <c r="CPW68" s="2"/>
      <c r="CPX68" s="2"/>
      <c r="CPY68" s="2"/>
      <c r="CPZ68" s="2"/>
      <c r="CQA68" s="2"/>
      <c r="CQB68" s="2"/>
      <c r="CQC68" s="2"/>
      <c r="CQD68" s="2"/>
      <c r="CQE68" s="2"/>
      <c r="CQF68" s="2"/>
      <c r="CQG68" s="2"/>
      <c r="CQH68" s="2"/>
      <c r="CQI68" s="2"/>
      <c r="CQJ68" s="2"/>
      <c r="CQK68" s="2"/>
      <c r="CQL68" s="2"/>
      <c r="CQM68" s="2"/>
      <c r="CQN68" s="2"/>
      <c r="CQO68" s="2"/>
      <c r="CQP68" s="2"/>
      <c r="CQQ68" s="2"/>
      <c r="CQR68" s="2"/>
      <c r="CQS68" s="2"/>
      <c r="CQT68" s="2"/>
      <c r="CQU68" s="2"/>
      <c r="CQV68" s="2"/>
      <c r="CQW68" s="2"/>
      <c r="CQX68" s="2"/>
      <c r="CQY68" s="2"/>
      <c r="CQZ68" s="2"/>
      <c r="CRA68" s="2"/>
      <c r="CRB68" s="2"/>
      <c r="CRC68" s="2"/>
      <c r="CRD68" s="2"/>
      <c r="CRE68" s="2"/>
      <c r="CRF68" s="2"/>
      <c r="CRG68" s="2"/>
      <c r="CRH68" s="2"/>
      <c r="CRI68" s="2"/>
      <c r="CRJ68" s="2"/>
      <c r="CRK68" s="2"/>
      <c r="CRL68" s="2"/>
      <c r="CRM68" s="2"/>
      <c r="CRN68" s="2"/>
      <c r="CRO68" s="2"/>
      <c r="CRP68" s="2"/>
      <c r="CRQ68" s="2"/>
      <c r="CRR68" s="2"/>
      <c r="CRS68" s="2"/>
      <c r="CRT68" s="2"/>
      <c r="CRU68" s="2"/>
      <c r="CRV68" s="2"/>
      <c r="CRW68" s="2"/>
      <c r="CRX68" s="2"/>
      <c r="CRY68" s="2"/>
      <c r="CRZ68" s="2"/>
      <c r="CSA68" s="2"/>
      <c r="CSB68" s="2"/>
      <c r="CSC68" s="2"/>
      <c r="CSD68" s="2"/>
      <c r="CSE68" s="2"/>
      <c r="CSF68" s="2"/>
      <c r="CSG68" s="2"/>
      <c r="CSH68" s="2"/>
      <c r="CSI68" s="2"/>
      <c r="CSJ68" s="2"/>
      <c r="CSK68" s="2"/>
      <c r="CSL68" s="2"/>
      <c r="CSM68" s="2"/>
      <c r="CSN68" s="2"/>
      <c r="CSO68" s="2"/>
      <c r="CSP68" s="2"/>
      <c r="CSQ68" s="2"/>
      <c r="CSR68" s="2"/>
      <c r="CSS68" s="2"/>
      <c r="CST68" s="2"/>
      <c r="CSU68" s="2"/>
      <c r="CSV68" s="2"/>
      <c r="CSW68" s="2"/>
      <c r="CSX68" s="2"/>
      <c r="CSY68" s="2"/>
      <c r="CSZ68" s="2"/>
      <c r="CTA68" s="2"/>
      <c r="CTB68" s="2"/>
      <c r="CTC68" s="2"/>
      <c r="CTD68" s="2"/>
      <c r="CTE68" s="2"/>
      <c r="CTF68" s="2"/>
      <c r="CTG68" s="2"/>
      <c r="CTH68" s="2"/>
      <c r="CTI68" s="2"/>
      <c r="CTJ68" s="2"/>
      <c r="CTK68" s="2"/>
      <c r="CTL68" s="2"/>
      <c r="CTM68" s="2"/>
      <c r="CTN68" s="2"/>
      <c r="CTO68" s="2"/>
      <c r="CTP68" s="2"/>
      <c r="CTQ68" s="2"/>
      <c r="CTR68" s="2"/>
      <c r="CTS68" s="2"/>
      <c r="CTT68" s="2"/>
      <c r="CTU68" s="2"/>
      <c r="CTV68" s="2"/>
      <c r="CTW68" s="2"/>
      <c r="CTX68" s="2"/>
      <c r="CTY68" s="2"/>
      <c r="CTZ68" s="2"/>
      <c r="CUA68" s="2"/>
      <c r="CUB68" s="2"/>
      <c r="CUC68" s="2"/>
      <c r="CUD68" s="2"/>
      <c r="CUE68" s="2"/>
      <c r="CUF68" s="2"/>
      <c r="CUG68" s="2"/>
      <c r="CUH68" s="2"/>
      <c r="CUI68" s="2"/>
      <c r="CUJ68" s="2"/>
      <c r="CUK68" s="2"/>
      <c r="CUL68" s="2"/>
      <c r="CUM68" s="2"/>
      <c r="CUN68" s="2"/>
      <c r="CUO68" s="2"/>
      <c r="CUP68" s="2"/>
      <c r="CUQ68" s="2"/>
      <c r="CUR68" s="2"/>
      <c r="CUS68" s="2"/>
      <c r="CUT68" s="2"/>
      <c r="CUU68" s="2"/>
      <c r="CUV68" s="2"/>
      <c r="CUW68" s="2"/>
      <c r="CUX68" s="2"/>
      <c r="CUY68" s="2"/>
      <c r="CUZ68" s="2"/>
      <c r="CVA68" s="2"/>
      <c r="CVB68" s="2"/>
      <c r="CVC68" s="2"/>
      <c r="CVD68" s="2"/>
      <c r="CVE68" s="2"/>
      <c r="CVF68" s="2"/>
      <c r="CVG68" s="2"/>
      <c r="CVH68" s="2"/>
      <c r="CVI68" s="2"/>
      <c r="CVJ68" s="2"/>
      <c r="CVK68" s="2"/>
      <c r="CVL68" s="2"/>
      <c r="CVM68" s="2"/>
      <c r="CVN68" s="2"/>
      <c r="CVO68" s="2"/>
      <c r="CVP68" s="2"/>
      <c r="CVQ68" s="2"/>
      <c r="CVR68" s="2"/>
      <c r="CVS68" s="2"/>
      <c r="CVT68" s="2"/>
      <c r="CVU68" s="2"/>
      <c r="CVV68" s="2"/>
      <c r="CVW68" s="2"/>
      <c r="CVX68" s="2"/>
      <c r="CVY68" s="2"/>
      <c r="CVZ68" s="2"/>
      <c r="CWA68" s="2"/>
      <c r="CWB68" s="2"/>
      <c r="CWC68" s="2"/>
      <c r="CWD68" s="2"/>
      <c r="CWE68" s="2"/>
      <c r="CWF68" s="2"/>
      <c r="CWG68" s="2"/>
      <c r="CWH68" s="2"/>
      <c r="CWI68" s="2"/>
      <c r="CWJ68" s="2"/>
      <c r="CWK68" s="2"/>
      <c r="CWL68" s="2"/>
      <c r="CWM68" s="2"/>
      <c r="CWN68" s="2"/>
      <c r="CWO68" s="2"/>
      <c r="CWP68" s="2"/>
      <c r="CWQ68" s="2"/>
      <c r="CWR68" s="2"/>
      <c r="CWS68" s="2"/>
      <c r="CWT68" s="2"/>
      <c r="CWU68" s="2"/>
      <c r="CWV68" s="2"/>
      <c r="CWW68" s="2"/>
      <c r="CWX68" s="2"/>
      <c r="CWY68" s="2"/>
      <c r="CWZ68" s="2"/>
      <c r="CXA68" s="2"/>
      <c r="CXB68" s="2"/>
      <c r="CXC68" s="2"/>
      <c r="CXD68" s="2"/>
      <c r="CXE68" s="2"/>
      <c r="CXF68" s="2"/>
      <c r="CXG68" s="2"/>
      <c r="CXH68" s="2"/>
      <c r="CXI68" s="2"/>
      <c r="CXJ68" s="2"/>
      <c r="CXK68" s="2"/>
      <c r="CXL68" s="2"/>
      <c r="CXM68" s="2"/>
      <c r="CXN68" s="2"/>
      <c r="CXO68" s="2"/>
      <c r="CXP68" s="2"/>
      <c r="CXQ68" s="2"/>
      <c r="CXR68" s="2"/>
      <c r="CXS68" s="2"/>
      <c r="CXT68" s="2"/>
      <c r="CXU68" s="2"/>
      <c r="CXV68" s="2"/>
      <c r="CXW68" s="2"/>
      <c r="CXX68" s="2"/>
      <c r="CXY68" s="2"/>
      <c r="CXZ68" s="2"/>
      <c r="CYA68" s="2"/>
      <c r="CYB68" s="2"/>
      <c r="CYC68" s="2"/>
      <c r="CYD68" s="2"/>
      <c r="CYE68" s="2"/>
      <c r="CYF68" s="2"/>
      <c r="CYG68" s="2"/>
      <c r="CYH68" s="2"/>
      <c r="CYI68" s="2"/>
      <c r="CYJ68" s="2"/>
      <c r="CYK68" s="2"/>
      <c r="CYL68" s="2"/>
      <c r="CYM68" s="2"/>
      <c r="CYN68" s="2"/>
      <c r="CYO68" s="2"/>
      <c r="CYP68" s="2"/>
      <c r="CYQ68" s="2"/>
      <c r="CYR68" s="2"/>
      <c r="CYS68" s="2"/>
      <c r="CYT68" s="2"/>
      <c r="CYU68" s="2"/>
      <c r="CYV68" s="2"/>
      <c r="CYW68" s="2"/>
      <c r="CYX68" s="2"/>
      <c r="CYY68" s="2"/>
      <c r="CYZ68" s="2"/>
      <c r="CZA68" s="2"/>
      <c r="CZB68" s="2"/>
      <c r="CZC68" s="2"/>
      <c r="CZD68" s="2"/>
      <c r="CZE68" s="2"/>
      <c r="CZF68" s="2"/>
      <c r="CZG68" s="2"/>
      <c r="CZH68" s="2"/>
      <c r="CZI68" s="2"/>
      <c r="CZJ68" s="2"/>
      <c r="CZK68" s="2"/>
      <c r="CZL68" s="2"/>
      <c r="CZM68" s="2"/>
      <c r="CZN68" s="2"/>
      <c r="CZO68" s="2"/>
      <c r="CZP68" s="2"/>
      <c r="CZQ68" s="2"/>
      <c r="CZR68" s="2"/>
      <c r="CZS68" s="2"/>
      <c r="CZT68" s="2"/>
      <c r="CZU68" s="2"/>
      <c r="CZV68" s="2"/>
      <c r="CZW68" s="2"/>
      <c r="CZX68" s="2"/>
      <c r="CZY68" s="2"/>
      <c r="CZZ68" s="2"/>
      <c r="DAA68" s="2"/>
      <c r="DAB68" s="2"/>
      <c r="DAC68" s="2"/>
      <c r="DAD68" s="2"/>
      <c r="DAE68" s="2"/>
      <c r="DAF68" s="2"/>
      <c r="DAG68" s="2"/>
      <c r="DAH68" s="2"/>
      <c r="DAI68" s="2"/>
      <c r="DAJ68" s="2"/>
      <c r="DAK68" s="2"/>
      <c r="DAL68" s="2"/>
      <c r="DAM68" s="2"/>
      <c r="DAN68" s="2"/>
      <c r="DAO68" s="2"/>
      <c r="DAP68" s="2"/>
      <c r="DAQ68" s="2"/>
      <c r="DAR68" s="2"/>
      <c r="DAS68" s="2"/>
      <c r="DAT68" s="2"/>
      <c r="DAU68" s="2"/>
      <c r="DAV68" s="2"/>
      <c r="DAW68" s="2"/>
      <c r="DAX68" s="2"/>
      <c r="DAY68" s="2"/>
      <c r="DAZ68" s="2"/>
      <c r="DBA68" s="2"/>
      <c r="DBB68" s="2"/>
      <c r="DBC68" s="2"/>
      <c r="DBD68" s="2"/>
      <c r="DBE68" s="2"/>
      <c r="DBF68" s="2"/>
      <c r="DBG68" s="2"/>
      <c r="DBH68" s="2"/>
      <c r="DBI68" s="2"/>
      <c r="DBJ68" s="2"/>
      <c r="DBK68" s="2"/>
      <c r="DBL68" s="2"/>
      <c r="DBM68" s="2"/>
      <c r="DBN68" s="2"/>
      <c r="DBO68" s="2"/>
      <c r="DBP68" s="2"/>
      <c r="DBQ68" s="2"/>
      <c r="DBR68" s="2"/>
      <c r="DBS68" s="2"/>
      <c r="DBT68" s="2"/>
      <c r="DBU68" s="2"/>
      <c r="DBV68" s="2"/>
      <c r="DBW68" s="2"/>
      <c r="DBX68" s="2"/>
      <c r="DBY68" s="2"/>
      <c r="DBZ68" s="2"/>
      <c r="DCA68" s="2"/>
      <c r="DCB68" s="2"/>
      <c r="DCC68" s="2"/>
      <c r="DCD68" s="2"/>
      <c r="DCE68" s="2"/>
      <c r="DCF68" s="2"/>
      <c r="DCG68" s="2"/>
      <c r="DCH68" s="2"/>
      <c r="DCI68" s="2"/>
      <c r="DCJ68" s="2"/>
      <c r="DCK68" s="2"/>
      <c r="DCL68" s="2"/>
      <c r="DCM68" s="2"/>
      <c r="DCN68" s="2"/>
      <c r="DCO68" s="2"/>
      <c r="DCP68" s="2"/>
      <c r="DCQ68" s="2"/>
      <c r="DCR68" s="2"/>
      <c r="DCS68" s="2"/>
      <c r="DCT68" s="2"/>
      <c r="DCU68" s="2"/>
      <c r="DCV68" s="2"/>
      <c r="DCW68" s="2"/>
      <c r="DCX68" s="2"/>
      <c r="DCY68" s="2"/>
      <c r="DCZ68" s="2"/>
      <c r="DDA68" s="2"/>
      <c r="DDB68" s="2"/>
      <c r="DDC68" s="2"/>
      <c r="DDD68" s="2"/>
      <c r="DDE68" s="2"/>
      <c r="DDF68" s="2"/>
      <c r="DDG68" s="2"/>
      <c r="DDH68" s="2"/>
      <c r="DDI68" s="2"/>
      <c r="DDJ68" s="2"/>
      <c r="DDK68" s="2"/>
      <c r="DDL68" s="2"/>
      <c r="DDM68" s="2"/>
      <c r="DDN68" s="2"/>
      <c r="DDO68" s="2"/>
      <c r="DDP68" s="2"/>
      <c r="DDQ68" s="2"/>
      <c r="DDR68" s="2"/>
      <c r="DDS68" s="2"/>
      <c r="DDT68" s="2"/>
      <c r="DDU68" s="2"/>
      <c r="DDV68" s="2"/>
      <c r="DDW68" s="2"/>
      <c r="DDX68" s="2"/>
      <c r="DDY68" s="2"/>
      <c r="DDZ68" s="2"/>
      <c r="DEA68" s="2"/>
      <c r="DEB68" s="2"/>
      <c r="DEC68" s="2"/>
      <c r="DED68" s="2"/>
      <c r="DEE68" s="2"/>
      <c r="DEF68" s="2"/>
      <c r="DEG68" s="2"/>
      <c r="DEH68" s="2"/>
      <c r="DEI68" s="2"/>
      <c r="DEJ68" s="2"/>
      <c r="DEK68" s="2"/>
      <c r="DEL68" s="2"/>
      <c r="DEM68" s="2"/>
      <c r="DEN68" s="2"/>
      <c r="DEO68" s="2"/>
      <c r="DEP68" s="2"/>
      <c r="DEQ68" s="2"/>
      <c r="DER68" s="2"/>
      <c r="DES68" s="2"/>
      <c r="DET68" s="2"/>
      <c r="DEU68" s="2"/>
      <c r="DEV68" s="2"/>
      <c r="DEW68" s="2"/>
      <c r="DEX68" s="2"/>
      <c r="DEY68" s="2"/>
      <c r="DEZ68" s="2"/>
      <c r="DFA68" s="2"/>
      <c r="DFB68" s="2"/>
      <c r="DFC68" s="2"/>
      <c r="DFD68" s="2"/>
      <c r="DFE68" s="2"/>
      <c r="DFF68" s="2"/>
      <c r="DFG68" s="2"/>
      <c r="DFH68" s="2"/>
      <c r="DFI68" s="2"/>
      <c r="DFJ68" s="2"/>
      <c r="DFK68" s="2"/>
      <c r="DFL68" s="2"/>
      <c r="DFM68" s="2"/>
      <c r="DFN68" s="2"/>
      <c r="DFO68" s="2"/>
      <c r="DFP68" s="2"/>
      <c r="DFQ68" s="2"/>
      <c r="DFR68" s="2"/>
      <c r="DFS68" s="2"/>
      <c r="DFT68" s="2"/>
      <c r="DFU68" s="2"/>
      <c r="DFV68" s="2"/>
      <c r="DFW68" s="2"/>
      <c r="DFX68" s="2"/>
      <c r="DFY68" s="2"/>
      <c r="DFZ68" s="2"/>
      <c r="DGA68" s="2"/>
      <c r="DGB68" s="2"/>
      <c r="DGC68" s="2"/>
      <c r="DGD68" s="2"/>
      <c r="DGE68" s="2"/>
      <c r="DGF68" s="2"/>
      <c r="DGG68" s="2"/>
      <c r="DGH68" s="2"/>
      <c r="DGI68" s="2"/>
      <c r="DGJ68" s="2"/>
      <c r="DGK68" s="2"/>
      <c r="DGL68" s="2"/>
      <c r="DGM68" s="2"/>
      <c r="DGN68" s="2"/>
      <c r="DGO68" s="2"/>
      <c r="DGP68" s="2"/>
      <c r="DGQ68" s="2"/>
      <c r="DGR68" s="2"/>
      <c r="DGS68" s="2"/>
      <c r="DGT68" s="2"/>
      <c r="DGU68" s="2"/>
      <c r="DGV68" s="2"/>
      <c r="DGW68" s="2"/>
      <c r="DGX68" s="2"/>
      <c r="DGY68" s="2"/>
      <c r="DGZ68" s="2"/>
      <c r="DHA68" s="2"/>
      <c r="DHB68" s="2"/>
      <c r="DHC68" s="2"/>
      <c r="DHD68" s="2"/>
      <c r="DHE68" s="2"/>
      <c r="DHF68" s="2"/>
      <c r="DHG68" s="2"/>
      <c r="DHH68" s="2"/>
      <c r="DHI68" s="2"/>
      <c r="DHJ68" s="2"/>
      <c r="DHK68" s="2"/>
      <c r="DHL68" s="2"/>
      <c r="DHM68" s="2"/>
      <c r="DHN68" s="2"/>
      <c r="DHO68" s="2"/>
      <c r="DHP68" s="2"/>
      <c r="DHQ68" s="2"/>
      <c r="DHR68" s="2"/>
      <c r="DHS68" s="2"/>
      <c r="DHT68" s="2"/>
      <c r="DHU68" s="2"/>
      <c r="DHV68" s="2"/>
      <c r="DHW68" s="2"/>
      <c r="DHX68" s="2"/>
      <c r="DHY68" s="2"/>
      <c r="DHZ68" s="2"/>
      <c r="DIA68" s="2"/>
      <c r="DIB68" s="2"/>
      <c r="DIC68" s="2"/>
      <c r="DID68" s="2"/>
      <c r="DIE68" s="2"/>
      <c r="DIF68" s="2"/>
      <c r="DIG68" s="2"/>
      <c r="DIH68" s="2"/>
      <c r="DII68" s="2"/>
      <c r="DIJ68" s="2"/>
      <c r="DIK68" s="2"/>
      <c r="DIL68" s="2"/>
      <c r="DIM68" s="2"/>
      <c r="DIN68" s="2"/>
      <c r="DIO68" s="2"/>
      <c r="DIP68" s="2"/>
      <c r="DIQ68" s="2"/>
      <c r="DIR68" s="2"/>
      <c r="DIS68" s="2"/>
      <c r="DIT68" s="2"/>
      <c r="DIU68" s="2"/>
      <c r="DIV68" s="2"/>
      <c r="DIW68" s="2"/>
      <c r="DIX68" s="2"/>
      <c r="DIY68" s="2"/>
      <c r="DIZ68" s="2"/>
      <c r="DJA68" s="2"/>
      <c r="DJB68" s="2"/>
      <c r="DJC68" s="2"/>
      <c r="DJD68" s="2"/>
      <c r="DJE68" s="2"/>
      <c r="DJF68" s="2"/>
      <c r="DJG68" s="2"/>
      <c r="DJH68" s="2"/>
      <c r="DJI68" s="2"/>
      <c r="DJJ68" s="2"/>
      <c r="DJK68" s="2"/>
      <c r="DJL68" s="2"/>
      <c r="DJM68" s="2"/>
      <c r="DJN68" s="2"/>
      <c r="DJO68" s="2"/>
      <c r="DJP68" s="2"/>
      <c r="DJQ68" s="2"/>
      <c r="DJR68" s="2"/>
      <c r="DJS68" s="2"/>
      <c r="DJT68" s="2"/>
      <c r="DJU68" s="2"/>
      <c r="DJV68" s="2"/>
      <c r="DJW68" s="2"/>
      <c r="DJX68" s="2"/>
      <c r="DJY68" s="2"/>
      <c r="DJZ68" s="2"/>
      <c r="DKA68" s="2"/>
      <c r="DKB68" s="2"/>
      <c r="DKC68" s="2"/>
      <c r="DKD68" s="2"/>
      <c r="DKE68" s="2"/>
      <c r="DKF68" s="2"/>
      <c r="DKG68" s="2"/>
      <c r="DKH68" s="2"/>
      <c r="DKI68" s="2"/>
      <c r="DKJ68" s="2"/>
      <c r="DKK68" s="2"/>
      <c r="DKL68" s="2"/>
      <c r="DKM68" s="2"/>
      <c r="DKN68" s="2"/>
      <c r="DKO68" s="2"/>
      <c r="DKP68" s="2"/>
      <c r="DKQ68" s="2"/>
      <c r="DKR68" s="2"/>
      <c r="DKS68" s="2"/>
      <c r="DKT68" s="2"/>
      <c r="DKU68" s="2"/>
      <c r="DKV68" s="2"/>
      <c r="DKW68" s="2"/>
      <c r="DKX68" s="2"/>
      <c r="DKY68" s="2"/>
      <c r="DKZ68" s="2"/>
      <c r="DLA68" s="2"/>
      <c r="DLB68" s="2"/>
      <c r="DLC68" s="2"/>
      <c r="DLD68" s="2"/>
      <c r="DLE68" s="2"/>
      <c r="DLF68" s="2"/>
      <c r="DLG68" s="2"/>
      <c r="DLH68" s="2"/>
      <c r="DLI68" s="2"/>
      <c r="DLJ68" s="2"/>
      <c r="DLK68" s="2"/>
      <c r="DLL68" s="2"/>
      <c r="DLM68" s="2"/>
      <c r="DLN68" s="2"/>
      <c r="DLO68" s="2"/>
      <c r="DLP68" s="2"/>
      <c r="DLQ68" s="2"/>
      <c r="DLR68" s="2"/>
      <c r="DLS68" s="2"/>
      <c r="DLT68" s="2"/>
      <c r="DLU68" s="2"/>
      <c r="DLV68" s="2"/>
      <c r="DLW68" s="2"/>
      <c r="DLX68" s="2"/>
      <c r="DLY68" s="2"/>
      <c r="DLZ68" s="2"/>
      <c r="DMA68" s="2"/>
      <c r="DMB68" s="2"/>
      <c r="DMC68" s="2"/>
      <c r="DMD68" s="2"/>
      <c r="DME68" s="2"/>
      <c r="DMF68" s="2"/>
      <c r="DMG68" s="2"/>
      <c r="DMH68" s="2"/>
      <c r="DMI68" s="2"/>
      <c r="DMJ68" s="2"/>
      <c r="DMK68" s="2"/>
      <c r="DML68" s="2"/>
      <c r="DMM68" s="2"/>
      <c r="DMN68" s="2"/>
      <c r="DMO68" s="2"/>
      <c r="DMP68" s="2"/>
      <c r="DMQ68" s="2"/>
      <c r="DMR68" s="2"/>
      <c r="DMS68" s="2"/>
      <c r="DMT68" s="2"/>
      <c r="DMU68" s="2"/>
      <c r="DMV68" s="2"/>
      <c r="DMW68" s="2"/>
      <c r="DMX68" s="2"/>
      <c r="DMY68" s="2"/>
      <c r="DMZ68" s="2"/>
      <c r="DNA68" s="2"/>
      <c r="DNB68" s="2"/>
      <c r="DNC68" s="2"/>
      <c r="DND68" s="2"/>
      <c r="DNE68" s="2"/>
      <c r="DNF68" s="2"/>
      <c r="DNG68" s="2"/>
      <c r="DNH68" s="2"/>
      <c r="DNI68" s="2"/>
      <c r="DNJ68" s="2"/>
      <c r="DNK68" s="2"/>
      <c r="DNL68" s="2"/>
      <c r="DNM68" s="2"/>
      <c r="DNN68" s="2"/>
      <c r="DNO68" s="2"/>
      <c r="DNP68" s="2"/>
      <c r="DNQ68" s="2"/>
      <c r="DNR68" s="2"/>
      <c r="DNS68" s="2"/>
      <c r="DNT68" s="2"/>
      <c r="DNU68" s="2"/>
      <c r="DNV68" s="2"/>
      <c r="DNW68" s="2"/>
      <c r="DNX68" s="2"/>
      <c r="DNY68" s="2"/>
      <c r="DNZ68" s="2"/>
      <c r="DOA68" s="2"/>
      <c r="DOB68" s="2"/>
      <c r="DOC68" s="2"/>
      <c r="DOD68" s="2"/>
      <c r="DOE68" s="2"/>
      <c r="DOF68" s="2"/>
      <c r="DOG68" s="2"/>
      <c r="DOH68" s="2"/>
      <c r="DOI68" s="2"/>
      <c r="DOJ68" s="2"/>
      <c r="DOK68" s="2"/>
      <c r="DOL68" s="2"/>
      <c r="DOM68" s="2"/>
      <c r="DON68" s="2"/>
      <c r="DOO68" s="2"/>
      <c r="DOP68" s="2"/>
      <c r="DOQ68" s="2"/>
      <c r="DOR68" s="2"/>
      <c r="DOS68" s="2"/>
      <c r="DOT68" s="2"/>
      <c r="DOU68" s="2"/>
      <c r="DOV68" s="2"/>
      <c r="DOW68" s="2"/>
      <c r="DOX68" s="2"/>
      <c r="DOY68" s="2"/>
      <c r="DOZ68" s="2"/>
      <c r="DPA68" s="2"/>
      <c r="DPB68" s="2"/>
      <c r="DPC68" s="2"/>
      <c r="DPD68" s="2"/>
      <c r="DPE68" s="2"/>
      <c r="DPF68" s="2"/>
      <c r="DPG68" s="2"/>
      <c r="DPH68" s="2"/>
      <c r="DPI68" s="2"/>
      <c r="DPJ68" s="2"/>
      <c r="DPK68" s="2"/>
      <c r="DPL68" s="2"/>
      <c r="DPM68" s="2"/>
      <c r="DPN68" s="2"/>
      <c r="DPO68" s="2"/>
      <c r="DPP68" s="2"/>
      <c r="DPQ68" s="2"/>
      <c r="DPR68" s="2"/>
      <c r="DPS68" s="2"/>
      <c r="DPT68" s="2"/>
      <c r="DPU68" s="2"/>
      <c r="DPV68" s="2"/>
      <c r="DPW68" s="2"/>
      <c r="DPX68" s="2"/>
      <c r="DPY68" s="2"/>
      <c r="DPZ68" s="2"/>
      <c r="DQA68" s="2"/>
      <c r="DQB68" s="2"/>
      <c r="DQC68" s="2"/>
      <c r="DQD68" s="2"/>
      <c r="DQE68" s="2"/>
      <c r="DQF68" s="2"/>
      <c r="DQG68" s="2"/>
      <c r="DQH68" s="2"/>
      <c r="DQI68" s="2"/>
      <c r="DQJ68" s="2"/>
      <c r="DQK68" s="2"/>
      <c r="DQL68" s="2"/>
      <c r="DQM68" s="2"/>
      <c r="DQN68" s="2"/>
      <c r="DQO68" s="2"/>
      <c r="DQP68" s="2"/>
      <c r="DQQ68" s="2"/>
      <c r="DQR68" s="2"/>
      <c r="DQS68" s="2"/>
      <c r="DQT68" s="2"/>
      <c r="DQU68" s="2"/>
      <c r="DQV68" s="2"/>
      <c r="DQW68" s="2"/>
      <c r="DQX68" s="2"/>
      <c r="DQY68" s="2"/>
      <c r="DQZ68" s="2"/>
      <c r="DRA68" s="2"/>
      <c r="DRB68" s="2"/>
      <c r="DRC68" s="2"/>
      <c r="DRD68" s="2"/>
      <c r="DRE68" s="2"/>
      <c r="DRF68" s="2"/>
      <c r="DRG68" s="2"/>
      <c r="DRH68" s="2"/>
      <c r="DRI68" s="2"/>
      <c r="DRJ68" s="2"/>
      <c r="DRK68" s="2"/>
      <c r="DRL68" s="2"/>
      <c r="DRM68" s="2"/>
      <c r="DRN68" s="2"/>
      <c r="DRO68" s="2"/>
      <c r="DRP68" s="2"/>
      <c r="DRQ68" s="2"/>
      <c r="DRR68" s="2"/>
      <c r="DRS68" s="2"/>
      <c r="DRT68" s="2"/>
      <c r="DRU68" s="2"/>
      <c r="DRV68" s="2"/>
      <c r="DRW68" s="2"/>
      <c r="DRX68" s="2"/>
      <c r="DRY68" s="2"/>
      <c r="DRZ68" s="2"/>
      <c r="DSA68" s="2"/>
      <c r="DSB68" s="2"/>
      <c r="DSC68" s="2"/>
      <c r="DSD68" s="2"/>
      <c r="DSE68" s="2"/>
      <c r="DSF68" s="2"/>
      <c r="DSG68" s="2"/>
      <c r="DSH68" s="2"/>
      <c r="DSI68" s="2"/>
      <c r="DSJ68" s="2"/>
      <c r="DSK68" s="2"/>
      <c r="DSL68" s="2"/>
      <c r="DSM68" s="2"/>
      <c r="DSN68" s="2"/>
      <c r="DSO68" s="2"/>
      <c r="DSP68" s="2"/>
      <c r="DSQ68" s="2"/>
      <c r="DSR68" s="2"/>
      <c r="DSS68" s="2"/>
      <c r="DST68" s="2"/>
      <c r="DSU68" s="2"/>
      <c r="DSV68" s="2"/>
      <c r="DSW68" s="2"/>
      <c r="DSX68" s="2"/>
      <c r="DSY68" s="2"/>
      <c r="DSZ68" s="2"/>
      <c r="DTA68" s="2"/>
      <c r="DTB68" s="2"/>
      <c r="DTC68" s="2"/>
      <c r="DTD68" s="2"/>
      <c r="DTE68" s="2"/>
      <c r="DTF68" s="2"/>
      <c r="DTG68" s="2"/>
      <c r="DTH68" s="2"/>
      <c r="DTI68" s="2"/>
      <c r="DTJ68" s="2"/>
      <c r="DTK68" s="2"/>
      <c r="DTL68" s="2"/>
      <c r="DTM68" s="2"/>
      <c r="DTN68" s="2"/>
      <c r="DTO68" s="2"/>
      <c r="DTP68" s="2"/>
      <c r="DTQ68" s="2"/>
      <c r="DTR68" s="2"/>
      <c r="DTS68" s="2"/>
      <c r="DTT68" s="2"/>
      <c r="DTU68" s="2"/>
      <c r="DTV68" s="2"/>
      <c r="DTW68" s="2"/>
      <c r="DTX68" s="2"/>
      <c r="DTY68" s="2"/>
      <c r="DTZ68" s="2"/>
      <c r="DUA68" s="2"/>
      <c r="DUB68" s="2"/>
      <c r="DUC68" s="2"/>
      <c r="DUD68" s="2"/>
      <c r="DUE68" s="2"/>
      <c r="DUF68" s="2"/>
      <c r="DUG68" s="2"/>
      <c r="DUH68" s="2"/>
      <c r="DUI68" s="2"/>
      <c r="DUJ68" s="2"/>
      <c r="DUK68" s="2"/>
      <c r="DUL68" s="2"/>
      <c r="DUM68" s="2"/>
      <c r="DUN68" s="2"/>
      <c r="DUO68" s="2"/>
      <c r="DUP68" s="2"/>
      <c r="DUQ68" s="2"/>
      <c r="DUR68" s="2"/>
      <c r="DUS68" s="2"/>
      <c r="DUT68" s="2"/>
      <c r="DUU68" s="2"/>
      <c r="DUV68" s="2"/>
      <c r="DUW68" s="2"/>
      <c r="DUX68" s="2"/>
      <c r="DUY68" s="2"/>
      <c r="DUZ68" s="2"/>
      <c r="DVA68" s="2"/>
      <c r="DVB68" s="2"/>
      <c r="DVC68" s="2"/>
      <c r="DVD68" s="2"/>
      <c r="DVE68" s="2"/>
      <c r="DVF68" s="2"/>
      <c r="DVG68" s="2"/>
      <c r="DVH68" s="2"/>
      <c r="DVI68" s="2"/>
      <c r="DVJ68" s="2"/>
      <c r="DVK68" s="2"/>
      <c r="DVL68" s="2"/>
      <c r="DVM68" s="2"/>
      <c r="DVN68" s="2"/>
      <c r="DVO68" s="2"/>
      <c r="DVP68" s="2"/>
      <c r="DVQ68" s="2"/>
      <c r="DVR68" s="2"/>
      <c r="DVS68" s="2"/>
      <c r="DVT68" s="2"/>
      <c r="DVU68" s="2"/>
      <c r="DVV68" s="2"/>
      <c r="DVW68" s="2"/>
      <c r="DVX68" s="2"/>
      <c r="DVY68" s="2"/>
      <c r="DVZ68" s="2"/>
      <c r="DWA68" s="2"/>
      <c r="DWB68" s="2"/>
      <c r="DWC68" s="2"/>
      <c r="DWD68" s="2"/>
      <c r="DWE68" s="2"/>
      <c r="DWF68" s="2"/>
      <c r="DWG68" s="2"/>
      <c r="DWH68" s="2"/>
      <c r="DWI68" s="2"/>
      <c r="DWJ68" s="2"/>
      <c r="DWK68" s="2"/>
      <c r="DWL68" s="2"/>
      <c r="DWM68" s="2"/>
      <c r="DWN68" s="2"/>
      <c r="DWO68" s="2"/>
      <c r="DWP68" s="2"/>
      <c r="DWQ68" s="2"/>
      <c r="DWR68" s="2"/>
      <c r="DWS68" s="2"/>
      <c r="DWT68" s="2"/>
      <c r="DWU68" s="2"/>
      <c r="DWV68" s="2"/>
      <c r="DWW68" s="2"/>
      <c r="DWX68" s="2"/>
      <c r="DWY68" s="2"/>
      <c r="DWZ68" s="2"/>
      <c r="DXA68" s="2"/>
      <c r="DXB68" s="2"/>
      <c r="DXC68" s="2"/>
      <c r="DXD68" s="2"/>
      <c r="DXE68" s="2"/>
      <c r="DXF68" s="2"/>
      <c r="DXG68" s="2"/>
      <c r="DXH68" s="2"/>
      <c r="DXI68" s="2"/>
      <c r="DXJ68" s="2"/>
      <c r="DXK68" s="2"/>
      <c r="DXL68" s="2"/>
      <c r="DXM68" s="2"/>
      <c r="DXN68" s="2"/>
      <c r="DXO68" s="2"/>
      <c r="DXP68" s="2"/>
      <c r="DXQ68" s="2"/>
      <c r="DXR68" s="2"/>
      <c r="DXS68" s="2"/>
      <c r="DXT68" s="2"/>
      <c r="DXU68" s="2"/>
      <c r="DXV68" s="2"/>
      <c r="DXW68" s="2"/>
      <c r="DXX68" s="2"/>
      <c r="DXY68" s="2"/>
      <c r="DXZ68" s="2"/>
      <c r="DYA68" s="2"/>
      <c r="DYB68" s="2"/>
      <c r="DYC68" s="2"/>
      <c r="DYD68" s="2"/>
      <c r="DYE68" s="2"/>
      <c r="DYF68" s="2"/>
      <c r="DYG68" s="2"/>
      <c r="DYH68" s="2"/>
      <c r="DYI68" s="2"/>
      <c r="DYJ68" s="2"/>
      <c r="DYK68" s="2"/>
      <c r="DYL68" s="2"/>
      <c r="DYM68" s="2"/>
      <c r="DYN68" s="2"/>
      <c r="DYO68" s="2"/>
      <c r="DYP68" s="2"/>
      <c r="DYQ68" s="2"/>
      <c r="DYR68" s="2"/>
      <c r="DYS68" s="2"/>
      <c r="DYT68" s="2"/>
      <c r="DYU68" s="2"/>
      <c r="DYV68" s="2"/>
      <c r="DYW68" s="2"/>
      <c r="DYX68" s="2"/>
      <c r="DYY68" s="2"/>
      <c r="DYZ68" s="2"/>
      <c r="DZA68" s="2"/>
      <c r="DZB68" s="2"/>
      <c r="DZC68" s="2"/>
      <c r="DZD68" s="2"/>
      <c r="DZE68" s="2"/>
      <c r="DZF68" s="2"/>
      <c r="DZG68" s="2"/>
      <c r="DZH68" s="2"/>
      <c r="DZI68" s="2"/>
      <c r="DZJ68" s="2"/>
      <c r="DZK68" s="2"/>
      <c r="DZL68" s="2"/>
      <c r="DZM68" s="2"/>
      <c r="DZN68" s="2"/>
      <c r="DZO68" s="2"/>
      <c r="DZP68" s="2"/>
      <c r="DZQ68" s="2"/>
      <c r="DZR68" s="2"/>
      <c r="DZS68" s="2"/>
      <c r="DZT68" s="2"/>
      <c r="DZU68" s="2"/>
      <c r="DZV68" s="2"/>
      <c r="DZW68" s="2"/>
      <c r="DZX68" s="2"/>
      <c r="DZY68" s="2"/>
      <c r="DZZ68" s="2"/>
      <c r="EAA68" s="2"/>
      <c r="EAB68" s="2"/>
      <c r="EAC68" s="2"/>
      <c r="EAD68" s="2"/>
      <c r="EAE68" s="2"/>
      <c r="EAF68" s="2"/>
      <c r="EAG68" s="2"/>
      <c r="EAH68" s="2"/>
      <c r="EAI68" s="2"/>
      <c r="EAJ68" s="2"/>
      <c r="EAK68" s="2"/>
      <c r="EAL68" s="2"/>
      <c r="EAM68" s="2"/>
      <c r="EAN68" s="2"/>
      <c r="EAO68" s="2"/>
      <c r="EAP68" s="2"/>
      <c r="EAQ68" s="2"/>
      <c r="EAR68" s="2"/>
      <c r="EAS68" s="2"/>
      <c r="EAT68" s="2"/>
      <c r="EAU68" s="2"/>
      <c r="EAV68" s="2"/>
      <c r="EAW68" s="2"/>
      <c r="EAX68" s="2"/>
      <c r="EAY68" s="2"/>
      <c r="EAZ68" s="2"/>
      <c r="EBA68" s="2"/>
      <c r="EBB68" s="2"/>
      <c r="EBC68" s="2"/>
      <c r="EBD68" s="2"/>
      <c r="EBE68" s="2"/>
      <c r="EBF68" s="2"/>
      <c r="EBG68" s="2"/>
      <c r="EBH68" s="2"/>
      <c r="EBI68" s="2"/>
      <c r="EBJ68" s="2"/>
      <c r="EBK68" s="2"/>
      <c r="EBL68" s="2"/>
      <c r="EBM68" s="2"/>
      <c r="EBN68" s="2"/>
      <c r="EBO68" s="2"/>
      <c r="EBP68" s="2"/>
      <c r="EBQ68" s="2"/>
      <c r="EBR68" s="2"/>
      <c r="EBS68" s="2"/>
      <c r="EBT68" s="2"/>
      <c r="EBU68" s="2"/>
      <c r="EBV68" s="2"/>
      <c r="EBW68" s="2"/>
      <c r="EBX68" s="2"/>
      <c r="EBY68" s="2"/>
      <c r="EBZ68" s="2"/>
      <c r="ECA68" s="2"/>
      <c r="ECB68" s="2"/>
      <c r="ECC68" s="2"/>
      <c r="ECD68" s="2"/>
      <c r="ECE68" s="2"/>
      <c r="ECF68" s="2"/>
      <c r="ECG68" s="2"/>
      <c r="ECH68" s="2"/>
      <c r="ECI68" s="2"/>
      <c r="ECJ68" s="2"/>
      <c r="ECK68" s="2"/>
      <c r="ECL68" s="2"/>
      <c r="ECM68" s="2"/>
      <c r="ECN68" s="2"/>
      <c r="ECO68" s="2"/>
      <c r="ECP68" s="2"/>
      <c r="ECQ68" s="2"/>
      <c r="ECR68" s="2"/>
      <c r="ECS68" s="2"/>
      <c r="ECT68" s="2"/>
      <c r="ECU68" s="2"/>
      <c r="ECV68" s="2"/>
      <c r="ECW68" s="2"/>
      <c r="ECX68" s="2"/>
      <c r="ECY68" s="2"/>
      <c r="ECZ68" s="2"/>
      <c r="EDA68" s="2"/>
      <c r="EDB68" s="2"/>
      <c r="EDC68" s="2"/>
      <c r="EDD68" s="2"/>
      <c r="EDE68" s="2"/>
      <c r="EDF68" s="2"/>
      <c r="EDG68" s="2"/>
      <c r="EDH68" s="2"/>
      <c r="EDI68" s="2"/>
      <c r="EDJ68" s="2"/>
      <c r="EDK68" s="2"/>
      <c r="EDL68" s="2"/>
      <c r="EDM68" s="2"/>
      <c r="EDN68" s="2"/>
      <c r="EDO68" s="2"/>
      <c r="EDP68" s="2"/>
      <c r="EDQ68" s="2"/>
      <c r="EDR68" s="2"/>
      <c r="EDS68" s="2"/>
      <c r="EDT68" s="2"/>
      <c r="EDU68" s="2"/>
      <c r="EDV68" s="2"/>
      <c r="EDW68" s="2"/>
      <c r="EDX68" s="2"/>
      <c r="EDY68" s="2"/>
      <c r="EDZ68" s="2"/>
      <c r="EEA68" s="2"/>
      <c r="EEB68" s="2"/>
      <c r="EEC68" s="2"/>
      <c r="EED68" s="2"/>
      <c r="EEE68" s="2"/>
      <c r="EEF68" s="2"/>
      <c r="EEG68" s="2"/>
      <c r="EEH68" s="2"/>
      <c r="EEI68" s="2"/>
      <c r="EEJ68" s="2"/>
      <c r="EEK68" s="2"/>
      <c r="EEL68" s="2"/>
      <c r="EEM68" s="2"/>
      <c r="EEN68" s="2"/>
      <c r="EEO68" s="2"/>
      <c r="EEP68" s="2"/>
      <c r="EEQ68" s="2"/>
      <c r="EER68" s="2"/>
      <c r="EES68" s="2"/>
      <c r="EET68" s="2"/>
      <c r="EEU68" s="2"/>
      <c r="EEV68" s="2"/>
      <c r="EEW68" s="2"/>
      <c r="EEX68" s="2"/>
      <c r="EEY68" s="2"/>
      <c r="EEZ68" s="2"/>
      <c r="EFA68" s="2"/>
      <c r="EFB68" s="2"/>
      <c r="EFC68" s="2"/>
      <c r="EFD68" s="2"/>
      <c r="EFE68" s="2"/>
      <c r="EFF68" s="2"/>
      <c r="EFG68" s="2"/>
      <c r="EFH68" s="2"/>
      <c r="EFI68" s="2"/>
      <c r="EFJ68" s="2"/>
      <c r="EFK68" s="2"/>
      <c r="EFL68" s="2"/>
      <c r="EFM68" s="2"/>
      <c r="EFN68" s="2"/>
      <c r="EFO68" s="2"/>
      <c r="EFP68" s="2"/>
      <c r="EFQ68" s="2"/>
      <c r="EFR68" s="2"/>
      <c r="EFS68" s="2"/>
      <c r="EFT68" s="2"/>
      <c r="EFU68" s="2"/>
      <c r="EFV68" s="2"/>
      <c r="EFW68" s="2"/>
      <c r="EFX68" s="2"/>
      <c r="EFY68" s="2"/>
      <c r="EFZ68" s="2"/>
      <c r="EGA68" s="2"/>
      <c r="EGB68" s="2"/>
      <c r="EGC68" s="2"/>
      <c r="EGD68" s="2"/>
      <c r="EGE68" s="2"/>
      <c r="EGF68" s="2"/>
      <c r="EGG68" s="2"/>
      <c r="EGH68" s="2"/>
      <c r="EGI68" s="2"/>
      <c r="EGJ68" s="2"/>
      <c r="EGK68" s="2"/>
      <c r="EGL68" s="2"/>
      <c r="EGM68" s="2"/>
      <c r="EGN68" s="2"/>
      <c r="EGO68" s="2"/>
      <c r="EGP68" s="2"/>
      <c r="EGQ68" s="2"/>
      <c r="EGR68" s="2"/>
      <c r="EGS68" s="2"/>
      <c r="EGT68" s="2"/>
      <c r="EGU68" s="2"/>
      <c r="EGV68" s="2"/>
      <c r="EGW68" s="2"/>
      <c r="EGX68" s="2"/>
      <c r="EGY68" s="2"/>
      <c r="EGZ68" s="2"/>
      <c r="EHA68" s="2"/>
      <c r="EHB68" s="2"/>
      <c r="EHC68" s="2"/>
      <c r="EHD68" s="2"/>
      <c r="EHE68" s="2"/>
      <c r="EHF68" s="2"/>
      <c r="EHG68" s="2"/>
      <c r="EHH68" s="2"/>
      <c r="EHI68" s="2"/>
      <c r="EHJ68" s="2"/>
      <c r="EHK68" s="2"/>
      <c r="EHL68" s="2"/>
      <c r="EHM68" s="2"/>
      <c r="EHN68" s="2"/>
      <c r="EHO68" s="2"/>
      <c r="EHP68" s="2"/>
      <c r="EHQ68" s="2"/>
      <c r="EHR68" s="2"/>
      <c r="EHS68" s="2"/>
      <c r="EHT68" s="2"/>
      <c r="EHU68" s="2"/>
      <c r="EHV68" s="2"/>
      <c r="EHW68" s="2"/>
      <c r="EHX68" s="2"/>
      <c r="EHY68" s="2"/>
      <c r="EHZ68" s="2"/>
      <c r="EIA68" s="2"/>
      <c r="EIB68" s="2"/>
      <c r="EIC68" s="2"/>
      <c r="EID68" s="2"/>
      <c r="EIE68" s="2"/>
      <c r="EIF68" s="2"/>
      <c r="EIG68" s="2"/>
      <c r="EIH68" s="2"/>
      <c r="EII68" s="2"/>
      <c r="EIJ68" s="2"/>
      <c r="EIK68" s="2"/>
      <c r="EIL68" s="2"/>
      <c r="EIM68" s="2"/>
      <c r="EIN68" s="2"/>
      <c r="EIO68" s="2"/>
      <c r="EIP68" s="2"/>
      <c r="EIQ68" s="2"/>
      <c r="EIR68" s="2"/>
      <c r="EIS68" s="2"/>
      <c r="EIT68" s="2"/>
      <c r="EIU68" s="2"/>
      <c r="EIV68" s="2"/>
      <c r="EIW68" s="2"/>
      <c r="EIX68" s="2"/>
      <c r="EIY68" s="2"/>
      <c r="EIZ68" s="2"/>
      <c r="EJA68" s="2"/>
      <c r="EJB68" s="2"/>
      <c r="EJC68" s="2"/>
      <c r="EJD68" s="2"/>
      <c r="EJE68" s="2"/>
      <c r="EJF68" s="2"/>
      <c r="EJG68" s="2"/>
      <c r="EJH68" s="2"/>
      <c r="EJI68" s="2"/>
      <c r="EJJ68" s="2"/>
      <c r="EJK68" s="2"/>
      <c r="EJL68" s="2"/>
      <c r="EJM68" s="2"/>
      <c r="EJN68" s="2"/>
      <c r="EJO68" s="2"/>
      <c r="EJP68" s="2"/>
      <c r="EJQ68" s="2"/>
      <c r="EJR68" s="2"/>
      <c r="EJS68" s="2"/>
      <c r="EJT68" s="2"/>
      <c r="EJU68" s="2"/>
      <c r="EJV68" s="2"/>
      <c r="EJW68" s="2"/>
      <c r="EJX68" s="2"/>
      <c r="EJY68" s="2"/>
      <c r="EJZ68" s="2"/>
      <c r="EKA68" s="2"/>
      <c r="EKB68" s="2"/>
      <c r="EKC68" s="2"/>
      <c r="EKD68" s="2"/>
      <c r="EKE68" s="2"/>
      <c r="EKF68" s="2"/>
      <c r="EKG68" s="2"/>
      <c r="EKH68" s="2"/>
      <c r="EKI68" s="2"/>
      <c r="EKJ68" s="2"/>
      <c r="EKK68" s="2"/>
      <c r="EKL68" s="2"/>
      <c r="EKM68" s="2"/>
      <c r="EKN68" s="2"/>
      <c r="EKO68" s="2"/>
      <c r="EKP68" s="2"/>
      <c r="EKQ68" s="2"/>
      <c r="EKR68" s="2"/>
      <c r="EKS68" s="2"/>
      <c r="EKT68" s="2"/>
      <c r="EKU68" s="2"/>
      <c r="EKV68" s="2"/>
      <c r="EKW68" s="2"/>
      <c r="EKX68" s="2"/>
      <c r="EKY68" s="2"/>
      <c r="EKZ68" s="2"/>
      <c r="ELA68" s="2"/>
      <c r="ELB68" s="2"/>
      <c r="ELC68" s="2"/>
      <c r="ELD68" s="2"/>
      <c r="ELE68" s="2"/>
      <c r="ELF68" s="2"/>
      <c r="ELG68" s="2"/>
      <c r="ELH68" s="2"/>
      <c r="ELI68" s="2"/>
      <c r="ELJ68" s="2"/>
      <c r="ELK68" s="2"/>
      <c r="ELL68" s="2"/>
      <c r="ELM68" s="2"/>
      <c r="ELN68" s="2"/>
      <c r="ELO68" s="2"/>
      <c r="ELP68" s="2"/>
      <c r="ELQ68" s="2"/>
      <c r="ELR68" s="2"/>
      <c r="ELS68" s="2"/>
      <c r="ELT68" s="2"/>
      <c r="ELU68" s="2"/>
      <c r="ELV68" s="2"/>
      <c r="ELW68" s="2"/>
      <c r="ELX68" s="2"/>
      <c r="ELY68" s="2"/>
      <c r="ELZ68" s="2"/>
      <c r="EMA68" s="2"/>
      <c r="EMB68" s="2"/>
      <c r="EMC68" s="2"/>
      <c r="EMD68" s="2"/>
      <c r="EME68" s="2"/>
      <c r="EMF68" s="2"/>
      <c r="EMG68" s="2"/>
      <c r="EMH68" s="2"/>
      <c r="EMI68" s="2"/>
      <c r="EMJ68" s="2"/>
      <c r="EMK68" s="2"/>
      <c r="EML68" s="2"/>
      <c r="EMM68" s="2"/>
      <c r="EMN68" s="2"/>
      <c r="EMO68" s="2"/>
      <c r="EMP68" s="2"/>
      <c r="EMQ68" s="2"/>
      <c r="EMR68" s="2"/>
      <c r="EMS68" s="2"/>
      <c r="EMT68" s="2"/>
      <c r="EMU68" s="2"/>
      <c r="EMV68" s="2"/>
      <c r="EMW68" s="2"/>
      <c r="EMX68" s="2"/>
      <c r="EMY68" s="2"/>
      <c r="EMZ68" s="2"/>
      <c r="ENA68" s="2"/>
      <c r="ENB68" s="2"/>
      <c r="ENC68" s="2"/>
      <c r="END68" s="2"/>
      <c r="ENE68" s="2"/>
      <c r="ENF68" s="2"/>
      <c r="ENG68" s="2"/>
      <c r="ENH68" s="2"/>
      <c r="ENI68" s="2"/>
      <c r="ENJ68" s="2"/>
      <c r="ENK68" s="2"/>
      <c r="ENL68" s="2"/>
      <c r="ENM68" s="2"/>
      <c r="ENN68" s="2"/>
      <c r="ENO68" s="2"/>
      <c r="ENP68" s="2"/>
      <c r="ENQ68" s="2"/>
      <c r="ENR68" s="2"/>
      <c r="ENS68" s="2"/>
      <c r="ENT68" s="2"/>
      <c r="ENU68" s="2"/>
      <c r="ENV68" s="2"/>
      <c r="ENW68" s="2"/>
      <c r="ENX68" s="2"/>
      <c r="ENY68" s="2"/>
      <c r="ENZ68" s="2"/>
      <c r="EOA68" s="2"/>
      <c r="EOB68" s="2"/>
      <c r="EOC68" s="2"/>
      <c r="EOD68" s="2"/>
      <c r="EOE68" s="2"/>
      <c r="EOF68" s="2"/>
      <c r="EOG68" s="2"/>
      <c r="EOH68" s="2"/>
      <c r="EOI68" s="2"/>
      <c r="EOJ68" s="2"/>
      <c r="EOK68" s="2"/>
      <c r="EOL68" s="2"/>
      <c r="EOM68" s="2"/>
      <c r="EON68" s="2"/>
      <c r="EOO68" s="2"/>
      <c r="EOP68" s="2"/>
      <c r="EOQ68" s="2"/>
      <c r="EOR68" s="2"/>
      <c r="EOS68" s="2"/>
      <c r="EOT68" s="2"/>
      <c r="EOU68" s="2"/>
      <c r="EOV68" s="2"/>
      <c r="EOW68" s="2"/>
      <c r="EOX68" s="2"/>
      <c r="EOY68" s="2"/>
      <c r="EOZ68" s="2"/>
      <c r="EPA68" s="2"/>
      <c r="EPB68" s="2"/>
      <c r="EPC68" s="2"/>
      <c r="EPD68" s="2"/>
      <c r="EPE68" s="2"/>
      <c r="EPF68" s="2"/>
      <c r="EPG68" s="2"/>
      <c r="EPH68" s="2"/>
      <c r="EPI68" s="2"/>
      <c r="EPJ68" s="2"/>
      <c r="EPK68" s="2"/>
      <c r="EPL68" s="2"/>
      <c r="EPM68" s="2"/>
      <c r="EPN68" s="2"/>
      <c r="EPO68" s="2"/>
      <c r="EPP68" s="2"/>
      <c r="EPQ68" s="2"/>
      <c r="EPR68" s="2"/>
      <c r="EPS68" s="2"/>
      <c r="EPT68" s="2"/>
      <c r="EPU68" s="2"/>
      <c r="EPV68" s="2"/>
      <c r="EPW68" s="2"/>
      <c r="EPX68" s="2"/>
      <c r="EPY68" s="2"/>
      <c r="EPZ68" s="2"/>
      <c r="EQA68" s="2"/>
      <c r="EQB68" s="2"/>
      <c r="EQC68" s="2"/>
      <c r="EQD68" s="2"/>
      <c r="EQE68" s="2"/>
      <c r="EQF68" s="2"/>
      <c r="EQG68" s="2"/>
      <c r="EQH68" s="2"/>
      <c r="EQI68" s="2"/>
      <c r="EQJ68" s="2"/>
      <c r="EQK68" s="2"/>
      <c r="EQL68" s="2"/>
      <c r="EQM68" s="2"/>
      <c r="EQN68" s="2"/>
      <c r="EQO68" s="2"/>
      <c r="EQP68" s="2"/>
      <c r="EQQ68" s="2"/>
      <c r="EQR68" s="2"/>
      <c r="EQS68" s="2"/>
      <c r="EQT68" s="2"/>
      <c r="EQU68" s="2"/>
      <c r="EQV68" s="2"/>
      <c r="EQW68" s="2"/>
      <c r="EQX68" s="2"/>
      <c r="EQY68" s="2"/>
      <c r="EQZ68" s="2"/>
      <c r="ERA68" s="2"/>
      <c r="ERB68" s="2"/>
      <c r="ERC68" s="2"/>
      <c r="ERD68" s="2"/>
      <c r="ERE68" s="2"/>
      <c r="ERF68" s="2"/>
      <c r="ERG68" s="2"/>
      <c r="ERH68" s="2"/>
      <c r="ERI68" s="2"/>
      <c r="ERJ68" s="2"/>
      <c r="ERK68" s="2"/>
      <c r="ERL68" s="2"/>
      <c r="ERM68" s="2"/>
      <c r="ERN68" s="2"/>
      <c r="ERO68" s="2"/>
      <c r="ERP68" s="2"/>
      <c r="ERQ68" s="2"/>
      <c r="ERR68" s="2"/>
      <c r="ERS68" s="2"/>
      <c r="ERT68" s="2"/>
      <c r="ERU68" s="2"/>
      <c r="ERV68" s="2"/>
      <c r="ERW68" s="2"/>
      <c r="ERX68" s="2"/>
      <c r="ERY68" s="2"/>
      <c r="ERZ68" s="2"/>
      <c r="ESA68" s="2"/>
      <c r="ESB68" s="2"/>
      <c r="ESC68" s="2"/>
      <c r="ESD68" s="2"/>
      <c r="ESE68" s="2"/>
      <c r="ESF68" s="2"/>
      <c r="ESG68" s="2"/>
      <c r="ESH68" s="2"/>
      <c r="ESI68" s="2"/>
      <c r="ESJ68" s="2"/>
      <c r="ESK68" s="2"/>
      <c r="ESL68" s="2"/>
      <c r="ESM68" s="2"/>
      <c r="ESN68" s="2"/>
      <c r="ESO68" s="2"/>
      <c r="ESP68" s="2"/>
      <c r="ESQ68" s="2"/>
      <c r="ESR68" s="2"/>
      <c r="ESS68" s="2"/>
      <c r="EST68" s="2"/>
      <c r="ESU68" s="2"/>
      <c r="ESV68" s="2"/>
      <c r="ESW68" s="2"/>
      <c r="ESX68" s="2"/>
      <c r="ESY68" s="2"/>
      <c r="ESZ68" s="2"/>
      <c r="ETA68" s="2"/>
      <c r="ETB68" s="2"/>
      <c r="ETC68" s="2"/>
      <c r="ETD68" s="2"/>
      <c r="ETE68" s="2"/>
      <c r="ETF68" s="2"/>
      <c r="ETG68" s="2"/>
      <c r="ETH68" s="2"/>
      <c r="ETI68" s="2"/>
      <c r="ETJ68" s="2"/>
      <c r="ETK68" s="2"/>
      <c r="ETL68" s="2"/>
      <c r="ETM68" s="2"/>
      <c r="ETN68" s="2"/>
      <c r="ETO68" s="2"/>
      <c r="ETP68" s="2"/>
      <c r="ETQ68" s="2"/>
      <c r="ETR68" s="2"/>
      <c r="ETS68" s="2"/>
      <c r="ETT68" s="2"/>
      <c r="ETU68" s="2"/>
      <c r="ETV68" s="2"/>
      <c r="ETW68" s="2"/>
      <c r="ETX68" s="2"/>
      <c r="ETY68" s="2"/>
      <c r="ETZ68" s="2"/>
      <c r="EUA68" s="2"/>
      <c r="EUB68" s="2"/>
      <c r="EUC68" s="2"/>
      <c r="EUD68" s="2"/>
      <c r="EUE68" s="2"/>
      <c r="EUF68" s="2"/>
      <c r="EUG68" s="2"/>
      <c r="EUH68" s="2"/>
      <c r="EUI68" s="2"/>
      <c r="EUJ68" s="2"/>
      <c r="EUK68" s="2"/>
      <c r="EUL68" s="2"/>
      <c r="EUM68" s="2"/>
      <c r="EUN68" s="2"/>
      <c r="EUO68" s="2"/>
      <c r="EUP68" s="2"/>
      <c r="EUQ68" s="2"/>
      <c r="EUR68" s="2"/>
      <c r="EUS68" s="2"/>
      <c r="EUT68" s="2"/>
      <c r="EUU68" s="2"/>
      <c r="EUV68" s="2"/>
      <c r="EUW68" s="2"/>
      <c r="EUX68" s="2"/>
      <c r="EUY68" s="2"/>
      <c r="EUZ68" s="2"/>
      <c r="EVA68" s="2"/>
      <c r="EVB68" s="2"/>
      <c r="EVC68" s="2"/>
      <c r="EVD68" s="2"/>
      <c r="EVE68" s="2"/>
      <c r="EVF68" s="2"/>
      <c r="EVG68" s="2"/>
      <c r="EVH68" s="2"/>
      <c r="EVI68" s="2"/>
      <c r="EVJ68" s="2"/>
      <c r="EVK68" s="2"/>
      <c r="EVL68" s="2"/>
      <c r="EVM68" s="2"/>
      <c r="EVN68" s="2"/>
      <c r="EVO68" s="2"/>
      <c r="EVP68" s="2"/>
      <c r="EVQ68" s="2"/>
      <c r="EVR68" s="2"/>
      <c r="EVS68" s="2"/>
      <c r="EVT68" s="2"/>
      <c r="EVU68" s="2"/>
      <c r="EVV68" s="2"/>
      <c r="EVW68" s="2"/>
      <c r="EVX68" s="2"/>
      <c r="EVY68" s="2"/>
      <c r="EVZ68" s="2"/>
      <c r="EWA68" s="2"/>
      <c r="EWB68" s="2"/>
      <c r="EWC68" s="2"/>
      <c r="EWD68" s="2"/>
      <c r="EWE68" s="2"/>
      <c r="EWF68" s="2"/>
      <c r="EWG68" s="2"/>
      <c r="EWH68" s="2"/>
      <c r="EWI68" s="2"/>
      <c r="EWJ68" s="2"/>
      <c r="EWK68" s="2"/>
      <c r="EWL68" s="2"/>
      <c r="EWM68" s="2"/>
      <c r="EWN68" s="2"/>
      <c r="EWO68" s="2"/>
      <c r="EWP68" s="2"/>
      <c r="EWQ68" s="2"/>
      <c r="EWR68" s="2"/>
      <c r="EWS68" s="2"/>
      <c r="EWT68" s="2"/>
      <c r="EWU68" s="2"/>
      <c r="EWV68" s="2"/>
      <c r="EWW68" s="2"/>
      <c r="EWX68" s="2"/>
      <c r="EWY68" s="2"/>
      <c r="EWZ68" s="2"/>
      <c r="EXA68" s="2"/>
      <c r="EXB68" s="2"/>
      <c r="EXC68" s="2"/>
      <c r="EXD68" s="2"/>
      <c r="EXE68" s="2"/>
      <c r="EXF68" s="2"/>
      <c r="EXG68" s="2"/>
      <c r="EXH68" s="2"/>
      <c r="EXI68" s="2"/>
      <c r="EXJ68" s="2"/>
      <c r="EXK68" s="2"/>
      <c r="EXL68" s="2"/>
      <c r="EXM68" s="2"/>
      <c r="EXN68" s="2"/>
      <c r="EXO68" s="2"/>
      <c r="EXP68" s="2"/>
      <c r="EXQ68" s="2"/>
      <c r="EXR68" s="2"/>
      <c r="EXS68" s="2"/>
      <c r="EXT68" s="2"/>
      <c r="EXU68" s="2"/>
      <c r="EXV68" s="2"/>
      <c r="EXW68" s="2"/>
      <c r="EXX68" s="2"/>
      <c r="EXY68" s="2"/>
      <c r="EXZ68" s="2"/>
      <c r="EYA68" s="2"/>
      <c r="EYB68" s="2"/>
      <c r="EYC68" s="2"/>
      <c r="EYD68" s="2"/>
      <c r="EYE68" s="2"/>
      <c r="EYF68" s="2"/>
      <c r="EYG68" s="2"/>
      <c r="EYH68" s="2"/>
      <c r="EYI68" s="2"/>
      <c r="EYJ68" s="2"/>
      <c r="EYK68" s="2"/>
      <c r="EYL68" s="2"/>
      <c r="EYM68" s="2"/>
      <c r="EYN68" s="2"/>
      <c r="EYO68" s="2"/>
      <c r="EYP68" s="2"/>
      <c r="EYQ68" s="2"/>
      <c r="EYR68" s="2"/>
      <c r="EYS68" s="2"/>
      <c r="EYT68" s="2"/>
      <c r="EYU68" s="2"/>
      <c r="EYV68" s="2"/>
      <c r="EYW68" s="2"/>
      <c r="EYX68" s="2"/>
      <c r="EYY68" s="2"/>
      <c r="EYZ68" s="2"/>
      <c r="EZA68" s="2"/>
      <c r="EZB68" s="2"/>
      <c r="EZC68" s="2"/>
      <c r="EZD68" s="2"/>
      <c r="EZE68" s="2"/>
      <c r="EZF68" s="2"/>
      <c r="EZG68" s="2"/>
      <c r="EZH68" s="2"/>
      <c r="EZI68" s="2"/>
      <c r="EZJ68" s="2"/>
      <c r="EZK68" s="2"/>
      <c r="EZL68" s="2"/>
      <c r="EZM68" s="2"/>
      <c r="EZN68" s="2"/>
      <c r="EZO68" s="2"/>
      <c r="EZP68" s="2"/>
      <c r="EZQ68" s="2"/>
      <c r="EZR68" s="2"/>
      <c r="EZS68" s="2"/>
      <c r="EZT68" s="2"/>
      <c r="EZU68" s="2"/>
      <c r="EZV68" s="2"/>
      <c r="EZW68" s="2"/>
      <c r="EZX68" s="2"/>
      <c r="EZY68" s="2"/>
      <c r="EZZ68" s="2"/>
      <c r="FAA68" s="2"/>
      <c r="FAB68" s="2"/>
      <c r="FAC68" s="2"/>
      <c r="FAD68" s="2"/>
      <c r="FAE68" s="2"/>
      <c r="FAF68" s="2"/>
      <c r="FAG68" s="2"/>
      <c r="FAH68" s="2"/>
      <c r="FAI68" s="2"/>
      <c r="FAJ68" s="2"/>
      <c r="FAK68" s="2"/>
      <c r="FAL68" s="2"/>
      <c r="FAM68" s="2"/>
      <c r="FAN68" s="2"/>
      <c r="FAO68" s="2"/>
      <c r="FAP68" s="2"/>
      <c r="FAQ68" s="2"/>
      <c r="FAR68" s="2"/>
      <c r="FAS68" s="2"/>
      <c r="FAT68" s="2"/>
      <c r="FAU68" s="2"/>
      <c r="FAV68" s="2"/>
      <c r="FAW68" s="2"/>
      <c r="FAX68" s="2"/>
      <c r="FAY68" s="2"/>
      <c r="FAZ68" s="2"/>
      <c r="FBA68" s="2"/>
      <c r="FBB68" s="2"/>
      <c r="FBC68" s="2"/>
      <c r="FBD68" s="2"/>
      <c r="FBE68" s="2"/>
      <c r="FBF68" s="2"/>
      <c r="FBG68" s="2"/>
      <c r="FBH68" s="2"/>
      <c r="FBI68" s="2"/>
      <c r="FBJ68" s="2"/>
      <c r="FBK68" s="2"/>
      <c r="FBL68" s="2"/>
      <c r="FBM68" s="2"/>
      <c r="FBN68" s="2"/>
      <c r="FBO68" s="2"/>
      <c r="FBP68" s="2"/>
      <c r="FBQ68" s="2"/>
      <c r="FBR68" s="2"/>
      <c r="FBS68" s="2"/>
      <c r="FBT68" s="2"/>
      <c r="FBU68" s="2"/>
      <c r="FBV68" s="2"/>
      <c r="FBW68" s="2"/>
      <c r="FBX68" s="2"/>
      <c r="FBY68" s="2"/>
      <c r="FBZ68" s="2"/>
      <c r="FCA68" s="2"/>
      <c r="FCB68" s="2"/>
      <c r="FCC68" s="2"/>
      <c r="FCD68" s="2"/>
      <c r="FCE68" s="2"/>
      <c r="FCF68" s="2"/>
      <c r="FCG68" s="2"/>
      <c r="FCH68" s="2"/>
      <c r="FCI68" s="2"/>
      <c r="FCJ68" s="2"/>
      <c r="FCK68" s="2"/>
      <c r="FCL68" s="2"/>
      <c r="FCM68" s="2"/>
      <c r="FCN68" s="2"/>
      <c r="FCO68" s="2"/>
      <c r="FCP68" s="2"/>
      <c r="FCQ68" s="2"/>
      <c r="FCR68" s="2"/>
      <c r="FCS68" s="2"/>
      <c r="FCT68" s="2"/>
      <c r="FCU68" s="2"/>
      <c r="FCV68" s="2"/>
      <c r="FCW68" s="2"/>
      <c r="FCX68" s="2"/>
      <c r="FCY68" s="2"/>
      <c r="FCZ68" s="2"/>
      <c r="FDA68" s="2"/>
      <c r="FDB68" s="2"/>
      <c r="FDC68" s="2"/>
      <c r="FDD68" s="2"/>
      <c r="FDE68" s="2"/>
      <c r="FDF68" s="2"/>
      <c r="FDG68" s="2"/>
      <c r="FDH68" s="2"/>
      <c r="FDI68" s="2"/>
      <c r="FDJ68" s="2"/>
      <c r="FDK68" s="2"/>
      <c r="FDL68" s="2"/>
      <c r="FDM68" s="2"/>
      <c r="FDN68" s="2"/>
      <c r="FDO68" s="2"/>
      <c r="FDP68" s="2"/>
      <c r="FDQ68" s="2"/>
      <c r="FDR68" s="2"/>
      <c r="FDS68" s="2"/>
      <c r="FDT68" s="2"/>
      <c r="FDU68" s="2"/>
      <c r="FDV68" s="2"/>
      <c r="FDW68" s="2"/>
      <c r="FDX68" s="2"/>
      <c r="FDY68" s="2"/>
      <c r="FDZ68" s="2"/>
      <c r="FEA68" s="2"/>
      <c r="FEB68" s="2"/>
      <c r="FEC68" s="2"/>
      <c r="FED68" s="2"/>
      <c r="FEE68" s="2"/>
      <c r="FEF68" s="2"/>
      <c r="FEG68" s="2"/>
      <c r="FEH68" s="2"/>
      <c r="FEI68" s="2"/>
      <c r="FEJ68" s="2"/>
      <c r="FEK68" s="2"/>
      <c r="FEL68" s="2"/>
      <c r="FEM68" s="2"/>
      <c r="FEN68" s="2"/>
      <c r="FEO68" s="2"/>
      <c r="FEP68" s="2"/>
      <c r="FEQ68" s="2"/>
      <c r="FER68" s="2"/>
      <c r="FES68" s="2"/>
      <c r="FET68" s="2"/>
      <c r="FEU68" s="2"/>
      <c r="FEV68" s="2"/>
      <c r="FEW68" s="2"/>
      <c r="FEX68" s="2"/>
      <c r="FEY68" s="2"/>
      <c r="FEZ68" s="2"/>
      <c r="FFA68" s="2"/>
      <c r="FFB68" s="2"/>
      <c r="FFC68" s="2"/>
      <c r="FFD68" s="2"/>
      <c r="FFE68" s="2"/>
      <c r="FFF68" s="2"/>
      <c r="FFG68" s="2"/>
      <c r="FFH68" s="2"/>
      <c r="FFI68" s="2"/>
      <c r="FFJ68" s="2"/>
      <c r="FFK68" s="2"/>
      <c r="FFL68" s="2"/>
      <c r="FFM68" s="2"/>
      <c r="FFN68" s="2"/>
      <c r="FFO68" s="2"/>
      <c r="FFP68" s="2"/>
      <c r="FFQ68" s="2"/>
      <c r="FFR68" s="2"/>
      <c r="FFS68" s="2"/>
      <c r="FFT68" s="2"/>
      <c r="FFU68" s="2"/>
      <c r="FFV68" s="2"/>
      <c r="FFW68" s="2"/>
      <c r="FFX68" s="2"/>
      <c r="FFY68" s="2"/>
      <c r="FFZ68" s="2"/>
      <c r="FGA68" s="2"/>
      <c r="FGB68" s="2"/>
      <c r="FGC68" s="2"/>
      <c r="FGD68" s="2"/>
      <c r="FGE68" s="2"/>
      <c r="FGF68" s="2"/>
      <c r="FGG68" s="2"/>
      <c r="FGH68" s="2"/>
      <c r="FGI68" s="2"/>
      <c r="FGJ68" s="2"/>
      <c r="FGK68" s="2"/>
      <c r="FGL68" s="2"/>
      <c r="FGM68" s="2"/>
      <c r="FGN68" s="2"/>
      <c r="FGO68" s="2"/>
      <c r="FGP68" s="2"/>
      <c r="FGQ68" s="2"/>
      <c r="FGR68" s="2"/>
      <c r="FGS68" s="2"/>
      <c r="FGT68" s="2"/>
      <c r="FGU68" s="2"/>
      <c r="FGV68" s="2"/>
      <c r="FGW68" s="2"/>
      <c r="FGX68" s="2"/>
      <c r="FGY68" s="2"/>
      <c r="FGZ68" s="2"/>
      <c r="FHA68" s="2"/>
      <c r="FHB68" s="2"/>
      <c r="FHC68" s="2"/>
      <c r="FHD68" s="2"/>
      <c r="FHE68" s="2"/>
      <c r="FHF68" s="2"/>
      <c r="FHG68" s="2"/>
      <c r="FHH68" s="2"/>
      <c r="FHI68" s="2"/>
      <c r="FHJ68" s="2"/>
      <c r="FHK68" s="2"/>
      <c r="FHL68" s="2"/>
      <c r="FHM68" s="2"/>
      <c r="FHN68" s="2"/>
      <c r="FHO68" s="2"/>
      <c r="FHP68" s="2"/>
      <c r="FHQ68" s="2"/>
      <c r="FHR68" s="2"/>
      <c r="FHS68" s="2"/>
      <c r="FHT68" s="2"/>
      <c r="FHU68" s="2"/>
      <c r="FHV68" s="2"/>
      <c r="FHW68" s="2"/>
      <c r="FHX68" s="2"/>
      <c r="FHY68" s="2"/>
      <c r="FHZ68" s="2"/>
      <c r="FIA68" s="2"/>
      <c r="FIB68" s="2"/>
      <c r="FIC68" s="2"/>
      <c r="FID68" s="2"/>
      <c r="FIE68" s="2"/>
      <c r="FIF68" s="2"/>
      <c r="FIG68" s="2"/>
      <c r="FIH68" s="2"/>
      <c r="FII68" s="2"/>
      <c r="FIJ68" s="2"/>
      <c r="FIK68" s="2"/>
      <c r="FIL68" s="2"/>
      <c r="FIM68" s="2"/>
      <c r="FIN68" s="2"/>
      <c r="FIO68" s="2"/>
      <c r="FIP68" s="2"/>
      <c r="FIQ68" s="2"/>
      <c r="FIR68" s="2"/>
      <c r="FIS68" s="2"/>
      <c r="FIT68" s="2"/>
      <c r="FIU68" s="2"/>
      <c r="FIV68" s="2"/>
      <c r="FIW68" s="2"/>
      <c r="FIX68" s="2"/>
      <c r="FIY68" s="2"/>
      <c r="FIZ68" s="2"/>
      <c r="FJA68" s="2"/>
      <c r="FJB68" s="2"/>
      <c r="FJC68" s="2"/>
      <c r="FJD68" s="2"/>
      <c r="FJE68" s="2"/>
      <c r="FJF68" s="2"/>
      <c r="FJG68" s="2"/>
      <c r="FJH68" s="2"/>
      <c r="FJI68" s="2"/>
      <c r="FJJ68" s="2"/>
      <c r="FJK68" s="2"/>
      <c r="FJL68" s="2"/>
      <c r="FJM68" s="2"/>
      <c r="FJN68" s="2"/>
      <c r="FJO68" s="2"/>
      <c r="FJP68" s="2"/>
      <c r="FJQ68" s="2"/>
      <c r="FJR68" s="2"/>
      <c r="FJS68" s="2"/>
      <c r="FJT68" s="2"/>
      <c r="FJU68" s="2"/>
      <c r="FJV68" s="2"/>
      <c r="FJW68" s="2"/>
      <c r="FJX68" s="2"/>
      <c r="FJY68" s="2"/>
      <c r="FJZ68" s="2"/>
      <c r="FKA68" s="2"/>
      <c r="FKB68" s="2"/>
      <c r="FKC68" s="2"/>
      <c r="FKD68" s="2"/>
      <c r="FKE68" s="2"/>
      <c r="FKF68" s="2"/>
      <c r="FKG68" s="2"/>
      <c r="FKH68" s="2"/>
      <c r="FKI68" s="2"/>
      <c r="FKJ68" s="2"/>
      <c r="FKK68" s="2"/>
      <c r="FKL68" s="2"/>
      <c r="FKM68" s="2"/>
      <c r="FKN68" s="2"/>
      <c r="FKO68" s="2"/>
      <c r="FKP68" s="2"/>
      <c r="FKQ68" s="2"/>
      <c r="FKR68" s="2"/>
      <c r="FKS68" s="2"/>
      <c r="FKT68" s="2"/>
      <c r="FKU68" s="2"/>
      <c r="FKV68" s="2"/>
      <c r="FKW68" s="2"/>
      <c r="FKX68" s="2"/>
      <c r="FKY68" s="2"/>
      <c r="FKZ68" s="2"/>
      <c r="FLA68" s="2"/>
      <c r="FLB68" s="2"/>
      <c r="FLC68" s="2"/>
      <c r="FLD68" s="2"/>
      <c r="FLE68" s="2"/>
      <c r="FLF68" s="2"/>
      <c r="FLG68" s="2"/>
      <c r="FLH68" s="2"/>
      <c r="FLI68" s="2"/>
      <c r="FLJ68" s="2"/>
      <c r="FLK68" s="2"/>
      <c r="FLL68" s="2"/>
      <c r="FLM68" s="2"/>
      <c r="FLN68" s="2"/>
      <c r="FLO68" s="2"/>
      <c r="FLP68" s="2"/>
      <c r="FLQ68" s="2"/>
      <c r="FLR68" s="2"/>
      <c r="FLS68" s="2"/>
      <c r="FLT68" s="2"/>
      <c r="FLU68" s="2"/>
      <c r="FLV68" s="2"/>
      <c r="FLW68" s="2"/>
      <c r="FLX68" s="2"/>
      <c r="FLY68" s="2"/>
      <c r="FLZ68" s="2"/>
      <c r="FMA68" s="2"/>
      <c r="FMB68" s="2"/>
      <c r="FMC68" s="2"/>
      <c r="FMD68" s="2"/>
      <c r="FME68" s="2"/>
      <c r="FMF68" s="2"/>
      <c r="FMG68" s="2"/>
      <c r="FMH68" s="2"/>
      <c r="FMI68" s="2"/>
      <c r="FMJ68" s="2"/>
      <c r="FMK68" s="2"/>
      <c r="FML68" s="2"/>
      <c r="FMM68" s="2"/>
      <c r="FMN68" s="2"/>
      <c r="FMO68" s="2"/>
      <c r="FMP68" s="2"/>
      <c r="FMQ68" s="2"/>
      <c r="FMR68" s="2"/>
      <c r="FMS68" s="2"/>
      <c r="FMT68" s="2"/>
      <c r="FMU68" s="2"/>
      <c r="FMV68" s="2"/>
      <c r="FMW68" s="2"/>
      <c r="FMX68" s="2"/>
      <c r="FMY68" s="2"/>
      <c r="FMZ68" s="2"/>
      <c r="FNA68" s="2"/>
      <c r="FNB68" s="2"/>
      <c r="FNC68" s="2"/>
      <c r="FND68" s="2"/>
      <c r="FNE68" s="2"/>
      <c r="FNF68" s="2"/>
      <c r="FNG68" s="2"/>
      <c r="FNH68" s="2"/>
      <c r="FNI68" s="2"/>
      <c r="FNJ68" s="2"/>
      <c r="FNK68" s="2"/>
      <c r="FNL68" s="2"/>
      <c r="FNM68" s="2"/>
      <c r="FNN68" s="2"/>
      <c r="FNO68" s="2"/>
      <c r="FNP68" s="2"/>
      <c r="FNQ68" s="2"/>
      <c r="FNR68" s="2"/>
      <c r="FNS68" s="2"/>
      <c r="FNT68" s="2"/>
      <c r="FNU68" s="2"/>
      <c r="FNV68" s="2"/>
      <c r="FNW68" s="2"/>
      <c r="FNX68" s="2"/>
      <c r="FNY68" s="2"/>
      <c r="FNZ68" s="2"/>
      <c r="FOA68" s="2"/>
      <c r="FOB68" s="2"/>
      <c r="FOC68" s="2"/>
      <c r="FOD68" s="2"/>
      <c r="FOE68" s="2"/>
      <c r="FOF68" s="2"/>
      <c r="FOG68" s="2"/>
      <c r="FOH68" s="2"/>
      <c r="FOI68" s="2"/>
      <c r="FOJ68" s="2"/>
      <c r="FOK68" s="2"/>
      <c r="FOL68" s="2"/>
      <c r="FOM68" s="2"/>
      <c r="FON68" s="2"/>
      <c r="FOO68" s="2"/>
      <c r="FOP68" s="2"/>
      <c r="FOQ68" s="2"/>
      <c r="FOR68" s="2"/>
      <c r="FOS68" s="2"/>
      <c r="FOT68" s="2"/>
      <c r="FOU68" s="2"/>
      <c r="FOV68" s="2"/>
      <c r="FOW68" s="2"/>
      <c r="FOX68" s="2"/>
      <c r="FOY68" s="2"/>
      <c r="FOZ68" s="2"/>
      <c r="FPA68" s="2"/>
      <c r="FPB68" s="2"/>
      <c r="FPC68" s="2"/>
      <c r="FPD68" s="2"/>
      <c r="FPE68" s="2"/>
      <c r="FPF68" s="2"/>
      <c r="FPG68" s="2"/>
      <c r="FPH68" s="2"/>
      <c r="FPI68" s="2"/>
      <c r="FPJ68" s="2"/>
      <c r="FPK68" s="2"/>
      <c r="FPL68" s="2"/>
      <c r="FPM68" s="2"/>
      <c r="FPN68" s="2"/>
      <c r="FPO68" s="2"/>
      <c r="FPP68" s="2"/>
      <c r="FPQ68" s="2"/>
      <c r="FPR68" s="2"/>
      <c r="FPS68" s="2"/>
      <c r="FPT68" s="2"/>
      <c r="FPU68" s="2"/>
      <c r="FPV68" s="2"/>
      <c r="FPW68" s="2"/>
      <c r="FPX68" s="2"/>
      <c r="FPY68" s="2"/>
      <c r="FPZ68" s="2"/>
      <c r="FQA68" s="2"/>
      <c r="FQB68" s="2"/>
      <c r="FQC68" s="2"/>
      <c r="FQD68" s="2"/>
      <c r="FQE68" s="2"/>
      <c r="FQF68" s="2"/>
      <c r="FQG68" s="2"/>
      <c r="FQH68" s="2"/>
      <c r="FQI68" s="2"/>
      <c r="FQJ68" s="2"/>
      <c r="FQK68" s="2"/>
      <c r="FQL68" s="2"/>
      <c r="FQM68" s="2"/>
      <c r="FQN68" s="2"/>
      <c r="FQO68" s="2"/>
      <c r="FQP68" s="2"/>
      <c r="FQQ68" s="2"/>
      <c r="FQR68" s="2"/>
      <c r="FQS68" s="2"/>
      <c r="FQT68" s="2"/>
      <c r="FQU68" s="2"/>
      <c r="FQV68" s="2"/>
      <c r="FQW68" s="2"/>
      <c r="FQX68" s="2"/>
      <c r="FQY68" s="2"/>
      <c r="FQZ68" s="2"/>
      <c r="FRA68" s="2"/>
      <c r="FRB68" s="2"/>
      <c r="FRC68" s="2"/>
      <c r="FRD68" s="2"/>
      <c r="FRE68" s="2"/>
      <c r="FRF68" s="2"/>
      <c r="FRG68" s="2"/>
      <c r="FRH68" s="2"/>
      <c r="FRI68" s="2"/>
      <c r="FRJ68" s="2"/>
      <c r="FRK68" s="2"/>
      <c r="FRL68" s="2"/>
      <c r="FRM68" s="2"/>
      <c r="FRN68" s="2"/>
      <c r="FRO68" s="2"/>
      <c r="FRP68" s="2"/>
      <c r="FRQ68" s="2"/>
      <c r="FRR68" s="2"/>
      <c r="FRS68" s="2"/>
      <c r="FRT68" s="2"/>
      <c r="FRU68" s="2"/>
      <c r="FRV68" s="2"/>
      <c r="FRW68" s="2"/>
      <c r="FRX68" s="2"/>
      <c r="FRY68" s="2"/>
      <c r="FRZ68" s="2"/>
      <c r="FSA68" s="2"/>
      <c r="FSB68" s="2"/>
      <c r="FSC68" s="2"/>
      <c r="FSD68" s="2"/>
      <c r="FSE68" s="2"/>
      <c r="FSF68" s="2"/>
      <c r="FSG68" s="2"/>
      <c r="FSH68" s="2"/>
      <c r="FSI68" s="2"/>
      <c r="FSJ68" s="2"/>
      <c r="FSK68" s="2"/>
      <c r="FSL68" s="2"/>
      <c r="FSM68" s="2"/>
      <c r="FSN68" s="2"/>
      <c r="FSO68" s="2"/>
      <c r="FSP68" s="2"/>
      <c r="FSQ68" s="2"/>
      <c r="FSR68" s="2"/>
      <c r="FSS68" s="2"/>
      <c r="FST68" s="2"/>
      <c r="FSU68" s="2"/>
      <c r="FSV68" s="2"/>
      <c r="FSW68" s="2"/>
      <c r="FSX68" s="2"/>
      <c r="FSY68" s="2"/>
      <c r="FSZ68" s="2"/>
      <c r="FTA68" s="2"/>
      <c r="FTB68" s="2"/>
      <c r="FTC68" s="2"/>
      <c r="FTD68" s="2"/>
      <c r="FTE68" s="2"/>
      <c r="FTF68" s="2"/>
      <c r="FTG68" s="2"/>
      <c r="FTH68" s="2"/>
      <c r="FTI68" s="2"/>
      <c r="FTJ68" s="2"/>
      <c r="FTK68" s="2"/>
      <c r="FTL68" s="2"/>
      <c r="FTM68" s="2"/>
      <c r="FTN68" s="2"/>
      <c r="FTO68" s="2"/>
      <c r="FTP68" s="2"/>
      <c r="FTQ68" s="2"/>
      <c r="FTR68" s="2"/>
      <c r="FTS68" s="2"/>
      <c r="FTT68" s="2"/>
      <c r="FTU68" s="2"/>
      <c r="FTV68" s="2"/>
      <c r="FTW68" s="2"/>
      <c r="FTX68" s="2"/>
      <c r="FTY68" s="2"/>
      <c r="FTZ68" s="2"/>
      <c r="FUA68" s="2"/>
      <c r="FUB68" s="2"/>
      <c r="FUC68" s="2"/>
      <c r="FUD68" s="2"/>
      <c r="FUE68" s="2"/>
      <c r="FUF68" s="2"/>
      <c r="FUG68" s="2"/>
      <c r="FUH68" s="2"/>
      <c r="FUI68" s="2"/>
      <c r="FUJ68" s="2"/>
      <c r="FUK68" s="2"/>
      <c r="FUL68" s="2"/>
      <c r="FUM68" s="2"/>
      <c r="FUN68" s="2"/>
      <c r="FUO68" s="2"/>
      <c r="FUP68" s="2"/>
      <c r="FUQ68" s="2"/>
      <c r="FUR68" s="2"/>
      <c r="FUS68" s="2"/>
      <c r="FUT68" s="2"/>
      <c r="FUU68" s="2"/>
      <c r="FUV68" s="2"/>
      <c r="FUW68" s="2"/>
      <c r="FUX68" s="2"/>
      <c r="FUY68" s="2"/>
      <c r="FUZ68" s="2"/>
      <c r="FVA68" s="2"/>
      <c r="FVB68" s="2"/>
      <c r="FVC68" s="2"/>
      <c r="FVD68" s="2"/>
      <c r="FVE68" s="2"/>
      <c r="FVF68" s="2"/>
      <c r="FVG68" s="2"/>
      <c r="FVH68" s="2"/>
      <c r="FVI68" s="2"/>
      <c r="FVJ68" s="2"/>
      <c r="FVK68" s="2"/>
      <c r="FVL68" s="2"/>
      <c r="FVM68" s="2"/>
      <c r="FVN68" s="2"/>
      <c r="FVO68" s="2"/>
      <c r="FVP68" s="2"/>
      <c r="FVQ68" s="2"/>
      <c r="FVR68" s="2"/>
      <c r="FVS68" s="2"/>
      <c r="FVT68" s="2"/>
      <c r="FVU68" s="2"/>
      <c r="FVV68" s="2"/>
      <c r="FVW68" s="2"/>
      <c r="FVX68" s="2"/>
      <c r="FVY68" s="2"/>
      <c r="FVZ68" s="2"/>
      <c r="FWA68" s="2"/>
      <c r="FWB68" s="2"/>
      <c r="FWC68" s="2"/>
      <c r="FWD68" s="2"/>
      <c r="FWE68" s="2"/>
      <c r="FWF68" s="2"/>
      <c r="FWG68" s="2"/>
      <c r="FWH68" s="2"/>
      <c r="FWI68" s="2"/>
      <c r="FWJ68" s="2"/>
      <c r="FWK68" s="2"/>
      <c r="FWL68" s="2"/>
      <c r="FWM68" s="2"/>
      <c r="FWN68" s="2"/>
      <c r="FWO68" s="2"/>
      <c r="FWP68" s="2"/>
      <c r="FWQ68" s="2"/>
      <c r="FWR68" s="2"/>
      <c r="FWS68" s="2"/>
      <c r="FWT68" s="2"/>
      <c r="FWU68" s="2"/>
      <c r="FWV68" s="2"/>
      <c r="FWW68" s="2"/>
      <c r="FWX68" s="2"/>
      <c r="FWY68" s="2"/>
      <c r="FWZ68" s="2"/>
      <c r="FXA68" s="2"/>
      <c r="FXB68" s="2"/>
      <c r="FXC68" s="2"/>
      <c r="FXD68" s="2"/>
      <c r="FXE68" s="2"/>
      <c r="FXF68" s="2"/>
      <c r="FXG68" s="2"/>
      <c r="FXH68" s="2"/>
      <c r="FXI68" s="2"/>
      <c r="FXJ68" s="2"/>
      <c r="FXK68" s="2"/>
      <c r="FXL68" s="2"/>
      <c r="FXM68" s="2"/>
      <c r="FXN68" s="2"/>
      <c r="FXO68" s="2"/>
      <c r="FXP68" s="2"/>
      <c r="FXQ68" s="2"/>
      <c r="FXR68" s="2"/>
      <c r="FXS68" s="2"/>
      <c r="FXT68" s="2"/>
      <c r="FXU68" s="2"/>
      <c r="FXV68" s="2"/>
      <c r="FXW68" s="2"/>
      <c r="FXX68" s="2"/>
      <c r="FXY68" s="2"/>
      <c r="FXZ68" s="2"/>
      <c r="FYA68" s="2"/>
      <c r="FYB68" s="2"/>
      <c r="FYC68" s="2"/>
      <c r="FYD68" s="2"/>
      <c r="FYE68" s="2"/>
      <c r="FYF68" s="2"/>
      <c r="FYG68" s="2"/>
      <c r="FYH68" s="2"/>
      <c r="FYI68" s="2"/>
      <c r="FYJ68" s="2"/>
      <c r="FYK68" s="2"/>
      <c r="FYL68" s="2"/>
      <c r="FYM68" s="2"/>
      <c r="FYN68" s="2"/>
      <c r="FYO68" s="2"/>
      <c r="FYP68" s="2"/>
      <c r="FYQ68" s="2"/>
      <c r="FYR68" s="2"/>
      <c r="FYS68" s="2"/>
      <c r="FYT68" s="2"/>
      <c r="FYU68" s="2"/>
      <c r="FYV68" s="2"/>
      <c r="FYW68" s="2"/>
      <c r="FYX68" s="2"/>
      <c r="FYY68" s="2"/>
      <c r="FYZ68" s="2"/>
      <c r="FZA68" s="2"/>
      <c r="FZB68" s="2"/>
      <c r="FZC68" s="2"/>
      <c r="FZD68" s="2"/>
      <c r="FZE68" s="2"/>
      <c r="FZF68" s="2"/>
      <c r="FZG68" s="2"/>
      <c r="FZH68" s="2"/>
      <c r="FZI68" s="2"/>
      <c r="FZJ68" s="2"/>
      <c r="FZK68" s="2"/>
      <c r="FZL68" s="2"/>
      <c r="FZM68" s="2"/>
      <c r="FZN68" s="2"/>
      <c r="FZO68" s="2"/>
      <c r="FZP68" s="2"/>
      <c r="FZQ68" s="2"/>
      <c r="FZR68" s="2"/>
      <c r="FZS68" s="2"/>
      <c r="FZT68" s="2"/>
      <c r="FZU68" s="2"/>
      <c r="FZV68" s="2"/>
      <c r="FZW68" s="2"/>
      <c r="FZX68" s="2"/>
      <c r="FZY68" s="2"/>
      <c r="FZZ68" s="2"/>
      <c r="GAA68" s="2"/>
      <c r="GAB68" s="2"/>
      <c r="GAC68" s="2"/>
      <c r="GAD68" s="2"/>
      <c r="GAE68" s="2"/>
      <c r="GAF68" s="2"/>
      <c r="GAG68" s="2"/>
      <c r="GAH68" s="2"/>
      <c r="GAI68" s="2"/>
      <c r="GAJ68" s="2"/>
      <c r="GAK68" s="2"/>
      <c r="GAL68" s="2"/>
      <c r="GAM68" s="2"/>
      <c r="GAN68" s="2"/>
      <c r="GAO68" s="2"/>
      <c r="GAP68" s="2"/>
      <c r="GAQ68" s="2"/>
      <c r="GAR68" s="2"/>
      <c r="GAS68" s="2"/>
      <c r="GAT68" s="2"/>
      <c r="GAU68" s="2"/>
      <c r="GAV68" s="2"/>
      <c r="GAW68" s="2"/>
      <c r="GAX68" s="2"/>
      <c r="GAY68" s="2"/>
      <c r="GAZ68" s="2"/>
      <c r="GBA68" s="2"/>
      <c r="GBB68" s="2"/>
      <c r="GBC68" s="2"/>
      <c r="GBD68" s="2"/>
      <c r="GBE68" s="2"/>
      <c r="GBF68" s="2"/>
      <c r="GBG68" s="2"/>
      <c r="GBH68" s="2"/>
      <c r="GBI68" s="2"/>
      <c r="GBJ68" s="2"/>
      <c r="GBK68" s="2"/>
      <c r="GBL68" s="2"/>
      <c r="GBM68" s="2"/>
      <c r="GBN68" s="2"/>
      <c r="GBO68" s="2"/>
      <c r="GBP68" s="2"/>
      <c r="GBQ68" s="2"/>
      <c r="GBR68" s="2"/>
      <c r="GBS68" s="2"/>
      <c r="GBT68" s="2"/>
      <c r="GBU68" s="2"/>
      <c r="GBV68" s="2"/>
      <c r="GBW68" s="2"/>
      <c r="GBX68" s="2"/>
      <c r="GBY68" s="2"/>
      <c r="GBZ68" s="2"/>
      <c r="GCA68" s="2"/>
      <c r="GCB68" s="2"/>
      <c r="GCC68" s="2"/>
      <c r="GCD68" s="2"/>
      <c r="GCE68" s="2"/>
      <c r="GCF68" s="2"/>
      <c r="GCG68" s="2"/>
      <c r="GCH68" s="2"/>
      <c r="GCI68" s="2"/>
      <c r="GCJ68" s="2"/>
      <c r="GCK68" s="2"/>
      <c r="GCL68" s="2"/>
      <c r="GCM68" s="2"/>
      <c r="GCN68" s="2"/>
      <c r="GCO68" s="2"/>
      <c r="GCP68" s="2"/>
      <c r="GCQ68" s="2"/>
      <c r="GCR68" s="2"/>
      <c r="GCS68" s="2"/>
      <c r="GCT68" s="2"/>
      <c r="GCU68" s="2"/>
      <c r="GCV68" s="2"/>
      <c r="GCW68" s="2"/>
      <c r="GCX68" s="2"/>
      <c r="GCY68" s="2"/>
      <c r="GCZ68" s="2"/>
      <c r="GDA68" s="2"/>
      <c r="GDB68" s="2"/>
      <c r="GDC68" s="2"/>
      <c r="GDD68" s="2"/>
      <c r="GDE68" s="2"/>
      <c r="GDF68" s="2"/>
      <c r="GDG68" s="2"/>
      <c r="GDH68" s="2"/>
      <c r="GDI68" s="2"/>
      <c r="GDJ68" s="2"/>
      <c r="GDK68" s="2"/>
      <c r="GDL68" s="2"/>
      <c r="GDM68" s="2"/>
      <c r="GDN68" s="2"/>
      <c r="GDO68" s="2"/>
      <c r="GDP68" s="2"/>
      <c r="GDQ68" s="2"/>
      <c r="GDR68" s="2"/>
      <c r="GDS68" s="2"/>
      <c r="GDT68" s="2"/>
      <c r="GDU68" s="2"/>
      <c r="GDV68" s="2"/>
      <c r="GDW68" s="2"/>
      <c r="GDX68" s="2"/>
      <c r="GDY68" s="2"/>
      <c r="GDZ68" s="2"/>
      <c r="GEA68" s="2"/>
      <c r="GEB68" s="2"/>
      <c r="GEC68" s="2"/>
      <c r="GED68" s="2"/>
      <c r="GEE68" s="2"/>
      <c r="GEF68" s="2"/>
      <c r="GEG68" s="2"/>
      <c r="GEH68" s="2"/>
      <c r="GEI68" s="2"/>
      <c r="GEJ68" s="2"/>
      <c r="GEK68" s="2"/>
      <c r="GEL68" s="2"/>
      <c r="GEM68" s="2"/>
      <c r="GEN68" s="2"/>
      <c r="GEO68" s="2"/>
      <c r="GEP68" s="2"/>
      <c r="GEQ68" s="2"/>
      <c r="GER68" s="2"/>
      <c r="GES68" s="2"/>
      <c r="GET68" s="2"/>
      <c r="GEU68" s="2"/>
      <c r="GEV68" s="2"/>
      <c r="GEW68" s="2"/>
      <c r="GEX68" s="2"/>
      <c r="GEY68" s="2"/>
      <c r="GEZ68" s="2"/>
      <c r="GFA68" s="2"/>
      <c r="GFB68" s="2"/>
      <c r="GFC68" s="2"/>
      <c r="GFD68" s="2"/>
      <c r="GFE68" s="2"/>
      <c r="GFF68" s="2"/>
      <c r="GFG68" s="2"/>
      <c r="GFH68" s="2"/>
      <c r="GFI68" s="2"/>
      <c r="GFJ68" s="2"/>
      <c r="GFK68" s="2"/>
      <c r="GFL68" s="2"/>
      <c r="GFM68" s="2"/>
      <c r="GFN68" s="2"/>
      <c r="GFO68" s="2"/>
      <c r="GFP68" s="2"/>
      <c r="GFQ68" s="2"/>
      <c r="GFR68" s="2"/>
      <c r="GFS68" s="2"/>
      <c r="GFT68" s="2"/>
      <c r="GFU68" s="2"/>
      <c r="GFV68" s="2"/>
      <c r="GFW68" s="2"/>
      <c r="GFX68" s="2"/>
      <c r="GFY68" s="2"/>
      <c r="GFZ68" s="2"/>
      <c r="GGA68" s="2"/>
      <c r="GGB68" s="2"/>
      <c r="GGC68" s="2"/>
      <c r="GGD68" s="2"/>
      <c r="GGE68" s="2"/>
      <c r="GGF68" s="2"/>
      <c r="GGG68" s="2"/>
      <c r="GGH68" s="2"/>
      <c r="GGI68" s="2"/>
      <c r="GGJ68" s="2"/>
      <c r="GGK68" s="2"/>
      <c r="GGL68" s="2"/>
      <c r="GGM68" s="2"/>
      <c r="GGN68" s="2"/>
      <c r="GGO68" s="2"/>
      <c r="GGP68" s="2"/>
      <c r="GGQ68" s="2"/>
      <c r="GGR68" s="2"/>
      <c r="GGS68" s="2"/>
      <c r="GGT68" s="2"/>
      <c r="GGU68" s="2"/>
      <c r="GGV68" s="2"/>
      <c r="GGW68" s="2"/>
      <c r="GGX68" s="2"/>
      <c r="GGY68" s="2"/>
      <c r="GGZ68" s="2"/>
      <c r="GHA68" s="2"/>
      <c r="GHB68" s="2"/>
      <c r="GHC68" s="2"/>
      <c r="GHD68" s="2"/>
      <c r="GHE68" s="2"/>
      <c r="GHF68" s="2"/>
      <c r="GHG68" s="2"/>
      <c r="GHH68" s="2"/>
      <c r="GHI68" s="2"/>
      <c r="GHJ68" s="2"/>
      <c r="GHK68" s="2"/>
      <c r="GHL68" s="2"/>
      <c r="GHM68" s="2"/>
      <c r="GHN68" s="2"/>
      <c r="GHO68" s="2"/>
      <c r="GHP68" s="2"/>
      <c r="GHQ68" s="2"/>
      <c r="GHR68" s="2"/>
      <c r="GHS68" s="2"/>
      <c r="GHT68" s="2"/>
      <c r="GHU68" s="2"/>
      <c r="GHV68" s="2"/>
      <c r="GHW68" s="2"/>
      <c r="GHX68" s="2"/>
      <c r="GHY68" s="2"/>
      <c r="GHZ68" s="2"/>
      <c r="GIA68" s="2"/>
      <c r="GIB68" s="2"/>
      <c r="GIC68" s="2"/>
      <c r="GID68" s="2"/>
      <c r="GIE68" s="2"/>
      <c r="GIF68" s="2"/>
      <c r="GIG68" s="2"/>
      <c r="GIH68" s="2"/>
      <c r="GII68" s="2"/>
      <c r="GIJ68" s="2"/>
      <c r="GIK68" s="2"/>
      <c r="GIL68" s="2"/>
      <c r="GIM68" s="2"/>
      <c r="GIN68" s="2"/>
      <c r="GIO68" s="2"/>
      <c r="GIP68" s="2"/>
      <c r="GIQ68" s="2"/>
      <c r="GIR68" s="2"/>
      <c r="GIS68" s="2"/>
      <c r="GIT68" s="2"/>
      <c r="GIU68" s="2"/>
      <c r="GIV68" s="2"/>
      <c r="GIW68" s="2"/>
      <c r="GIX68" s="2"/>
      <c r="GIY68" s="2"/>
      <c r="GIZ68" s="2"/>
      <c r="GJA68" s="2"/>
      <c r="GJB68" s="2"/>
      <c r="GJC68" s="2"/>
      <c r="GJD68" s="2"/>
      <c r="GJE68" s="2"/>
      <c r="GJF68" s="2"/>
      <c r="GJG68" s="2"/>
      <c r="GJH68" s="2"/>
      <c r="GJI68" s="2"/>
      <c r="GJJ68" s="2"/>
      <c r="GJK68" s="2"/>
      <c r="GJL68" s="2"/>
      <c r="GJM68" s="2"/>
      <c r="GJN68" s="2"/>
      <c r="GJO68" s="2"/>
      <c r="GJP68" s="2"/>
      <c r="GJQ68" s="2"/>
      <c r="GJR68" s="2"/>
      <c r="GJS68" s="2"/>
      <c r="GJT68" s="2"/>
      <c r="GJU68" s="2"/>
      <c r="GJV68" s="2"/>
      <c r="GJW68" s="2"/>
      <c r="GJX68" s="2"/>
      <c r="GJY68" s="2"/>
      <c r="GJZ68" s="2"/>
      <c r="GKA68" s="2"/>
      <c r="GKB68" s="2"/>
      <c r="GKC68" s="2"/>
      <c r="GKD68" s="2"/>
      <c r="GKE68" s="2"/>
      <c r="GKF68" s="2"/>
      <c r="GKG68" s="2"/>
      <c r="GKH68" s="2"/>
      <c r="GKI68" s="2"/>
      <c r="GKJ68" s="2"/>
      <c r="GKK68" s="2"/>
      <c r="GKL68" s="2"/>
      <c r="GKM68" s="2"/>
      <c r="GKN68" s="2"/>
      <c r="GKO68" s="2"/>
      <c r="GKP68" s="2"/>
      <c r="GKQ68" s="2"/>
      <c r="GKR68" s="2"/>
      <c r="GKS68" s="2"/>
      <c r="GKT68" s="2"/>
      <c r="GKU68" s="2"/>
      <c r="GKV68" s="2"/>
      <c r="GKW68" s="2"/>
      <c r="GKX68" s="2"/>
      <c r="GKY68" s="2"/>
      <c r="GKZ68" s="2"/>
      <c r="GLA68" s="2"/>
      <c r="GLB68" s="2"/>
      <c r="GLC68" s="2"/>
      <c r="GLD68" s="2"/>
      <c r="GLE68" s="2"/>
      <c r="GLF68" s="2"/>
      <c r="GLG68" s="2"/>
      <c r="GLH68" s="2"/>
      <c r="GLI68" s="2"/>
      <c r="GLJ68" s="2"/>
      <c r="GLK68" s="2"/>
      <c r="GLL68" s="2"/>
      <c r="GLM68" s="2"/>
      <c r="GLN68" s="2"/>
      <c r="GLO68" s="2"/>
      <c r="GLP68" s="2"/>
      <c r="GLQ68" s="2"/>
      <c r="GLR68" s="2"/>
      <c r="GLS68" s="2"/>
      <c r="GLT68" s="2"/>
      <c r="GLU68" s="2"/>
      <c r="GLV68" s="2"/>
      <c r="GLW68" s="2"/>
      <c r="GLX68" s="2"/>
      <c r="GLY68" s="2"/>
      <c r="GLZ68" s="2"/>
      <c r="GMA68" s="2"/>
      <c r="GMB68" s="2"/>
      <c r="GMC68" s="2"/>
      <c r="GMD68" s="2"/>
      <c r="GME68" s="2"/>
      <c r="GMF68" s="2"/>
      <c r="GMG68" s="2"/>
      <c r="GMH68" s="2"/>
      <c r="GMI68" s="2"/>
      <c r="GMJ68" s="2"/>
      <c r="GMK68" s="2"/>
      <c r="GML68" s="2"/>
      <c r="GMM68" s="2"/>
      <c r="GMN68" s="2"/>
      <c r="GMO68" s="2"/>
      <c r="GMP68" s="2"/>
      <c r="GMQ68" s="2"/>
      <c r="GMR68" s="2"/>
      <c r="GMS68" s="2"/>
      <c r="GMT68" s="2"/>
      <c r="GMU68" s="2"/>
      <c r="GMV68" s="2"/>
      <c r="GMW68" s="2"/>
      <c r="GMX68" s="2"/>
      <c r="GMY68" s="2"/>
      <c r="GMZ68" s="2"/>
      <c r="GNA68" s="2"/>
      <c r="GNB68" s="2"/>
      <c r="GNC68" s="2"/>
      <c r="GND68" s="2"/>
      <c r="GNE68" s="2"/>
      <c r="GNF68" s="2"/>
      <c r="GNG68" s="2"/>
      <c r="GNH68" s="2"/>
      <c r="GNI68" s="2"/>
      <c r="GNJ68" s="2"/>
      <c r="GNK68" s="2"/>
      <c r="GNL68" s="2"/>
      <c r="GNM68" s="2"/>
      <c r="GNN68" s="2"/>
      <c r="GNO68" s="2"/>
      <c r="GNP68" s="2"/>
      <c r="GNQ68" s="2"/>
      <c r="GNR68" s="2"/>
      <c r="GNS68" s="2"/>
      <c r="GNT68" s="2"/>
      <c r="GNU68" s="2"/>
      <c r="GNV68" s="2"/>
      <c r="GNW68" s="2"/>
      <c r="GNX68" s="2"/>
      <c r="GNY68" s="2"/>
      <c r="GNZ68" s="2"/>
      <c r="GOA68" s="2"/>
      <c r="GOB68" s="2"/>
      <c r="GOC68" s="2"/>
      <c r="GOD68" s="2"/>
      <c r="GOE68" s="2"/>
      <c r="GOF68" s="2"/>
      <c r="GOG68" s="2"/>
      <c r="GOH68" s="2"/>
      <c r="GOI68" s="2"/>
      <c r="GOJ68" s="2"/>
      <c r="GOK68" s="2"/>
      <c r="GOL68" s="2"/>
      <c r="GOM68" s="2"/>
      <c r="GON68" s="2"/>
      <c r="GOO68" s="2"/>
      <c r="GOP68" s="2"/>
      <c r="GOQ68" s="2"/>
      <c r="GOR68" s="2"/>
      <c r="GOS68" s="2"/>
      <c r="GOT68" s="2"/>
      <c r="GOU68" s="2"/>
      <c r="GOV68" s="2"/>
      <c r="GOW68" s="2"/>
      <c r="GOX68" s="2"/>
      <c r="GOY68" s="2"/>
      <c r="GOZ68" s="2"/>
      <c r="GPA68" s="2"/>
      <c r="GPB68" s="2"/>
      <c r="GPC68" s="2"/>
      <c r="GPD68" s="2"/>
      <c r="GPE68" s="2"/>
      <c r="GPF68" s="2"/>
      <c r="GPG68" s="2"/>
      <c r="GPH68" s="2"/>
      <c r="GPI68" s="2"/>
      <c r="GPJ68" s="2"/>
      <c r="GPK68" s="2"/>
      <c r="GPL68" s="2"/>
      <c r="GPM68" s="2"/>
      <c r="GPN68" s="2"/>
      <c r="GPO68" s="2"/>
      <c r="GPP68" s="2"/>
      <c r="GPQ68" s="2"/>
      <c r="GPR68" s="2"/>
      <c r="GPS68" s="2"/>
      <c r="GPT68" s="2"/>
      <c r="GPU68" s="2"/>
      <c r="GPV68" s="2"/>
      <c r="GPW68" s="2"/>
      <c r="GPX68" s="2"/>
      <c r="GPY68" s="2"/>
      <c r="GPZ68" s="2"/>
      <c r="GQA68" s="2"/>
      <c r="GQB68" s="2"/>
      <c r="GQC68" s="2"/>
      <c r="GQD68" s="2"/>
      <c r="GQE68" s="2"/>
      <c r="GQF68" s="2"/>
      <c r="GQG68" s="2"/>
      <c r="GQH68" s="2"/>
      <c r="GQI68" s="2"/>
      <c r="GQJ68" s="2"/>
      <c r="GQK68" s="2"/>
      <c r="GQL68" s="2"/>
      <c r="GQM68" s="2"/>
      <c r="GQN68" s="2"/>
      <c r="GQO68" s="2"/>
      <c r="GQP68" s="2"/>
      <c r="GQQ68" s="2"/>
      <c r="GQR68" s="2"/>
      <c r="GQS68" s="2"/>
      <c r="GQT68" s="2"/>
      <c r="GQU68" s="2"/>
      <c r="GQV68" s="2"/>
      <c r="GQW68" s="2"/>
      <c r="GQX68" s="2"/>
      <c r="GQY68" s="2"/>
      <c r="GQZ68" s="2"/>
      <c r="GRA68" s="2"/>
      <c r="GRB68" s="2"/>
      <c r="GRC68" s="2"/>
      <c r="GRD68" s="2"/>
      <c r="GRE68" s="2"/>
      <c r="GRF68" s="2"/>
      <c r="GRG68" s="2"/>
      <c r="GRH68" s="2"/>
      <c r="GRI68" s="2"/>
      <c r="GRJ68" s="2"/>
      <c r="GRK68" s="2"/>
      <c r="GRL68" s="2"/>
      <c r="GRM68" s="2"/>
      <c r="GRN68" s="2"/>
      <c r="GRO68" s="2"/>
      <c r="GRP68" s="2"/>
      <c r="GRQ68" s="2"/>
      <c r="GRR68" s="2"/>
      <c r="GRS68" s="2"/>
      <c r="GRT68" s="2"/>
      <c r="GRU68" s="2"/>
      <c r="GRV68" s="2"/>
      <c r="GRW68" s="2"/>
      <c r="GRX68" s="2"/>
      <c r="GRY68" s="2"/>
      <c r="GRZ68" s="2"/>
      <c r="GSA68" s="2"/>
      <c r="GSB68" s="2"/>
      <c r="GSC68" s="2"/>
      <c r="GSD68" s="2"/>
      <c r="GSE68" s="2"/>
      <c r="GSF68" s="2"/>
      <c r="GSG68" s="2"/>
      <c r="GSH68" s="2"/>
      <c r="GSI68" s="2"/>
      <c r="GSJ68" s="2"/>
      <c r="GSK68" s="2"/>
      <c r="GSL68" s="2"/>
      <c r="GSM68" s="2"/>
      <c r="GSN68" s="2"/>
      <c r="GSO68" s="2"/>
      <c r="GSP68" s="2"/>
      <c r="GSQ68" s="2"/>
      <c r="GSR68" s="2"/>
      <c r="GSS68" s="2"/>
      <c r="GST68" s="2"/>
      <c r="GSU68" s="2"/>
      <c r="GSV68" s="2"/>
      <c r="GSW68" s="2"/>
      <c r="GSX68" s="2"/>
      <c r="GSY68" s="2"/>
      <c r="GSZ68" s="2"/>
      <c r="GTA68" s="2"/>
      <c r="GTB68" s="2"/>
      <c r="GTC68" s="2"/>
      <c r="GTD68" s="2"/>
      <c r="GTE68" s="2"/>
      <c r="GTF68" s="2"/>
      <c r="GTG68" s="2"/>
      <c r="GTH68" s="2"/>
      <c r="GTI68" s="2"/>
      <c r="GTJ68" s="2"/>
      <c r="GTK68" s="2"/>
      <c r="GTL68" s="2"/>
      <c r="GTM68" s="2"/>
      <c r="GTN68" s="2"/>
      <c r="GTO68" s="2"/>
      <c r="GTP68" s="2"/>
      <c r="GTQ68" s="2"/>
      <c r="GTR68" s="2"/>
      <c r="GTS68" s="2"/>
      <c r="GTT68" s="2"/>
      <c r="GTU68" s="2"/>
      <c r="GTV68" s="2"/>
      <c r="GTW68" s="2"/>
      <c r="GTX68" s="2"/>
      <c r="GTY68" s="2"/>
      <c r="GTZ68" s="2"/>
      <c r="GUA68" s="2"/>
      <c r="GUB68" s="2"/>
      <c r="GUC68" s="2"/>
      <c r="GUD68" s="2"/>
      <c r="GUE68" s="2"/>
      <c r="GUF68" s="2"/>
      <c r="GUG68" s="2"/>
      <c r="GUH68" s="2"/>
      <c r="GUI68" s="2"/>
      <c r="GUJ68" s="2"/>
      <c r="GUK68" s="2"/>
      <c r="GUL68" s="2"/>
      <c r="GUM68" s="2"/>
      <c r="GUN68" s="2"/>
      <c r="GUO68" s="2"/>
      <c r="GUP68" s="2"/>
      <c r="GUQ68" s="2"/>
      <c r="GUR68" s="2"/>
      <c r="GUS68" s="2"/>
      <c r="GUT68" s="2"/>
      <c r="GUU68" s="2"/>
      <c r="GUV68" s="2"/>
      <c r="GUW68" s="2"/>
      <c r="GUX68" s="2"/>
      <c r="GUY68" s="2"/>
      <c r="GUZ68" s="2"/>
      <c r="GVA68" s="2"/>
      <c r="GVB68" s="2"/>
      <c r="GVC68" s="2"/>
      <c r="GVD68" s="2"/>
      <c r="GVE68" s="2"/>
      <c r="GVF68" s="2"/>
      <c r="GVG68" s="2"/>
      <c r="GVH68" s="2"/>
      <c r="GVI68" s="2"/>
      <c r="GVJ68" s="2"/>
      <c r="GVK68" s="2"/>
      <c r="GVL68" s="2"/>
      <c r="GVM68" s="2"/>
      <c r="GVN68" s="2"/>
      <c r="GVO68" s="2"/>
      <c r="GVP68" s="2"/>
      <c r="GVQ68" s="2"/>
      <c r="GVR68" s="2"/>
      <c r="GVS68" s="2"/>
      <c r="GVT68" s="2"/>
      <c r="GVU68" s="2"/>
      <c r="GVV68" s="2"/>
      <c r="GVW68" s="2"/>
      <c r="GVX68" s="2"/>
      <c r="GVY68" s="2"/>
      <c r="GVZ68" s="2"/>
      <c r="GWA68" s="2"/>
      <c r="GWB68" s="2"/>
      <c r="GWC68" s="2"/>
      <c r="GWD68" s="2"/>
      <c r="GWE68" s="2"/>
      <c r="GWF68" s="2"/>
      <c r="GWG68" s="2"/>
      <c r="GWH68" s="2"/>
      <c r="GWI68" s="2"/>
      <c r="GWJ68" s="2"/>
      <c r="GWK68" s="2"/>
      <c r="GWL68" s="2"/>
      <c r="GWM68" s="2"/>
      <c r="GWN68" s="2"/>
      <c r="GWO68" s="2"/>
      <c r="GWP68" s="2"/>
      <c r="GWQ68" s="2"/>
      <c r="GWR68" s="2"/>
      <c r="GWS68" s="2"/>
      <c r="GWT68" s="2"/>
      <c r="GWU68" s="2"/>
      <c r="GWV68" s="2"/>
      <c r="GWW68" s="2"/>
      <c r="GWX68" s="2"/>
      <c r="GWY68" s="2"/>
      <c r="GWZ68" s="2"/>
      <c r="GXA68" s="2"/>
      <c r="GXB68" s="2"/>
      <c r="GXC68" s="2"/>
      <c r="GXD68" s="2"/>
      <c r="GXE68" s="2"/>
      <c r="GXF68" s="2"/>
      <c r="GXG68" s="2"/>
      <c r="GXH68" s="2"/>
      <c r="GXI68" s="2"/>
      <c r="GXJ68" s="2"/>
      <c r="GXK68" s="2"/>
      <c r="GXL68" s="2"/>
      <c r="GXM68" s="2"/>
      <c r="GXN68" s="2"/>
      <c r="GXO68" s="2"/>
      <c r="GXP68" s="2"/>
      <c r="GXQ68" s="2"/>
      <c r="GXR68" s="2"/>
      <c r="GXS68" s="2"/>
      <c r="GXT68" s="2"/>
      <c r="GXU68" s="2"/>
      <c r="GXV68" s="2"/>
      <c r="GXW68" s="2"/>
      <c r="GXX68" s="2"/>
      <c r="GXY68" s="2"/>
      <c r="GXZ68" s="2"/>
      <c r="GYA68" s="2"/>
      <c r="GYB68" s="2"/>
      <c r="GYC68" s="2"/>
      <c r="GYD68" s="2"/>
      <c r="GYE68" s="2"/>
      <c r="GYF68" s="2"/>
      <c r="GYG68" s="2"/>
      <c r="GYH68" s="2"/>
      <c r="GYI68" s="2"/>
      <c r="GYJ68" s="2"/>
      <c r="GYK68" s="2"/>
      <c r="GYL68" s="2"/>
      <c r="GYM68" s="2"/>
      <c r="GYN68" s="2"/>
      <c r="GYO68" s="2"/>
      <c r="GYP68" s="2"/>
      <c r="GYQ68" s="2"/>
      <c r="GYR68" s="2"/>
      <c r="GYS68" s="2"/>
      <c r="GYT68" s="2"/>
      <c r="GYU68" s="2"/>
      <c r="GYV68" s="2"/>
      <c r="GYW68" s="2"/>
      <c r="GYX68" s="2"/>
      <c r="GYY68" s="2"/>
      <c r="GYZ68" s="2"/>
      <c r="GZA68" s="2"/>
      <c r="GZB68" s="2"/>
      <c r="GZC68" s="2"/>
      <c r="GZD68" s="2"/>
      <c r="GZE68" s="2"/>
      <c r="GZF68" s="2"/>
      <c r="GZG68" s="2"/>
      <c r="GZH68" s="2"/>
      <c r="GZI68" s="2"/>
      <c r="GZJ68" s="2"/>
      <c r="GZK68" s="2"/>
      <c r="GZL68" s="2"/>
      <c r="GZM68" s="2"/>
      <c r="GZN68" s="2"/>
      <c r="GZO68" s="2"/>
      <c r="GZP68" s="2"/>
      <c r="GZQ68" s="2"/>
      <c r="GZR68" s="2"/>
      <c r="GZS68" s="2"/>
      <c r="GZT68" s="2"/>
      <c r="GZU68" s="2"/>
      <c r="GZV68" s="2"/>
      <c r="GZW68" s="2"/>
      <c r="GZX68" s="2"/>
      <c r="GZY68" s="2"/>
      <c r="GZZ68" s="2"/>
      <c r="HAA68" s="2"/>
      <c r="HAB68" s="2"/>
      <c r="HAC68" s="2"/>
      <c r="HAD68" s="2"/>
      <c r="HAE68" s="2"/>
      <c r="HAF68" s="2"/>
      <c r="HAG68" s="2"/>
      <c r="HAH68" s="2"/>
      <c r="HAI68" s="2"/>
      <c r="HAJ68" s="2"/>
      <c r="HAK68" s="2"/>
      <c r="HAL68" s="2"/>
      <c r="HAM68" s="2"/>
      <c r="HAN68" s="2"/>
      <c r="HAO68" s="2"/>
      <c r="HAP68" s="2"/>
      <c r="HAQ68" s="2"/>
      <c r="HAR68" s="2"/>
      <c r="HAS68" s="2"/>
      <c r="HAT68" s="2"/>
      <c r="HAU68" s="2"/>
      <c r="HAV68" s="2"/>
      <c r="HAW68" s="2"/>
      <c r="HAX68" s="2"/>
      <c r="HAY68" s="2"/>
      <c r="HAZ68" s="2"/>
      <c r="HBA68" s="2"/>
      <c r="HBB68" s="2"/>
      <c r="HBC68" s="2"/>
      <c r="HBD68" s="2"/>
      <c r="HBE68" s="2"/>
      <c r="HBF68" s="2"/>
      <c r="HBG68" s="2"/>
      <c r="HBH68" s="2"/>
      <c r="HBI68" s="2"/>
      <c r="HBJ68" s="2"/>
      <c r="HBK68" s="2"/>
      <c r="HBL68" s="2"/>
      <c r="HBM68" s="2"/>
      <c r="HBN68" s="2"/>
      <c r="HBO68" s="2"/>
      <c r="HBP68" s="2"/>
      <c r="HBQ68" s="2"/>
      <c r="HBR68" s="2"/>
      <c r="HBS68" s="2"/>
      <c r="HBT68" s="2"/>
      <c r="HBU68" s="2"/>
      <c r="HBV68" s="2"/>
      <c r="HBW68" s="2"/>
      <c r="HBX68" s="2"/>
      <c r="HBY68" s="2"/>
      <c r="HBZ68" s="2"/>
      <c r="HCA68" s="2"/>
      <c r="HCB68" s="2"/>
      <c r="HCC68" s="2"/>
      <c r="HCD68" s="2"/>
      <c r="HCE68" s="2"/>
      <c r="HCF68" s="2"/>
      <c r="HCG68" s="2"/>
      <c r="HCH68" s="2"/>
      <c r="HCI68" s="2"/>
      <c r="HCJ68" s="2"/>
      <c r="HCK68" s="2"/>
      <c r="HCL68" s="2"/>
      <c r="HCM68" s="2"/>
      <c r="HCN68" s="2"/>
      <c r="HCO68" s="2"/>
      <c r="HCP68" s="2"/>
      <c r="HCQ68" s="2"/>
      <c r="HCR68" s="2"/>
      <c r="HCS68" s="2"/>
      <c r="HCT68" s="2"/>
      <c r="HCU68" s="2"/>
      <c r="HCV68" s="2"/>
      <c r="HCW68" s="2"/>
      <c r="HCX68" s="2"/>
      <c r="HCY68" s="2"/>
      <c r="HCZ68" s="2"/>
      <c r="HDA68" s="2"/>
      <c r="HDB68" s="2"/>
      <c r="HDC68" s="2"/>
      <c r="HDD68" s="2"/>
      <c r="HDE68" s="2"/>
      <c r="HDF68" s="2"/>
      <c r="HDG68" s="2"/>
      <c r="HDH68" s="2"/>
      <c r="HDI68" s="2"/>
      <c r="HDJ68" s="2"/>
      <c r="HDK68" s="2"/>
      <c r="HDL68" s="2"/>
      <c r="HDM68" s="2"/>
      <c r="HDN68" s="2"/>
      <c r="HDO68" s="2"/>
      <c r="HDP68" s="2"/>
      <c r="HDQ68" s="2"/>
      <c r="HDR68" s="2"/>
      <c r="HDS68" s="2"/>
      <c r="HDT68" s="2"/>
      <c r="HDU68" s="2"/>
      <c r="HDV68" s="2"/>
      <c r="HDW68" s="2"/>
      <c r="HDX68" s="2"/>
      <c r="HDY68" s="2"/>
      <c r="HDZ68" s="2"/>
      <c r="HEA68" s="2"/>
      <c r="HEB68" s="2"/>
      <c r="HEC68" s="2"/>
      <c r="HED68" s="2"/>
      <c r="HEE68" s="2"/>
      <c r="HEF68" s="2"/>
      <c r="HEG68" s="2"/>
      <c r="HEH68" s="2"/>
      <c r="HEI68" s="2"/>
      <c r="HEJ68" s="2"/>
      <c r="HEK68" s="2"/>
      <c r="HEL68" s="2"/>
      <c r="HEM68" s="2"/>
      <c r="HEN68" s="2"/>
      <c r="HEO68" s="2"/>
      <c r="HEP68" s="2"/>
      <c r="HEQ68" s="2"/>
      <c r="HER68" s="2"/>
      <c r="HES68" s="2"/>
      <c r="HET68" s="2"/>
      <c r="HEU68" s="2"/>
      <c r="HEV68" s="2"/>
      <c r="HEW68" s="2"/>
      <c r="HEX68" s="2"/>
      <c r="HEY68" s="2"/>
      <c r="HEZ68" s="2"/>
      <c r="HFA68" s="2"/>
      <c r="HFB68" s="2"/>
      <c r="HFC68" s="2"/>
      <c r="HFD68" s="2"/>
      <c r="HFE68" s="2"/>
      <c r="HFF68" s="2"/>
      <c r="HFG68" s="2"/>
      <c r="HFH68" s="2"/>
      <c r="HFI68" s="2"/>
      <c r="HFJ68" s="2"/>
      <c r="HFK68" s="2"/>
      <c r="HFL68" s="2"/>
      <c r="HFM68" s="2"/>
      <c r="HFN68" s="2"/>
      <c r="HFO68" s="2"/>
      <c r="HFP68" s="2"/>
      <c r="HFQ68" s="2"/>
      <c r="HFR68" s="2"/>
      <c r="HFS68" s="2"/>
      <c r="HFT68" s="2"/>
      <c r="HFU68" s="2"/>
      <c r="HFV68" s="2"/>
      <c r="HFW68" s="2"/>
      <c r="HFX68" s="2"/>
      <c r="HFY68" s="2"/>
      <c r="HFZ68" s="2"/>
      <c r="HGA68" s="2"/>
      <c r="HGB68" s="2"/>
      <c r="HGC68" s="2"/>
      <c r="HGD68" s="2"/>
      <c r="HGE68" s="2"/>
      <c r="HGF68" s="2"/>
      <c r="HGG68" s="2"/>
      <c r="HGH68" s="2"/>
      <c r="HGI68" s="2"/>
      <c r="HGJ68" s="2"/>
      <c r="HGK68" s="2"/>
      <c r="HGL68" s="2"/>
      <c r="HGM68" s="2"/>
      <c r="HGN68" s="2"/>
      <c r="HGO68" s="2"/>
      <c r="HGP68" s="2"/>
      <c r="HGQ68" s="2"/>
      <c r="HGR68" s="2"/>
      <c r="HGS68" s="2"/>
      <c r="HGT68" s="2"/>
      <c r="HGU68" s="2"/>
      <c r="HGV68" s="2"/>
      <c r="HGW68" s="2"/>
      <c r="HGX68" s="2"/>
      <c r="HGY68" s="2"/>
      <c r="HGZ68" s="2"/>
      <c r="HHA68" s="2"/>
      <c r="HHB68" s="2"/>
      <c r="HHC68" s="2"/>
      <c r="HHD68" s="2"/>
      <c r="HHE68" s="2"/>
      <c r="HHF68" s="2"/>
      <c r="HHG68" s="2"/>
      <c r="HHH68" s="2"/>
      <c r="HHI68" s="2"/>
      <c r="HHJ68" s="2"/>
      <c r="HHK68" s="2"/>
      <c r="HHL68" s="2"/>
      <c r="HHM68" s="2"/>
      <c r="HHN68" s="2"/>
      <c r="HHO68" s="2"/>
      <c r="HHP68" s="2"/>
      <c r="HHQ68" s="2"/>
      <c r="HHR68" s="2"/>
      <c r="HHS68" s="2"/>
      <c r="HHT68" s="2"/>
      <c r="HHU68" s="2"/>
      <c r="HHV68" s="2"/>
      <c r="HHW68" s="2"/>
      <c r="HHX68" s="2"/>
      <c r="HHY68" s="2"/>
      <c r="HHZ68" s="2"/>
      <c r="HIA68" s="2"/>
      <c r="HIB68" s="2"/>
      <c r="HIC68" s="2"/>
      <c r="HID68" s="2"/>
      <c r="HIE68" s="2"/>
      <c r="HIF68" s="2"/>
      <c r="HIG68" s="2"/>
      <c r="HIH68" s="2"/>
      <c r="HII68" s="2"/>
      <c r="HIJ68" s="2"/>
      <c r="HIK68" s="2"/>
      <c r="HIL68" s="2"/>
      <c r="HIM68" s="2"/>
      <c r="HIN68" s="2"/>
      <c r="HIO68" s="2"/>
      <c r="HIP68" s="2"/>
      <c r="HIQ68" s="2"/>
      <c r="HIR68" s="2"/>
      <c r="HIS68" s="2"/>
      <c r="HIT68" s="2"/>
      <c r="HIU68" s="2"/>
      <c r="HIV68" s="2"/>
      <c r="HIW68" s="2"/>
      <c r="HIX68" s="2"/>
      <c r="HIY68" s="2"/>
      <c r="HIZ68" s="2"/>
      <c r="HJA68" s="2"/>
      <c r="HJB68" s="2"/>
      <c r="HJC68" s="2"/>
      <c r="HJD68" s="2"/>
      <c r="HJE68" s="2"/>
      <c r="HJF68" s="2"/>
      <c r="HJG68" s="2"/>
      <c r="HJH68" s="2"/>
      <c r="HJI68" s="2"/>
      <c r="HJJ68" s="2"/>
      <c r="HJK68" s="2"/>
      <c r="HJL68" s="2"/>
      <c r="HJM68" s="2"/>
      <c r="HJN68" s="2"/>
      <c r="HJO68" s="2"/>
      <c r="HJP68" s="2"/>
      <c r="HJQ68" s="2"/>
      <c r="HJR68" s="2"/>
      <c r="HJS68" s="2"/>
      <c r="HJT68" s="2"/>
      <c r="HJU68" s="2"/>
      <c r="HJV68" s="2"/>
      <c r="HJW68" s="2"/>
      <c r="HJX68" s="2"/>
      <c r="HJY68" s="2"/>
      <c r="HJZ68" s="2"/>
      <c r="HKA68" s="2"/>
      <c r="HKB68" s="2"/>
      <c r="HKC68" s="2"/>
      <c r="HKD68" s="2"/>
      <c r="HKE68" s="2"/>
      <c r="HKF68" s="2"/>
      <c r="HKG68" s="2"/>
      <c r="HKH68" s="2"/>
      <c r="HKI68" s="2"/>
      <c r="HKJ68" s="2"/>
      <c r="HKK68" s="2"/>
      <c r="HKL68" s="2"/>
      <c r="HKM68" s="2"/>
      <c r="HKN68" s="2"/>
      <c r="HKO68" s="2"/>
      <c r="HKP68" s="2"/>
      <c r="HKQ68" s="2"/>
      <c r="HKR68" s="2"/>
      <c r="HKS68" s="2"/>
      <c r="HKT68" s="2"/>
      <c r="HKU68" s="2"/>
      <c r="HKV68" s="2"/>
      <c r="HKW68" s="2"/>
      <c r="HKX68" s="2"/>
      <c r="HKY68" s="2"/>
      <c r="HKZ68" s="2"/>
      <c r="HLA68" s="2"/>
      <c r="HLB68" s="2"/>
      <c r="HLC68" s="2"/>
      <c r="HLD68" s="2"/>
      <c r="HLE68" s="2"/>
      <c r="HLF68" s="2"/>
      <c r="HLG68" s="2"/>
      <c r="HLH68" s="2"/>
      <c r="HLI68" s="2"/>
      <c r="HLJ68" s="2"/>
      <c r="HLK68" s="2"/>
      <c r="HLL68" s="2"/>
      <c r="HLM68" s="2"/>
      <c r="HLN68" s="2"/>
      <c r="HLO68" s="2"/>
      <c r="HLP68" s="2"/>
      <c r="HLQ68" s="2"/>
      <c r="HLR68" s="2"/>
      <c r="HLS68" s="2"/>
      <c r="HLT68" s="2"/>
      <c r="HLU68" s="2"/>
      <c r="HLV68" s="2"/>
      <c r="HLW68" s="2"/>
      <c r="HLX68" s="2"/>
      <c r="HLY68" s="2"/>
      <c r="HLZ68" s="2"/>
      <c r="HMA68" s="2"/>
      <c r="HMB68" s="2"/>
      <c r="HMC68" s="2"/>
      <c r="HMD68" s="2"/>
      <c r="HME68" s="2"/>
      <c r="HMF68" s="2"/>
      <c r="HMG68" s="2"/>
      <c r="HMH68" s="2"/>
      <c r="HMI68" s="2"/>
      <c r="HMJ68" s="2"/>
      <c r="HMK68" s="2"/>
      <c r="HML68" s="2"/>
      <c r="HMM68" s="2"/>
      <c r="HMN68" s="2"/>
      <c r="HMO68" s="2"/>
      <c r="HMP68" s="2"/>
      <c r="HMQ68" s="2"/>
      <c r="HMR68" s="2"/>
      <c r="HMS68" s="2"/>
      <c r="HMT68" s="2"/>
      <c r="HMU68" s="2"/>
      <c r="HMV68" s="2"/>
      <c r="HMW68" s="2"/>
      <c r="HMX68" s="2"/>
      <c r="HMY68" s="2"/>
      <c r="HMZ68" s="2"/>
      <c r="HNA68" s="2"/>
      <c r="HNB68" s="2"/>
      <c r="HNC68" s="2"/>
      <c r="HND68" s="2"/>
      <c r="HNE68" s="2"/>
      <c r="HNF68" s="2"/>
      <c r="HNG68" s="2"/>
      <c r="HNH68" s="2"/>
      <c r="HNI68" s="2"/>
      <c r="HNJ68" s="2"/>
      <c r="HNK68" s="2"/>
      <c r="HNL68" s="2"/>
      <c r="HNM68" s="2"/>
      <c r="HNN68" s="2"/>
      <c r="HNO68" s="2"/>
      <c r="HNP68" s="2"/>
      <c r="HNQ68" s="2"/>
      <c r="HNR68" s="2"/>
      <c r="HNS68" s="2"/>
      <c r="HNT68" s="2"/>
      <c r="HNU68" s="2"/>
      <c r="HNV68" s="2"/>
      <c r="HNW68" s="2"/>
      <c r="HNX68" s="2"/>
      <c r="HNY68" s="2"/>
      <c r="HNZ68" s="2"/>
      <c r="HOA68" s="2"/>
      <c r="HOB68" s="2"/>
      <c r="HOC68" s="2"/>
      <c r="HOD68" s="2"/>
      <c r="HOE68" s="2"/>
      <c r="HOF68" s="2"/>
      <c r="HOG68" s="2"/>
      <c r="HOH68" s="2"/>
      <c r="HOI68" s="2"/>
      <c r="HOJ68" s="2"/>
      <c r="HOK68" s="2"/>
      <c r="HOL68" s="2"/>
      <c r="HOM68" s="2"/>
      <c r="HON68" s="2"/>
      <c r="HOO68" s="2"/>
      <c r="HOP68" s="2"/>
      <c r="HOQ68" s="2"/>
      <c r="HOR68" s="2"/>
      <c r="HOS68" s="2"/>
      <c r="HOT68" s="2"/>
      <c r="HOU68" s="2"/>
      <c r="HOV68" s="2"/>
      <c r="HOW68" s="2"/>
      <c r="HOX68" s="2"/>
      <c r="HOY68" s="2"/>
      <c r="HOZ68" s="2"/>
      <c r="HPA68" s="2"/>
      <c r="HPB68" s="2"/>
      <c r="HPC68" s="2"/>
      <c r="HPD68" s="2"/>
      <c r="HPE68" s="2"/>
      <c r="HPF68" s="2"/>
      <c r="HPG68" s="2"/>
      <c r="HPH68" s="2"/>
      <c r="HPI68" s="2"/>
      <c r="HPJ68" s="2"/>
      <c r="HPK68" s="2"/>
      <c r="HPL68" s="2"/>
      <c r="HPM68" s="2"/>
      <c r="HPN68" s="2"/>
      <c r="HPO68" s="2"/>
      <c r="HPP68" s="2"/>
      <c r="HPQ68" s="2"/>
      <c r="HPR68" s="2"/>
      <c r="HPS68" s="2"/>
      <c r="HPT68" s="2"/>
      <c r="HPU68" s="2"/>
      <c r="HPV68" s="2"/>
      <c r="HPW68" s="2"/>
      <c r="HPX68" s="2"/>
      <c r="HPY68" s="2"/>
      <c r="HPZ68" s="2"/>
      <c r="HQA68" s="2"/>
      <c r="HQB68" s="2"/>
      <c r="HQC68" s="2"/>
      <c r="HQD68" s="2"/>
      <c r="HQE68" s="2"/>
      <c r="HQF68" s="2"/>
      <c r="HQG68" s="2"/>
      <c r="HQH68" s="2"/>
      <c r="HQI68" s="2"/>
      <c r="HQJ68" s="2"/>
      <c r="HQK68" s="2"/>
      <c r="HQL68" s="2"/>
      <c r="HQM68" s="2"/>
      <c r="HQN68" s="2"/>
      <c r="HQO68" s="2"/>
      <c r="HQP68" s="2"/>
      <c r="HQQ68" s="2"/>
      <c r="HQR68" s="2"/>
      <c r="HQS68" s="2"/>
      <c r="HQT68" s="2"/>
      <c r="HQU68" s="2"/>
      <c r="HQV68" s="2"/>
      <c r="HQW68" s="2"/>
      <c r="HQX68" s="2"/>
      <c r="HQY68" s="2"/>
      <c r="HQZ68" s="2"/>
      <c r="HRA68" s="2"/>
      <c r="HRB68" s="2"/>
      <c r="HRC68" s="2"/>
      <c r="HRD68" s="2"/>
      <c r="HRE68" s="2"/>
      <c r="HRF68" s="2"/>
      <c r="HRG68" s="2"/>
      <c r="HRH68" s="2"/>
      <c r="HRI68" s="2"/>
      <c r="HRJ68" s="2"/>
      <c r="HRK68" s="2"/>
      <c r="HRL68" s="2"/>
      <c r="HRM68" s="2"/>
      <c r="HRN68" s="2"/>
      <c r="HRO68" s="2"/>
      <c r="HRP68" s="2"/>
      <c r="HRQ68" s="2"/>
      <c r="HRR68" s="2"/>
      <c r="HRS68" s="2"/>
      <c r="HRT68" s="2"/>
      <c r="HRU68" s="2"/>
      <c r="HRV68" s="2"/>
      <c r="HRW68" s="2"/>
      <c r="HRX68" s="2"/>
      <c r="HRY68" s="2"/>
      <c r="HRZ68" s="2"/>
      <c r="HSA68" s="2"/>
      <c r="HSB68" s="2"/>
      <c r="HSC68" s="2"/>
      <c r="HSD68" s="2"/>
      <c r="HSE68" s="2"/>
      <c r="HSF68" s="2"/>
      <c r="HSG68" s="2"/>
      <c r="HSH68" s="2"/>
      <c r="HSI68" s="2"/>
      <c r="HSJ68" s="2"/>
      <c r="HSK68" s="2"/>
      <c r="HSL68" s="2"/>
      <c r="HSM68" s="2"/>
      <c r="HSN68" s="2"/>
      <c r="HSO68" s="2"/>
      <c r="HSP68" s="2"/>
      <c r="HSQ68" s="2"/>
      <c r="HSR68" s="2"/>
      <c r="HSS68" s="2"/>
      <c r="HST68" s="2"/>
      <c r="HSU68" s="2"/>
      <c r="HSV68" s="2"/>
      <c r="HSW68" s="2"/>
      <c r="HSX68" s="2"/>
      <c r="HSY68" s="2"/>
      <c r="HSZ68" s="2"/>
      <c r="HTA68" s="2"/>
      <c r="HTB68" s="2"/>
      <c r="HTC68" s="2"/>
      <c r="HTD68" s="2"/>
      <c r="HTE68" s="2"/>
      <c r="HTF68" s="2"/>
      <c r="HTG68" s="2"/>
      <c r="HTH68" s="2"/>
      <c r="HTI68" s="2"/>
      <c r="HTJ68" s="2"/>
      <c r="HTK68" s="2"/>
      <c r="HTL68" s="2"/>
      <c r="HTM68" s="2"/>
      <c r="HTN68" s="2"/>
      <c r="HTO68" s="2"/>
      <c r="HTP68" s="2"/>
      <c r="HTQ68" s="2"/>
      <c r="HTR68" s="2"/>
      <c r="HTS68" s="2"/>
      <c r="HTT68" s="2"/>
      <c r="HTU68" s="2"/>
      <c r="HTV68" s="2"/>
      <c r="HTW68" s="2"/>
      <c r="HTX68" s="2"/>
      <c r="HTY68" s="2"/>
      <c r="HTZ68" s="2"/>
      <c r="HUA68" s="2"/>
      <c r="HUB68" s="2"/>
      <c r="HUC68" s="2"/>
      <c r="HUD68" s="2"/>
      <c r="HUE68" s="2"/>
      <c r="HUF68" s="2"/>
      <c r="HUG68" s="2"/>
      <c r="HUH68" s="2"/>
      <c r="HUI68" s="2"/>
      <c r="HUJ68" s="2"/>
      <c r="HUK68" s="2"/>
      <c r="HUL68" s="2"/>
      <c r="HUM68" s="2"/>
      <c r="HUN68" s="2"/>
      <c r="HUO68" s="2"/>
      <c r="HUP68" s="2"/>
      <c r="HUQ68" s="2"/>
      <c r="HUR68" s="2"/>
      <c r="HUS68" s="2"/>
      <c r="HUT68" s="2"/>
      <c r="HUU68" s="2"/>
      <c r="HUV68" s="2"/>
      <c r="HUW68" s="2"/>
      <c r="HUX68" s="2"/>
      <c r="HUY68" s="2"/>
      <c r="HUZ68" s="2"/>
      <c r="HVA68" s="2"/>
      <c r="HVB68" s="2"/>
      <c r="HVC68" s="2"/>
      <c r="HVD68" s="2"/>
      <c r="HVE68" s="2"/>
      <c r="HVF68" s="2"/>
      <c r="HVG68" s="2"/>
      <c r="HVH68" s="2"/>
      <c r="HVI68" s="2"/>
      <c r="HVJ68" s="2"/>
      <c r="HVK68" s="2"/>
      <c r="HVL68" s="2"/>
      <c r="HVM68" s="2"/>
      <c r="HVN68" s="2"/>
      <c r="HVO68" s="2"/>
      <c r="HVP68" s="2"/>
      <c r="HVQ68" s="2"/>
      <c r="HVR68" s="2"/>
      <c r="HVS68" s="2"/>
      <c r="HVT68" s="2"/>
      <c r="HVU68" s="2"/>
      <c r="HVV68" s="2"/>
      <c r="HVW68" s="2"/>
      <c r="HVX68" s="2"/>
      <c r="HVY68" s="2"/>
      <c r="HVZ68" s="2"/>
      <c r="HWA68" s="2"/>
      <c r="HWB68" s="2"/>
      <c r="HWC68" s="2"/>
      <c r="HWD68" s="2"/>
      <c r="HWE68" s="2"/>
      <c r="HWF68" s="2"/>
      <c r="HWG68" s="2"/>
      <c r="HWH68" s="2"/>
      <c r="HWI68" s="2"/>
      <c r="HWJ68" s="2"/>
      <c r="HWK68" s="2"/>
      <c r="HWL68" s="2"/>
      <c r="HWM68" s="2"/>
      <c r="HWN68" s="2"/>
      <c r="HWO68" s="2"/>
      <c r="HWP68" s="2"/>
      <c r="HWQ68" s="2"/>
      <c r="HWR68" s="2"/>
      <c r="HWS68" s="2"/>
      <c r="HWT68" s="2"/>
      <c r="HWU68" s="2"/>
      <c r="HWV68" s="2"/>
      <c r="HWW68" s="2"/>
      <c r="HWX68" s="2"/>
      <c r="HWY68" s="2"/>
      <c r="HWZ68" s="2"/>
      <c r="HXA68" s="2"/>
      <c r="HXB68" s="2"/>
      <c r="HXC68" s="2"/>
      <c r="HXD68" s="2"/>
      <c r="HXE68" s="2"/>
      <c r="HXF68" s="2"/>
      <c r="HXG68" s="2"/>
      <c r="HXH68" s="2"/>
      <c r="HXI68" s="2"/>
      <c r="HXJ68" s="2"/>
      <c r="HXK68" s="2"/>
      <c r="HXL68" s="2"/>
      <c r="HXM68" s="2"/>
      <c r="HXN68" s="2"/>
      <c r="HXO68" s="2"/>
      <c r="HXP68" s="2"/>
      <c r="HXQ68" s="2"/>
      <c r="HXR68" s="2"/>
      <c r="HXS68" s="2"/>
      <c r="HXT68" s="2"/>
      <c r="HXU68" s="2"/>
      <c r="HXV68" s="2"/>
      <c r="HXW68" s="2"/>
      <c r="HXX68" s="2"/>
      <c r="HXY68" s="2"/>
      <c r="HXZ68" s="2"/>
      <c r="HYA68" s="2"/>
      <c r="HYB68" s="2"/>
      <c r="HYC68" s="2"/>
      <c r="HYD68" s="2"/>
      <c r="HYE68" s="2"/>
      <c r="HYF68" s="2"/>
      <c r="HYG68" s="2"/>
      <c r="HYH68" s="2"/>
      <c r="HYI68" s="2"/>
      <c r="HYJ68" s="2"/>
      <c r="HYK68" s="2"/>
      <c r="HYL68" s="2"/>
      <c r="HYM68" s="2"/>
      <c r="HYN68" s="2"/>
      <c r="HYO68" s="2"/>
      <c r="HYP68" s="2"/>
      <c r="HYQ68" s="2"/>
      <c r="HYR68" s="2"/>
      <c r="HYS68" s="2"/>
      <c r="HYT68" s="2"/>
      <c r="HYU68" s="2"/>
      <c r="HYV68" s="2"/>
      <c r="HYW68" s="2"/>
      <c r="HYX68" s="2"/>
      <c r="HYY68" s="2"/>
      <c r="HYZ68" s="2"/>
      <c r="HZA68" s="2"/>
      <c r="HZB68" s="2"/>
      <c r="HZC68" s="2"/>
      <c r="HZD68" s="2"/>
      <c r="HZE68" s="2"/>
      <c r="HZF68" s="2"/>
      <c r="HZG68" s="2"/>
      <c r="HZH68" s="2"/>
      <c r="HZI68" s="2"/>
      <c r="HZJ68" s="2"/>
      <c r="HZK68" s="2"/>
      <c r="HZL68" s="2"/>
      <c r="HZM68" s="2"/>
      <c r="HZN68" s="2"/>
      <c r="HZO68" s="2"/>
      <c r="HZP68" s="2"/>
      <c r="HZQ68" s="2"/>
      <c r="HZR68" s="2"/>
      <c r="HZS68" s="2"/>
      <c r="HZT68" s="2"/>
      <c r="HZU68" s="2"/>
      <c r="HZV68" s="2"/>
      <c r="HZW68" s="2"/>
      <c r="HZX68" s="2"/>
      <c r="HZY68" s="2"/>
      <c r="HZZ68" s="2"/>
      <c r="IAA68" s="2"/>
      <c r="IAB68" s="2"/>
      <c r="IAC68" s="2"/>
      <c r="IAD68" s="2"/>
      <c r="IAE68" s="2"/>
      <c r="IAF68" s="2"/>
      <c r="IAG68" s="2"/>
      <c r="IAH68" s="2"/>
      <c r="IAI68" s="2"/>
      <c r="IAJ68" s="2"/>
      <c r="IAK68" s="2"/>
      <c r="IAL68" s="2"/>
      <c r="IAM68" s="2"/>
      <c r="IAN68" s="2"/>
      <c r="IAO68" s="2"/>
      <c r="IAP68" s="2"/>
      <c r="IAQ68" s="2"/>
      <c r="IAR68" s="2"/>
      <c r="IAS68" s="2"/>
      <c r="IAT68" s="2"/>
      <c r="IAU68" s="2"/>
      <c r="IAV68" s="2"/>
      <c r="IAW68" s="2"/>
      <c r="IAX68" s="2"/>
      <c r="IAY68" s="2"/>
      <c r="IAZ68" s="2"/>
      <c r="IBA68" s="2"/>
      <c r="IBB68" s="2"/>
      <c r="IBC68" s="2"/>
      <c r="IBD68" s="2"/>
      <c r="IBE68" s="2"/>
      <c r="IBF68" s="2"/>
      <c r="IBG68" s="2"/>
      <c r="IBH68" s="2"/>
      <c r="IBI68" s="2"/>
      <c r="IBJ68" s="2"/>
      <c r="IBK68" s="2"/>
      <c r="IBL68" s="2"/>
      <c r="IBM68" s="2"/>
      <c r="IBN68" s="2"/>
      <c r="IBO68" s="2"/>
      <c r="IBP68" s="2"/>
      <c r="IBQ68" s="2"/>
      <c r="IBR68" s="2"/>
      <c r="IBS68" s="2"/>
      <c r="IBT68" s="2"/>
      <c r="IBU68" s="2"/>
      <c r="IBV68" s="2"/>
      <c r="IBW68" s="2"/>
      <c r="IBX68" s="2"/>
      <c r="IBY68" s="2"/>
      <c r="IBZ68" s="2"/>
      <c r="ICA68" s="2"/>
      <c r="ICB68" s="2"/>
      <c r="ICC68" s="2"/>
      <c r="ICD68" s="2"/>
      <c r="ICE68" s="2"/>
      <c r="ICF68" s="2"/>
      <c r="ICG68" s="2"/>
      <c r="ICH68" s="2"/>
      <c r="ICI68" s="2"/>
      <c r="ICJ68" s="2"/>
      <c r="ICK68" s="2"/>
      <c r="ICL68" s="2"/>
      <c r="ICM68" s="2"/>
      <c r="ICN68" s="2"/>
      <c r="ICO68" s="2"/>
      <c r="ICP68" s="2"/>
      <c r="ICQ68" s="2"/>
      <c r="ICR68" s="2"/>
      <c r="ICS68" s="2"/>
      <c r="ICT68" s="2"/>
      <c r="ICU68" s="2"/>
      <c r="ICV68" s="2"/>
      <c r="ICW68" s="2"/>
      <c r="ICX68" s="2"/>
      <c r="ICY68" s="2"/>
      <c r="ICZ68" s="2"/>
      <c r="IDA68" s="2"/>
      <c r="IDB68" s="2"/>
      <c r="IDC68" s="2"/>
      <c r="IDD68" s="2"/>
      <c r="IDE68" s="2"/>
      <c r="IDF68" s="2"/>
      <c r="IDG68" s="2"/>
      <c r="IDH68" s="2"/>
      <c r="IDI68" s="2"/>
      <c r="IDJ68" s="2"/>
      <c r="IDK68" s="2"/>
      <c r="IDL68" s="2"/>
      <c r="IDM68" s="2"/>
      <c r="IDN68" s="2"/>
      <c r="IDO68" s="2"/>
      <c r="IDP68" s="2"/>
      <c r="IDQ68" s="2"/>
      <c r="IDR68" s="2"/>
      <c r="IDS68" s="2"/>
      <c r="IDT68" s="2"/>
      <c r="IDU68" s="2"/>
      <c r="IDV68" s="2"/>
      <c r="IDW68" s="2"/>
      <c r="IDX68" s="2"/>
      <c r="IDY68" s="2"/>
      <c r="IDZ68" s="2"/>
      <c r="IEA68" s="2"/>
      <c r="IEB68" s="2"/>
      <c r="IEC68" s="2"/>
      <c r="IED68" s="2"/>
      <c r="IEE68" s="2"/>
      <c r="IEF68" s="2"/>
      <c r="IEG68" s="2"/>
      <c r="IEH68" s="2"/>
      <c r="IEI68" s="2"/>
      <c r="IEJ68" s="2"/>
      <c r="IEK68" s="2"/>
      <c r="IEL68" s="2"/>
      <c r="IEM68" s="2"/>
      <c r="IEN68" s="2"/>
      <c r="IEO68" s="2"/>
      <c r="IEP68" s="2"/>
      <c r="IEQ68" s="2"/>
      <c r="IER68" s="2"/>
      <c r="IES68" s="2"/>
      <c r="IET68" s="2"/>
      <c r="IEU68" s="2"/>
      <c r="IEV68" s="2"/>
      <c r="IEW68" s="2"/>
      <c r="IEX68" s="2"/>
      <c r="IEY68" s="2"/>
      <c r="IEZ68" s="2"/>
      <c r="IFA68" s="2"/>
      <c r="IFB68" s="2"/>
      <c r="IFC68" s="2"/>
      <c r="IFD68" s="2"/>
      <c r="IFE68" s="2"/>
      <c r="IFF68" s="2"/>
      <c r="IFG68" s="2"/>
      <c r="IFH68" s="2"/>
      <c r="IFI68" s="2"/>
      <c r="IFJ68" s="2"/>
      <c r="IFK68" s="2"/>
      <c r="IFL68" s="2"/>
      <c r="IFM68" s="2"/>
      <c r="IFN68" s="2"/>
      <c r="IFO68" s="2"/>
      <c r="IFP68" s="2"/>
      <c r="IFQ68" s="2"/>
      <c r="IFR68" s="2"/>
      <c r="IFS68" s="2"/>
      <c r="IFT68" s="2"/>
      <c r="IFU68" s="2"/>
      <c r="IFV68" s="2"/>
      <c r="IFW68" s="2"/>
      <c r="IFX68" s="2"/>
      <c r="IFY68" s="2"/>
      <c r="IFZ68" s="2"/>
      <c r="IGA68" s="2"/>
      <c r="IGB68" s="2"/>
      <c r="IGC68" s="2"/>
      <c r="IGD68" s="2"/>
      <c r="IGE68" s="2"/>
      <c r="IGF68" s="2"/>
      <c r="IGG68" s="2"/>
      <c r="IGH68" s="2"/>
      <c r="IGI68" s="2"/>
      <c r="IGJ68" s="2"/>
      <c r="IGK68" s="2"/>
      <c r="IGL68" s="2"/>
      <c r="IGM68" s="2"/>
      <c r="IGN68" s="2"/>
      <c r="IGO68" s="2"/>
      <c r="IGP68" s="2"/>
      <c r="IGQ68" s="2"/>
      <c r="IGR68" s="2"/>
      <c r="IGS68" s="2"/>
      <c r="IGT68" s="2"/>
      <c r="IGU68" s="2"/>
      <c r="IGV68" s="2"/>
      <c r="IGW68" s="2"/>
      <c r="IGX68" s="2"/>
      <c r="IGY68" s="2"/>
      <c r="IGZ68" s="2"/>
      <c r="IHA68" s="2"/>
      <c r="IHB68" s="2"/>
      <c r="IHC68" s="2"/>
      <c r="IHD68" s="2"/>
      <c r="IHE68" s="2"/>
      <c r="IHF68" s="2"/>
      <c r="IHG68" s="2"/>
      <c r="IHH68" s="2"/>
      <c r="IHI68" s="2"/>
      <c r="IHJ68" s="2"/>
      <c r="IHK68" s="2"/>
      <c r="IHL68" s="2"/>
      <c r="IHM68" s="2"/>
      <c r="IHN68" s="2"/>
      <c r="IHO68" s="2"/>
      <c r="IHP68" s="2"/>
      <c r="IHQ68" s="2"/>
      <c r="IHR68" s="2"/>
      <c r="IHS68" s="2"/>
      <c r="IHT68" s="2"/>
      <c r="IHU68" s="2"/>
      <c r="IHV68" s="2"/>
      <c r="IHW68" s="2"/>
      <c r="IHX68" s="2"/>
      <c r="IHY68" s="2"/>
      <c r="IHZ68" s="2"/>
      <c r="IIA68" s="2"/>
      <c r="IIB68" s="2"/>
      <c r="IIC68" s="2"/>
      <c r="IID68" s="2"/>
      <c r="IIE68" s="2"/>
      <c r="IIF68" s="2"/>
      <c r="IIG68" s="2"/>
      <c r="IIH68" s="2"/>
      <c r="III68" s="2"/>
      <c r="IIJ68" s="2"/>
      <c r="IIK68" s="2"/>
      <c r="IIL68" s="2"/>
      <c r="IIM68" s="2"/>
      <c r="IIN68" s="2"/>
      <c r="IIO68" s="2"/>
      <c r="IIP68" s="2"/>
      <c r="IIQ68" s="2"/>
      <c r="IIR68" s="2"/>
      <c r="IIS68" s="2"/>
      <c r="IIT68" s="2"/>
      <c r="IIU68" s="2"/>
      <c r="IIV68" s="2"/>
      <c r="IIW68" s="2"/>
      <c r="IIX68" s="2"/>
      <c r="IIY68" s="2"/>
      <c r="IIZ68" s="2"/>
      <c r="IJA68" s="2"/>
      <c r="IJB68" s="2"/>
      <c r="IJC68" s="2"/>
      <c r="IJD68" s="2"/>
      <c r="IJE68" s="2"/>
      <c r="IJF68" s="2"/>
      <c r="IJG68" s="2"/>
      <c r="IJH68" s="2"/>
      <c r="IJI68" s="2"/>
      <c r="IJJ68" s="2"/>
      <c r="IJK68" s="2"/>
      <c r="IJL68" s="2"/>
      <c r="IJM68" s="2"/>
      <c r="IJN68" s="2"/>
      <c r="IJO68" s="2"/>
      <c r="IJP68" s="2"/>
      <c r="IJQ68" s="2"/>
      <c r="IJR68" s="2"/>
      <c r="IJS68" s="2"/>
      <c r="IJT68" s="2"/>
      <c r="IJU68" s="2"/>
      <c r="IJV68" s="2"/>
      <c r="IJW68" s="2"/>
      <c r="IJX68" s="2"/>
      <c r="IJY68" s="2"/>
      <c r="IJZ68" s="2"/>
      <c r="IKA68" s="2"/>
      <c r="IKB68" s="2"/>
      <c r="IKC68" s="2"/>
      <c r="IKD68" s="2"/>
      <c r="IKE68" s="2"/>
      <c r="IKF68" s="2"/>
      <c r="IKG68" s="2"/>
      <c r="IKH68" s="2"/>
      <c r="IKI68" s="2"/>
      <c r="IKJ68" s="2"/>
      <c r="IKK68" s="2"/>
      <c r="IKL68" s="2"/>
      <c r="IKM68" s="2"/>
      <c r="IKN68" s="2"/>
      <c r="IKO68" s="2"/>
      <c r="IKP68" s="2"/>
      <c r="IKQ68" s="2"/>
      <c r="IKR68" s="2"/>
      <c r="IKS68" s="2"/>
      <c r="IKT68" s="2"/>
      <c r="IKU68" s="2"/>
      <c r="IKV68" s="2"/>
      <c r="IKW68" s="2"/>
      <c r="IKX68" s="2"/>
      <c r="IKY68" s="2"/>
      <c r="IKZ68" s="2"/>
      <c r="ILA68" s="2"/>
      <c r="ILB68" s="2"/>
      <c r="ILC68" s="2"/>
      <c r="ILD68" s="2"/>
      <c r="ILE68" s="2"/>
      <c r="ILF68" s="2"/>
      <c r="ILG68" s="2"/>
      <c r="ILH68" s="2"/>
      <c r="ILI68" s="2"/>
      <c r="ILJ68" s="2"/>
      <c r="ILK68" s="2"/>
      <c r="ILL68" s="2"/>
      <c r="ILM68" s="2"/>
      <c r="ILN68" s="2"/>
      <c r="ILO68" s="2"/>
      <c r="ILP68" s="2"/>
      <c r="ILQ68" s="2"/>
      <c r="ILR68" s="2"/>
      <c r="ILS68" s="2"/>
      <c r="ILT68" s="2"/>
      <c r="ILU68" s="2"/>
      <c r="ILV68" s="2"/>
      <c r="ILW68" s="2"/>
      <c r="ILX68" s="2"/>
      <c r="ILY68" s="2"/>
      <c r="ILZ68" s="2"/>
      <c r="IMA68" s="2"/>
      <c r="IMB68" s="2"/>
      <c r="IMC68" s="2"/>
      <c r="IMD68" s="2"/>
      <c r="IME68" s="2"/>
      <c r="IMF68" s="2"/>
      <c r="IMG68" s="2"/>
      <c r="IMH68" s="2"/>
      <c r="IMI68" s="2"/>
      <c r="IMJ68" s="2"/>
      <c r="IMK68" s="2"/>
      <c r="IML68" s="2"/>
      <c r="IMM68" s="2"/>
      <c r="IMN68" s="2"/>
      <c r="IMO68" s="2"/>
      <c r="IMP68" s="2"/>
      <c r="IMQ68" s="2"/>
      <c r="IMR68" s="2"/>
      <c r="IMS68" s="2"/>
      <c r="IMT68" s="2"/>
      <c r="IMU68" s="2"/>
      <c r="IMV68" s="2"/>
      <c r="IMW68" s="2"/>
      <c r="IMX68" s="2"/>
      <c r="IMY68" s="2"/>
      <c r="IMZ68" s="2"/>
      <c r="INA68" s="2"/>
      <c r="INB68" s="2"/>
      <c r="INC68" s="2"/>
      <c r="IND68" s="2"/>
      <c r="INE68" s="2"/>
      <c r="INF68" s="2"/>
      <c r="ING68" s="2"/>
      <c r="INH68" s="2"/>
      <c r="INI68" s="2"/>
      <c r="INJ68" s="2"/>
      <c r="INK68" s="2"/>
      <c r="INL68" s="2"/>
      <c r="INM68" s="2"/>
      <c r="INN68" s="2"/>
      <c r="INO68" s="2"/>
      <c r="INP68" s="2"/>
      <c r="INQ68" s="2"/>
      <c r="INR68" s="2"/>
      <c r="INS68" s="2"/>
      <c r="INT68" s="2"/>
      <c r="INU68" s="2"/>
      <c r="INV68" s="2"/>
      <c r="INW68" s="2"/>
      <c r="INX68" s="2"/>
      <c r="INY68" s="2"/>
      <c r="INZ68" s="2"/>
      <c r="IOA68" s="2"/>
      <c r="IOB68" s="2"/>
      <c r="IOC68" s="2"/>
      <c r="IOD68" s="2"/>
      <c r="IOE68" s="2"/>
      <c r="IOF68" s="2"/>
      <c r="IOG68" s="2"/>
      <c r="IOH68" s="2"/>
      <c r="IOI68" s="2"/>
      <c r="IOJ68" s="2"/>
      <c r="IOK68" s="2"/>
      <c r="IOL68" s="2"/>
      <c r="IOM68" s="2"/>
      <c r="ION68" s="2"/>
      <c r="IOO68" s="2"/>
      <c r="IOP68" s="2"/>
      <c r="IOQ68" s="2"/>
      <c r="IOR68" s="2"/>
      <c r="IOS68" s="2"/>
      <c r="IOT68" s="2"/>
      <c r="IOU68" s="2"/>
      <c r="IOV68" s="2"/>
      <c r="IOW68" s="2"/>
      <c r="IOX68" s="2"/>
      <c r="IOY68" s="2"/>
      <c r="IOZ68" s="2"/>
      <c r="IPA68" s="2"/>
      <c r="IPB68" s="2"/>
      <c r="IPC68" s="2"/>
      <c r="IPD68" s="2"/>
      <c r="IPE68" s="2"/>
      <c r="IPF68" s="2"/>
      <c r="IPG68" s="2"/>
      <c r="IPH68" s="2"/>
      <c r="IPI68" s="2"/>
      <c r="IPJ68" s="2"/>
      <c r="IPK68" s="2"/>
      <c r="IPL68" s="2"/>
      <c r="IPM68" s="2"/>
      <c r="IPN68" s="2"/>
      <c r="IPO68" s="2"/>
      <c r="IPP68" s="2"/>
      <c r="IPQ68" s="2"/>
      <c r="IPR68" s="2"/>
      <c r="IPS68" s="2"/>
      <c r="IPT68" s="2"/>
      <c r="IPU68" s="2"/>
      <c r="IPV68" s="2"/>
      <c r="IPW68" s="2"/>
      <c r="IPX68" s="2"/>
      <c r="IPY68" s="2"/>
      <c r="IPZ68" s="2"/>
      <c r="IQA68" s="2"/>
      <c r="IQB68" s="2"/>
      <c r="IQC68" s="2"/>
      <c r="IQD68" s="2"/>
      <c r="IQE68" s="2"/>
      <c r="IQF68" s="2"/>
      <c r="IQG68" s="2"/>
      <c r="IQH68" s="2"/>
      <c r="IQI68" s="2"/>
      <c r="IQJ68" s="2"/>
      <c r="IQK68" s="2"/>
      <c r="IQL68" s="2"/>
      <c r="IQM68" s="2"/>
      <c r="IQN68" s="2"/>
      <c r="IQO68" s="2"/>
      <c r="IQP68" s="2"/>
      <c r="IQQ68" s="2"/>
      <c r="IQR68" s="2"/>
      <c r="IQS68" s="2"/>
      <c r="IQT68" s="2"/>
      <c r="IQU68" s="2"/>
      <c r="IQV68" s="2"/>
      <c r="IQW68" s="2"/>
      <c r="IQX68" s="2"/>
      <c r="IQY68" s="2"/>
      <c r="IQZ68" s="2"/>
      <c r="IRA68" s="2"/>
      <c r="IRB68" s="2"/>
      <c r="IRC68" s="2"/>
      <c r="IRD68" s="2"/>
      <c r="IRE68" s="2"/>
      <c r="IRF68" s="2"/>
      <c r="IRG68" s="2"/>
      <c r="IRH68" s="2"/>
      <c r="IRI68" s="2"/>
      <c r="IRJ68" s="2"/>
      <c r="IRK68" s="2"/>
      <c r="IRL68" s="2"/>
      <c r="IRM68" s="2"/>
      <c r="IRN68" s="2"/>
      <c r="IRO68" s="2"/>
      <c r="IRP68" s="2"/>
      <c r="IRQ68" s="2"/>
      <c r="IRR68" s="2"/>
      <c r="IRS68" s="2"/>
      <c r="IRT68" s="2"/>
      <c r="IRU68" s="2"/>
      <c r="IRV68" s="2"/>
      <c r="IRW68" s="2"/>
      <c r="IRX68" s="2"/>
      <c r="IRY68" s="2"/>
      <c r="IRZ68" s="2"/>
      <c r="ISA68" s="2"/>
      <c r="ISB68" s="2"/>
      <c r="ISC68" s="2"/>
      <c r="ISD68" s="2"/>
      <c r="ISE68" s="2"/>
      <c r="ISF68" s="2"/>
      <c r="ISG68" s="2"/>
      <c r="ISH68" s="2"/>
      <c r="ISI68" s="2"/>
      <c r="ISJ68" s="2"/>
      <c r="ISK68" s="2"/>
      <c r="ISL68" s="2"/>
      <c r="ISM68" s="2"/>
      <c r="ISN68" s="2"/>
      <c r="ISO68" s="2"/>
      <c r="ISP68" s="2"/>
      <c r="ISQ68" s="2"/>
      <c r="ISR68" s="2"/>
      <c r="ISS68" s="2"/>
      <c r="IST68" s="2"/>
      <c r="ISU68" s="2"/>
      <c r="ISV68" s="2"/>
      <c r="ISW68" s="2"/>
      <c r="ISX68" s="2"/>
      <c r="ISY68" s="2"/>
      <c r="ISZ68" s="2"/>
      <c r="ITA68" s="2"/>
      <c r="ITB68" s="2"/>
      <c r="ITC68" s="2"/>
      <c r="ITD68" s="2"/>
      <c r="ITE68" s="2"/>
      <c r="ITF68" s="2"/>
      <c r="ITG68" s="2"/>
      <c r="ITH68" s="2"/>
      <c r="ITI68" s="2"/>
      <c r="ITJ68" s="2"/>
      <c r="ITK68" s="2"/>
      <c r="ITL68" s="2"/>
      <c r="ITM68" s="2"/>
      <c r="ITN68" s="2"/>
      <c r="ITO68" s="2"/>
      <c r="ITP68" s="2"/>
      <c r="ITQ68" s="2"/>
      <c r="ITR68" s="2"/>
      <c r="ITS68" s="2"/>
      <c r="ITT68" s="2"/>
      <c r="ITU68" s="2"/>
      <c r="ITV68" s="2"/>
      <c r="ITW68" s="2"/>
      <c r="ITX68" s="2"/>
      <c r="ITY68" s="2"/>
      <c r="ITZ68" s="2"/>
      <c r="IUA68" s="2"/>
      <c r="IUB68" s="2"/>
      <c r="IUC68" s="2"/>
      <c r="IUD68" s="2"/>
      <c r="IUE68" s="2"/>
      <c r="IUF68" s="2"/>
      <c r="IUG68" s="2"/>
      <c r="IUH68" s="2"/>
      <c r="IUI68" s="2"/>
      <c r="IUJ68" s="2"/>
      <c r="IUK68" s="2"/>
      <c r="IUL68" s="2"/>
      <c r="IUM68" s="2"/>
      <c r="IUN68" s="2"/>
      <c r="IUO68" s="2"/>
      <c r="IUP68" s="2"/>
      <c r="IUQ68" s="2"/>
      <c r="IUR68" s="2"/>
      <c r="IUS68" s="2"/>
      <c r="IUT68" s="2"/>
      <c r="IUU68" s="2"/>
      <c r="IUV68" s="2"/>
      <c r="IUW68" s="2"/>
      <c r="IUX68" s="2"/>
      <c r="IUY68" s="2"/>
      <c r="IUZ68" s="2"/>
      <c r="IVA68" s="2"/>
      <c r="IVB68" s="2"/>
      <c r="IVC68" s="2"/>
      <c r="IVD68" s="2"/>
      <c r="IVE68" s="2"/>
      <c r="IVF68" s="2"/>
      <c r="IVG68" s="2"/>
      <c r="IVH68" s="2"/>
      <c r="IVI68" s="2"/>
      <c r="IVJ68" s="2"/>
      <c r="IVK68" s="2"/>
      <c r="IVL68" s="2"/>
      <c r="IVM68" s="2"/>
      <c r="IVN68" s="2"/>
      <c r="IVO68" s="2"/>
      <c r="IVP68" s="2"/>
      <c r="IVQ68" s="2"/>
      <c r="IVR68" s="2"/>
      <c r="IVS68" s="2"/>
      <c r="IVT68" s="2"/>
      <c r="IVU68" s="2"/>
      <c r="IVV68" s="2"/>
      <c r="IVW68" s="2"/>
      <c r="IVX68" s="2"/>
      <c r="IVY68" s="2"/>
      <c r="IVZ68" s="2"/>
      <c r="IWA68" s="2"/>
      <c r="IWB68" s="2"/>
      <c r="IWC68" s="2"/>
      <c r="IWD68" s="2"/>
      <c r="IWE68" s="2"/>
      <c r="IWF68" s="2"/>
      <c r="IWG68" s="2"/>
      <c r="IWH68" s="2"/>
      <c r="IWI68" s="2"/>
      <c r="IWJ68" s="2"/>
      <c r="IWK68" s="2"/>
      <c r="IWL68" s="2"/>
      <c r="IWM68" s="2"/>
      <c r="IWN68" s="2"/>
      <c r="IWO68" s="2"/>
      <c r="IWP68" s="2"/>
      <c r="IWQ68" s="2"/>
      <c r="IWR68" s="2"/>
      <c r="IWS68" s="2"/>
      <c r="IWT68" s="2"/>
      <c r="IWU68" s="2"/>
      <c r="IWV68" s="2"/>
      <c r="IWW68" s="2"/>
      <c r="IWX68" s="2"/>
      <c r="IWY68" s="2"/>
      <c r="IWZ68" s="2"/>
      <c r="IXA68" s="2"/>
      <c r="IXB68" s="2"/>
      <c r="IXC68" s="2"/>
      <c r="IXD68" s="2"/>
      <c r="IXE68" s="2"/>
      <c r="IXF68" s="2"/>
      <c r="IXG68" s="2"/>
      <c r="IXH68" s="2"/>
      <c r="IXI68" s="2"/>
      <c r="IXJ68" s="2"/>
      <c r="IXK68" s="2"/>
      <c r="IXL68" s="2"/>
      <c r="IXM68" s="2"/>
      <c r="IXN68" s="2"/>
      <c r="IXO68" s="2"/>
      <c r="IXP68" s="2"/>
      <c r="IXQ68" s="2"/>
      <c r="IXR68" s="2"/>
      <c r="IXS68" s="2"/>
      <c r="IXT68" s="2"/>
      <c r="IXU68" s="2"/>
      <c r="IXV68" s="2"/>
      <c r="IXW68" s="2"/>
      <c r="IXX68" s="2"/>
      <c r="IXY68" s="2"/>
      <c r="IXZ68" s="2"/>
      <c r="IYA68" s="2"/>
      <c r="IYB68" s="2"/>
      <c r="IYC68" s="2"/>
      <c r="IYD68" s="2"/>
      <c r="IYE68" s="2"/>
      <c r="IYF68" s="2"/>
      <c r="IYG68" s="2"/>
      <c r="IYH68" s="2"/>
      <c r="IYI68" s="2"/>
      <c r="IYJ68" s="2"/>
      <c r="IYK68" s="2"/>
      <c r="IYL68" s="2"/>
      <c r="IYM68" s="2"/>
      <c r="IYN68" s="2"/>
      <c r="IYO68" s="2"/>
      <c r="IYP68" s="2"/>
      <c r="IYQ68" s="2"/>
      <c r="IYR68" s="2"/>
      <c r="IYS68" s="2"/>
      <c r="IYT68" s="2"/>
      <c r="IYU68" s="2"/>
      <c r="IYV68" s="2"/>
      <c r="IYW68" s="2"/>
      <c r="IYX68" s="2"/>
      <c r="IYY68" s="2"/>
      <c r="IYZ68" s="2"/>
      <c r="IZA68" s="2"/>
      <c r="IZB68" s="2"/>
      <c r="IZC68" s="2"/>
      <c r="IZD68" s="2"/>
      <c r="IZE68" s="2"/>
      <c r="IZF68" s="2"/>
      <c r="IZG68" s="2"/>
      <c r="IZH68" s="2"/>
      <c r="IZI68" s="2"/>
      <c r="IZJ68" s="2"/>
      <c r="IZK68" s="2"/>
      <c r="IZL68" s="2"/>
      <c r="IZM68" s="2"/>
      <c r="IZN68" s="2"/>
      <c r="IZO68" s="2"/>
      <c r="IZP68" s="2"/>
      <c r="IZQ68" s="2"/>
      <c r="IZR68" s="2"/>
      <c r="IZS68" s="2"/>
      <c r="IZT68" s="2"/>
      <c r="IZU68" s="2"/>
      <c r="IZV68" s="2"/>
      <c r="IZW68" s="2"/>
      <c r="IZX68" s="2"/>
      <c r="IZY68" s="2"/>
      <c r="IZZ68" s="2"/>
      <c r="JAA68" s="2"/>
      <c r="JAB68" s="2"/>
      <c r="JAC68" s="2"/>
      <c r="JAD68" s="2"/>
      <c r="JAE68" s="2"/>
      <c r="JAF68" s="2"/>
      <c r="JAG68" s="2"/>
      <c r="JAH68" s="2"/>
      <c r="JAI68" s="2"/>
      <c r="JAJ68" s="2"/>
      <c r="JAK68" s="2"/>
      <c r="JAL68" s="2"/>
      <c r="JAM68" s="2"/>
      <c r="JAN68" s="2"/>
      <c r="JAO68" s="2"/>
      <c r="JAP68" s="2"/>
      <c r="JAQ68" s="2"/>
      <c r="JAR68" s="2"/>
      <c r="JAS68" s="2"/>
      <c r="JAT68" s="2"/>
      <c r="JAU68" s="2"/>
      <c r="JAV68" s="2"/>
      <c r="JAW68" s="2"/>
      <c r="JAX68" s="2"/>
      <c r="JAY68" s="2"/>
      <c r="JAZ68" s="2"/>
      <c r="JBA68" s="2"/>
      <c r="JBB68" s="2"/>
      <c r="JBC68" s="2"/>
      <c r="JBD68" s="2"/>
      <c r="JBE68" s="2"/>
      <c r="JBF68" s="2"/>
      <c r="JBG68" s="2"/>
      <c r="JBH68" s="2"/>
      <c r="JBI68" s="2"/>
      <c r="JBJ68" s="2"/>
      <c r="JBK68" s="2"/>
      <c r="JBL68" s="2"/>
      <c r="JBM68" s="2"/>
      <c r="JBN68" s="2"/>
      <c r="JBO68" s="2"/>
      <c r="JBP68" s="2"/>
      <c r="JBQ68" s="2"/>
      <c r="JBR68" s="2"/>
      <c r="JBS68" s="2"/>
      <c r="JBT68" s="2"/>
      <c r="JBU68" s="2"/>
      <c r="JBV68" s="2"/>
      <c r="JBW68" s="2"/>
      <c r="JBX68" s="2"/>
      <c r="JBY68" s="2"/>
      <c r="JBZ68" s="2"/>
      <c r="JCA68" s="2"/>
      <c r="JCB68" s="2"/>
      <c r="JCC68" s="2"/>
      <c r="JCD68" s="2"/>
      <c r="JCE68" s="2"/>
      <c r="JCF68" s="2"/>
      <c r="JCG68" s="2"/>
      <c r="JCH68" s="2"/>
      <c r="JCI68" s="2"/>
      <c r="JCJ68" s="2"/>
      <c r="JCK68" s="2"/>
      <c r="JCL68" s="2"/>
      <c r="JCM68" s="2"/>
      <c r="JCN68" s="2"/>
      <c r="JCO68" s="2"/>
      <c r="JCP68" s="2"/>
      <c r="JCQ68" s="2"/>
      <c r="JCR68" s="2"/>
      <c r="JCS68" s="2"/>
      <c r="JCT68" s="2"/>
      <c r="JCU68" s="2"/>
      <c r="JCV68" s="2"/>
      <c r="JCW68" s="2"/>
      <c r="JCX68" s="2"/>
      <c r="JCY68" s="2"/>
      <c r="JCZ68" s="2"/>
      <c r="JDA68" s="2"/>
      <c r="JDB68" s="2"/>
      <c r="JDC68" s="2"/>
      <c r="JDD68" s="2"/>
      <c r="JDE68" s="2"/>
      <c r="JDF68" s="2"/>
      <c r="JDG68" s="2"/>
      <c r="JDH68" s="2"/>
      <c r="JDI68" s="2"/>
      <c r="JDJ68" s="2"/>
      <c r="JDK68" s="2"/>
      <c r="JDL68" s="2"/>
      <c r="JDM68" s="2"/>
      <c r="JDN68" s="2"/>
      <c r="JDO68" s="2"/>
      <c r="JDP68" s="2"/>
      <c r="JDQ68" s="2"/>
      <c r="JDR68" s="2"/>
      <c r="JDS68" s="2"/>
      <c r="JDT68" s="2"/>
      <c r="JDU68" s="2"/>
      <c r="JDV68" s="2"/>
      <c r="JDW68" s="2"/>
      <c r="JDX68" s="2"/>
      <c r="JDY68" s="2"/>
      <c r="JDZ68" s="2"/>
      <c r="JEA68" s="2"/>
      <c r="JEB68" s="2"/>
      <c r="JEC68" s="2"/>
      <c r="JED68" s="2"/>
      <c r="JEE68" s="2"/>
      <c r="JEF68" s="2"/>
      <c r="JEG68" s="2"/>
      <c r="JEH68" s="2"/>
      <c r="JEI68" s="2"/>
      <c r="JEJ68" s="2"/>
      <c r="JEK68" s="2"/>
      <c r="JEL68" s="2"/>
      <c r="JEM68" s="2"/>
      <c r="JEN68" s="2"/>
      <c r="JEO68" s="2"/>
      <c r="JEP68" s="2"/>
      <c r="JEQ68" s="2"/>
      <c r="JER68" s="2"/>
      <c r="JES68" s="2"/>
      <c r="JET68" s="2"/>
      <c r="JEU68" s="2"/>
      <c r="JEV68" s="2"/>
      <c r="JEW68" s="2"/>
      <c r="JEX68" s="2"/>
      <c r="JEY68" s="2"/>
      <c r="JEZ68" s="2"/>
      <c r="JFA68" s="2"/>
      <c r="JFB68" s="2"/>
      <c r="JFC68" s="2"/>
      <c r="JFD68" s="2"/>
      <c r="JFE68" s="2"/>
      <c r="JFF68" s="2"/>
      <c r="JFG68" s="2"/>
      <c r="JFH68" s="2"/>
      <c r="JFI68" s="2"/>
      <c r="JFJ68" s="2"/>
      <c r="JFK68" s="2"/>
      <c r="JFL68" s="2"/>
      <c r="JFM68" s="2"/>
      <c r="JFN68" s="2"/>
      <c r="JFO68" s="2"/>
      <c r="JFP68" s="2"/>
      <c r="JFQ68" s="2"/>
      <c r="JFR68" s="2"/>
      <c r="JFS68" s="2"/>
      <c r="JFT68" s="2"/>
      <c r="JFU68" s="2"/>
      <c r="JFV68" s="2"/>
      <c r="JFW68" s="2"/>
      <c r="JFX68" s="2"/>
      <c r="JFY68" s="2"/>
      <c r="JFZ68" s="2"/>
      <c r="JGA68" s="2"/>
      <c r="JGB68" s="2"/>
      <c r="JGC68" s="2"/>
      <c r="JGD68" s="2"/>
      <c r="JGE68" s="2"/>
      <c r="JGF68" s="2"/>
      <c r="JGG68" s="2"/>
      <c r="JGH68" s="2"/>
      <c r="JGI68" s="2"/>
      <c r="JGJ68" s="2"/>
      <c r="JGK68" s="2"/>
      <c r="JGL68" s="2"/>
      <c r="JGM68" s="2"/>
      <c r="JGN68" s="2"/>
      <c r="JGO68" s="2"/>
      <c r="JGP68" s="2"/>
      <c r="JGQ68" s="2"/>
      <c r="JGR68" s="2"/>
      <c r="JGS68" s="2"/>
      <c r="JGT68" s="2"/>
      <c r="JGU68" s="2"/>
      <c r="JGV68" s="2"/>
      <c r="JGW68" s="2"/>
      <c r="JGX68" s="2"/>
      <c r="JGY68" s="2"/>
      <c r="JGZ68" s="2"/>
      <c r="JHA68" s="2"/>
      <c r="JHB68" s="2"/>
      <c r="JHC68" s="2"/>
      <c r="JHD68" s="2"/>
      <c r="JHE68" s="2"/>
      <c r="JHF68" s="2"/>
      <c r="JHG68" s="2"/>
      <c r="JHH68" s="2"/>
      <c r="JHI68" s="2"/>
      <c r="JHJ68" s="2"/>
      <c r="JHK68" s="2"/>
      <c r="JHL68" s="2"/>
      <c r="JHM68" s="2"/>
      <c r="JHN68" s="2"/>
      <c r="JHO68" s="2"/>
      <c r="JHP68" s="2"/>
      <c r="JHQ68" s="2"/>
      <c r="JHR68" s="2"/>
      <c r="JHS68" s="2"/>
      <c r="JHT68" s="2"/>
      <c r="JHU68" s="2"/>
      <c r="JHV68" s="2"/>
      <c r="JHW68" s="2"/>
      <c r="JHX68" s="2"/>
      <c r="JHY68" s="2"/>
      <c r="JHZ68" s="2"/>
      <c r="JIA68" s="2"/>
      <c r="JIB68" s="2"/>
      <c r="JIC68" s="2"/>
      <c r="JID68" s="2"/>
      <c r="JIE68" s="2"/>
      <c r="JIF68" s="2"/>
      <c r="JIG68" s="2"/>
      <c r="JIH68" s="2"/>
      <c r="JII68" s="2"/>
      <c r="JIJ68" s="2"/>
      <c r="JIK68" s="2"/>
      <c r="JIL68" s="2"/>
      <c r="JIM68" s="2"/>
      <c r="JIN68" s="2"/>
      <c r="JIO68" s="2"/>
      <c r="JIP68" s="2"/>
      <c r="JIQ68" s="2"/>
      <c r="JIR68" s="2"/>
      <c r="JIS68" s="2"/>
      <c r="JIT68" s="2"/>
      <c r="JIU68" s="2"/>
      <c r="JIV68" s="2"/>
      <c r="JIW68" s="2"/>
      <c r="JIX68" s="2"/>
      <c r="JIY68" s="2"/>
      <c r="JIZ68" s="2"/>
      <c r="JJA68" s="2"/>
      <c r="JJB68" s="2"/>
      <c r="JJC68" s="2"/>
      <c r="JJD68" s="2"/>
      <c r="JJE68" s="2"/>
      <c r="JJF68" s="2"/>
      <c r="JJG68" s="2"/>
      <c r="JJH68" s="2"/>
      <c r="JJI68" s="2"/>
      <c r="JJJ68" s="2"/>
      <c r="JJK68" s="2"/>
      <c r="JJL68" s="2"/>
      <c r="JJM68" s="2"/>
      <c r="JJN68" s="2"/>
      <c r="JJO68" s="2"/>
      <c r="JJP68" s="2"/>
      <c r="JJQ68" s="2"/>
      <c r="JJR68" s="2"/>
      <c r="JJS68" s="2"/>
      <c r="JJT68" s="2"/>
      <c r="JJU68" s="2"/>
      <c r="JJV68" s="2"/>
      <c r="JJW68" s="2"/>
      <c r="JJX68" s="2"/>
      <c r="JJY68" s="2"/>
      <c r="JJZ68" s="2"/>
      <c r="JKA68" s="2"/>
      <c r="JKB68" s="2"/>
      <c r="JKC68" s="2"/>
      <c r="JKD68" s="2"/>
      <c r="JKE68" s="2"/>
      <c r="JKF68" s="2"/>
      <c r="JKG68" s="2"/>
      <c r="JKH68" s="2"/>
      <c r="JKI68" s="2"/>
      <c r="JKJ68" s="2"/>
      <c r="JKK68" s="2"/>
      <c r="JKL68" s="2"/>
      <c r="JKM68" s="2"/>
      <c r="JKN68" s="2"/>
      <c r="JKO68" s="2"/>
      <c r="JKP68" s="2"/>
      <c r="JKQ68" s="2"/>
      <c r="JKR68" s="2"/>
      <c r="JKS68" s="2"/>
      <c r="JKT68" s="2"/>
      <c r="JKU68" s="2"/>
      <c r="JKV68" s="2"/>
      <c r="JKW68" s="2"/>
      <c r="JKX68" s="2"/>
      <c r="JKY68" s="2"/>
      <c r="JKZ68" s="2"/>
      <c r="JLA68" s="2"/>
      <c r="JLB68" s="2"/>
      <c r="JLC68" s="2"/>
      <c r="JLD68" s="2"/>
      <c r="JLE68" s="2"/>
      <c r="JLF68" s="2"/>
      <c r="JLG68" s="2"/>
      <c r="JLH68" s="2"/>
      <c r="JLI68" s="2"/>
      <c r="JLJ68" s="2"/>
      <c r="JLK68" s="2"/>
      <c r="JLL68" s="2"/>
      <c r="JLM68" s="2"/>
      <c r="JLN68" s="2"/>
      <c r="JLO68" s="2"/>
      <c r="JLP68" s="2"/>
      <c r="JLQ68" s="2"/>
      <c r="JLR68" s="2"/>
      <c r="JLS68" s="2"/>
      <c r="JLT68" s="2"/>
      <c r="JLU68" s="2"/>
      <c r="JLV68" s="2"/>
      <c r="JLW68" s="2"/>
      <c r="JLX68" s="2"/>
      <c r="JLY68" s="2"/>
      <c r="JLZ68" s="2"/>
      <c r="JMA68" s="2"/>
      <c r="JMB68" s="2"/>
      <c r="JMC68" s="2"/>
      <c r="JMD68" s="2"/>
      <c r="JME68" s="2"/>
      <c r="JMF68" s="2"/>
      <c r="JMG68" s="2"/>
      <c r="JMH68" s="2"/>
      <c r="JMI68" s="2"/>
      <c r="JMJ68" s="2"/>
      <c r="JMK68" s="2"/>
      <c r="JML68" s="2"/>
      <c r="JMM68" s="2"/>
      <c r="JMN68" s="2"/>
      <c r="JMO68" s="2"/>
      <c r="JMP68" s="2"/>
      <c r="JMQ68" s="2"/>
      <c r="JMR68" s="2"/>
      <c r="JMS68" s="2"/>
      <c r="JMT68" s="2"/>
      <c r="JMU68" s="2"/>
      <c r="JMV68" s="2"/>
      <c r="JMW68" s="2"/>
      <c r="JMX68" s="2"/>
      <c r="JMY68" s="2"/>
      <c r="JMZ68" s="2"/>
      <c r="JNA68" s="2"/>
      <c r="JNB68" s="2"/>
      <c r="JNC68" s="2"/>
      <c r="JND68" s="2"/>
      <c r="JNE68" s="2"/>
      <c r="JNF68" s="2"/>
      <c r="JNG68" s="2"/>
      <c r="JNH68" s="2"/>
      <c r="JNI68" s="2"/>
      <c r="JNJ68" s="2"/>
      <c r="JNK68" s="2"/>
      <c r="JNL68" s="2"/>
      <c r="JNM68" s="2"/>
      <c r="JNN68" s="2"/>
      <c r="JNO68" s="2"/>
      <c r="JNP68" s="2"/>
      <c r="JNQ68" s="2"/>
      <c r="JNR68" s="2"/>
      <c r="JNS68" s="2"/>
      <c r="JNT68" s="2"/>
      <c r="JNU68" s="2"/>
      <c r="JNV68" s="2"/>
      <c r="JNW68" s="2"/>
      <c r="JNX68" s="2"/>
      <c r="JNY68" s="2"/>
      <c r="JNZ68" s="2"/>
      <c r="JOA68" s="2"/>
      <c r="JOB68" s="2"/>
      <c r="JOC68" s="2"/>
      <c r="JOD68" s="2"/>
      <c r="JOE68" s="2"/>
      <c r="JOF68" s="2"/>
      <c r="JOG68" s="2"/>
      <c r="JOH68" s="2"/>
      <c r="JOI68" s="2"/>
      <c r="JOJ68" s="2"/>
      <c r="JOK68" s="2"/>
      <c r="JOL68" s="2"/>
      <c r="JOM68" s="2"/>
      <c r="JON68" s="2"/>
      <c r="JOO68" s="2"/>
      <c r="JOP68" s="2"/>
      <c r="JOQ68" s="2"/>
      <c r="JOR68" s="2"/>
      <c r="JOS68" s="2"/>
      <c r="JOT68" s="2"/>
      <c r="JOU68" s="2"/>
      <c r="JOV68" s="2"/>
      <c r="JOW68" s="2"/>
      <c r="JOX68" s="2"/>
      <c r="JOY68" s="2"/>
      <c r="JOZ68" s="2"/>
      <c r="JPA68" s="2"/>
      <c r="JPB68" s="2"/>
      <c r="JPC68" s="2"/>
      <c r="JPD68" s="2"/>
      <c r="JPE68" s="2"/>
      <c r="JPF68" s="2"/>
      <c r="JPG68" s="2"/>
      <c r="JPH68" s="2"/>
      <c r="JPI68" s="2"/>
      <c r="JPJ68" s="2"/>
      <c r="JPK68" s="2"/>
      <c r="JPL68" s="2"/>
      <c r="JPM68" s="2"/>
      <c r="JPN68" s="2"/>
      <c r="JPO68" s="2"/>
      <c r="JPP68" s="2"/>
      <c r="JPQ68" s="2"/>
      <c r="JPR68" s="2"/>
      <c r="JPS68" s="2"/>
      <c r="JPT68" s="2"/>
      <c r="JPU68" s="2"/>
      <c r="JPV68" s="2"/>
      <c r="JPW68" s="2"/>
      <c r="JPX68" s="2"/>
      <c r="JPY68" s="2"/>
      <c r="JPZ68" s="2"/>
      <c r="JQA68" s="2"/>
      <c r="JQB68" s="2"/>
      <c r="JQC68" s="2"/>
      <c r="JQD68" s="2"/>
      <c r="JQE68" s="2"/>
      <c r="JQF68" s="2"/>
      <c r="JQG68" s="2"/>
      <c r="JQH68" s="2"/>
      <c r="JQI68" s="2"/>
      <c r="JQJ68" s="2"/>
      <c r="JQK68" s="2"/>
      <c r="JQL68" s="2"/>
      <c r="JQM68" s="2"/>
      <c r="JQN68" s="2"/>
      <c r="JQO68" s="2"/>
      <c r="JQP68" s="2"/>
      <c r="JQQ68" s="2"/>
      <c r="JQR68" s="2"/>
      <c r="JQS68" s="2"/>
      <c r="JQT68" s="2"/>
      <c r="JQU68" s="2"/>
      <c r="JQV68" s="2"/>
      <c r="JQW68" s="2"/>
      <c r="JQX68" s="2"/>
      <c r="JQY68" s="2"/>
      <c r="JQZ68" s="2"/>
      <c r="JRA68" s="2"/>
      <c r="JRB68" s="2"/>
      <c r="JRC68" s="2"/>
      <c r="JRD68" s="2"/>
      <c r="JRE68" s="2"/>
      <c r="JRF68" s="2"/>
      <c r="JRG68" s="2"/>
      <c r="JRH68" s="2"/>
      <c r="JRI68" s="2"/>
      <c r="JRJ68" s="2"/>
      <c r="JRK68" s="2"/>
      <c r="JRL68" s="2"/>
      <c r="JRM68" s="2"/>
      <c r="JRN68" s="2"/>
      <c r="JRO68" s="2"/>
      <c r="JRP68" s="2"/>
      <c r="JRQ68" s="2"/>
      <c r="JRR68" s="2"/>
      <c r="JRS68" s="2"/>
      <c r="JRT68" s="2"/>
      <c r="JRU68" s="2"/>
      <c r="JRV68" s="2"/>
      <c r="JRW68" s="2"/>
      <c r="JRX68" s="2"/>
      <c r="JRY68" s="2"/>
      <c r="JRZ68" s="2"/>
      <c r="JSA68" s="2"/>
      <c r="JSB68" s="2"/>
      <c r="JSC68" s="2"/>
      <c r="JSD68" s="2"/>
      <c r="JSE68" s="2"/>
      <c r="JSF68" s="2"/>
      <c r="JSG68" s="2"/>
      <c r="JSH68" s="2"/>
      <c r="JSI68" s="2"/>
      <c r="JSJ68" s="2"/>
      <c r="JSK68" s="2"/>
      <c r="JSL68" s="2"/>
      <c r="JSM68" s="2"/>
      <c r="JSN68" s="2"/>
      <c r="JSO68" s="2"/>
      <c r="JSP68" s="2"/>
      <c r="JSQ68" s="2"/>
      <c r="JSR68" s="2"/>
      <c r="JSS68" s="2"/>
      <c r="JST68" s="2"/>
      <c r="JSU68" s="2"/>
      <c r="JSV68" s="2"/>
      <c r="JSW68" s="2"/>
      <c r="JSX68" s="2"/>
      <c r="JSY68" s="2"/>
      <c r="JSZ68" s="2"/>
      <c r="JTA68" s="2"/>
      <c r="JTB68" s="2"/>
      <c r="JTC68" s="2"/>
      <c r="JTD68" s="2"/>
      <c r="JTE68" s="2"/>
      <c r="JTF68" s="2"/>
      <c r="JTG68" s="2"/>
      <c r="JTH68" s="2"/>
      <c r="JTI68" s="2"/>
      <c r="JTJ68" s="2"/>
      <c r="JTK68" s="2"/>
      <c r="JTL68" s="2"/>
      <c r="JTM68" s="2"/>
      <c r="JTN68" s="2"/>
      <c r="JTO68" s="2"/>
      <c r="JTP68" s="2"/>
      <c r="JTQ68" s="2"/>
      <c r="JTR68" s="2"/>
      <c r="JTS68" s="2"/>
      <c r="JTT68" s="2"/>
      <c r="JTU68" s="2"/>
      <c r="JTV68" s="2"/>
      <c r="JTW68" s="2"/>
      <c r="JTX68" s="2"/>
      <c r="JTY68" s="2"/>
      <c r="JTZ68" s="2"/>
      <c r="JUA68" s="2"/>
      <c r="JUB68" s="2"/>
      <c r="JUC68" s="2"/>
      <c r="JUD68" s="2"/>
      <c r="JUE68" s="2"/>
      <c r="JUF68" s="2"/>
      <c r="JUG68" s="2"/>
      <c r="JUH68" s="2"/>
      <c r="JUI68" s="2"/>
      <c r="JUJ68" s="2"/>
      <c r="JUK68" s="2"/>
      <c r="JUL68" s="2"/>
      <c r="JUM68" s="2"/>
      <c r="JUN68" s="2"/>
      <c r="JUO68" s="2"/>
      <c r="JUP68" s="2"/>
      <c r="JUQ68" s="2"/>
      <c r="JUR68" s="2"/>
      <c r="JUS68" s="2"/>
      <c r="JUT68" s="2"/>
      <c r="JUU68" s="2"/>
      <c r="JUV68" s="2"/>
      <c r="JUW68" s="2"/>
      <c r="JUX68" s="2"/>
      <c r="JUY68" s="2"/>
      <c r="JUZ68" s="2"/>
      <c r="JVA68" s="2"/>
      <c r="JVB68" s="2"/>
      <c r="JVC68" s="2"/>
      <c r="JVD68" s="2"/>
      <c r="JVE68" s="2"/>
      <c r="JVF68" s="2"/>
      <c r="JVG68" s="2"/>
      <c r="JVH68" s="2"/>
      <c r="JVI68" s="2"/>
      <c r="JVJ68" s="2"/>
      <c r="JVK68" s="2"/>
      <c r="JVL68" s="2"/>
      <c r="JVM68" s="2"/>
      <c r="JVN68" s="2"/>
      <c r="JVO68" s="2"/>
      <c r="JVP68" s="2"/>
      <c r="JVQ68" s="2"/>
      <c r="JVR68" s="2"/>
      <c r="JVS68" s="2"/>
      <c r="JVT68" s="2"/>
      <c r="JVU68" s="2"/>
      <c r="JVV68" s="2"/>
      <c r="JVW68" s="2"/>
      <c r="JVX68" s="2"/>
      <c r="JVY68" s="2"/>
      <c r="JVZ68" s="2"/>
      <c r="JWA68" s="2"/>
      <c r="JWB68" s="2"/>
      <c r="JWC68" s="2"/>
      <c r="JWD68" s="2"/>
      <c r="JWE68" s="2"/>
      <c r="JWF68" s="2"/>
      <c r="JWG68" s="2"/>
      <c r="JWH68" s="2"/>
      <c r="JWI68" s="2"/>
      <c r="JWJ68" s="2"/>
      <c r="JWK68" s="2"/>
      <c r="JWL68" s="2"/>
      <c r="JWM68" s="2"/>
      <c r="JWN68" s="2"/>
      <c r="JWO68" s="2"/>
      <c r="JWP68" s="2"/>
      <c r="JWQ68" s="2"/>
      <c r="JWR68" s="2"/>
      <c r="JWS68" s="2"/>
      <c r="JWT68" s="2"/>
      <c r="JWU68" s="2"/>
      <c r="JWV68" s="2"/>
      <c r="JWW68" s="2"/>
      <c r="JWX68" s="2"/>
      <c r="JWY68" s="2"/>
      <c r="JWZ68" s="2"/>
      <c r="JXA68" s="2"/>
      <c r="JXB68" s="2"/>
      <c r="JXC68" s="2"/>
      <c r="JXD68" s="2"/>
      <c r="JXE68" s="2"/>
      <c r="JXF68" s="2"/>
      <c r="JXG68" s="2"/>
      <c r="JXH68" s="2"/>
      <c r="JXI68" s="2"/>
      <c r="JXJ68" s="2"/>
      <c r="JXK68" s="2"/>
      <c r="JXL68" s="2"/>
      <c r="JXM68" s="2"/>
      <c r="JXN68" s="2"/>
      <c r="JXO68" s="2"/>
      <c r="JXP68" s="2"/>
      <c r="JXQ68" s="2"/>
      <c r="JXR68" s="2"/>
      <c r="JXS68" s="2"/>
      <c r="JXT68" s="2"/>
      <c r="JXU68" s="2"/>
      <c r="JXV68" s="2"/>
      <c r="JXW68" s="2"/>
      <c r="JXX68" s="2"/>
      <c r="JXY68" s="2"/>
      <c r="JXZ68" s="2"/>
      <c r="JYA68" s="2"/>
      <c r="JYB68" s="2"/>
      <c r="JYC68" s="2"/>
      <c r="JYD68" s="2"/>
      <c r="JYE68" s="2"/>
      <c r="JYF68" s="2"/>
      <c r="JYG68" s="2"/>
      <c r="JYH68" s="2"/>
      <c r="JYI68" s="2"/>
      <c r="JYJ68" s="2"/>
      <c r="JYK68" s="2"/>
      <c r="JYL68" s="2"/>
      <c r="JYM68" s="2"/>
      <c r="JYN68" s="2"/>
      <c r="JYO68" s="2"/>
      <c r="JYP68" s="2"/>
      <c r="JYQ68" s="2"/>
      <c r="JYR68" s="2"/>
      <c r="JYS68" s="2"/>
      <c r="JYT68" s="2"/>
      <c r="JYU68" s="2"/>
      <c r="JYV68" s="2"/>
      <c r="JYW68" s="2"/>
      <c r="JYX68" s="2"/>
      <c r="JYY68" s="2"/>
      <c r="JYZ68" s="2"/>
      <c r="JZA68" s="2"/>
      <c r="JZB68" s="2"/>
      <c r="JZC68" s="2"/>
      <c r="JZD68" s="2"/>
      <c r="JZE68" s="2"/>
      <c r="JZF68" s="2"/>
      <c r="JZG68" s="2"/>
      <c r="JZH68" s="2"/>
      <c r="JZI68" s="2"/>
      <c r="JZJ68" s="2"/>
      <c r="JZK68" s="2"/>
      <c r="JZL68" s="2"/>
      <c r="JZM68" s="2"/>
      <c r="JZN68" s="2"/>
      <c r="JZO68" s="2"/>
      <c r="JZP68" s="2"/>
      <c r="JZQ68" s="2"/>
      <c r="JZR68" s="2"/>
      <c r="JZS68" s="2"/>
      <c r="JZT68" s="2"/>
      <c r="JZU68" s="2"/>
      <c r="JZV68" s="2"/>
      <c r="JZW68" s="2"/>
      <c r="JZX68" s="2"/>
      <c r="JZY68" s="2"/>
      <c r="JZZ68" s="2"/>
      <c r="KAA68" s="2"/>
      <c r="KAB68" s="2"/>
      <c r="KAC68" s="2"/>
      <c r="KAD68" s="2"/>
      <c r="KAE68" s="2"/>
      <c r="KAF68" s="2"/>
      <c r="KAG68" s="2"/>
      <c r="KAH68" s="2"/>
      <c r="KAI68" s="2"/>
      <c r="KAJ68" s="2"/>
      <c r="KAK68" s="2"/>
      <c r="KAL68" s="2"/>
      <c r="KAM68" s="2"/>
      <c r="KAN68" s="2"/>
      <c r="KAO68" s="2"/>
      <c r="KAP68" s="2"/>
      <c r="KAQ68" s="2"/>
      <c r="KAR68" s="2"/>
      <c r="KAS68" s="2"/>
      <c r="KAT68" s="2"/>
      <c r="KAU68" s="2"/>
      <c r="KAV68" s="2"/>
      <c r="KAW68" s="2"/>
      <c r="KAX68" s="2"/>
      <c r="KAY68" s="2"/>
      <c r="KAZ68" s="2"/>
      <c r="KBA68" s="2"/>
      <c r="KBB68" s="2"/>
      <c r="KBC68" s="2"/>
      <c r="KBD68" s="2"/>
      <c r="KBE68" s="2"/>
      <c r="KBF68" s="2"/>
      <c r="KBG68" s="2"/>
      <c r="KBH68" s="2"/>
      <c r="KBI68" s="2"/>
      <c r="KBJ68" s="2"/>
      <c r="KBK68" s="2"/>
      <c r="KBL68" s="2"/>
      <c r="KBM68" s="2"/>
      <c r="KBN68" s="2"/>
      <c r="KBO68" s="2"/>
      <c r="KBP68" s="2"/>
      <c r="KBQ68" s="2"/>
      <c r="KBR68" s="2"/>
      <c r="KBS68" s="2"/>
      <c r="KBT68" s="2"/>
      <c r="KBU68" s="2"/>
      <c r="KBV68" s="2"/>
      <c r="KBW68" s="2"/>
      <c r="KBX68" s="2"/>
      <c r="KBY68" s="2"/>
      <c r="KBZ68" s="2"/>
      <c r="KCA68" s="2"/>
      <c r="KCB68" s="2"/>
      <c r="KCC68" s="2"/>
      <c r="KCD68" s="2"/>
      <c r="KCE68" s="2"/>
      <c r="KCF68" s="2"/>
      <c r="KCG68" s="2"/>
      <c r="KCH68" s="2"/>
      <c r="KCI68" s="2"/>
      <c r="KCJ68" s="2"/>
      <c r="KCK68" s="2"/>
      <c r="KCL68" s="2"/>
      <c r="KCM68" s="2"/>
      <c r="KCN68" s="2"/>
      <c r="KCO68" s="2"/>
      <c r="KCP68" s="2"/>
      <c r="KCQ68" s="2"/>
      <c r="KCR68" s="2"/>
      <c r="KCS68" s="2"/>
      <c r="KCT68" s="2"/>
      <c r="KCU68" s="2"/>
      <c r="KCV68" s="2"/>
      <c r="KCW68" s="2"/>
      <c r="KCX68" s="2"/>
      <c r="KCY68" s="2"/>
      <c r="KCZ68" s="2"/>
      <c r="KDA68" s="2"/>
      <c r="KDB68" s="2"/>
      <c r="KDC68" s="2"/>
      <c r="KDD68" s="2"/>
      <c r="KDE68" s="2"/>
      <c r="KDF68" s="2"/>
      <c r="KDG68" s="2"/>
      <c r="KDH68" s="2"/>
      <c r="KDI68" s="2"/>
      <c r="KDJ68" s="2"/>
      <c r="KDK68" s="2"/>
      <c r="KDL68" s="2"/>
      <c r="KDM68" s="2"/>
      <c r="KDN68" s="2"/>
      <c r="KDO68" s="2"/>
      <c r="KDP68" s="2"/>
      <c r="KDQ68" s="2"/>
      <c r="KDR68" s="2"/>
      <c r="KDS68" s="2"/>
      <c r="KDT68" s="2"/>
      <c r="KDU68" s="2"/>
      <c r="KDV68" s="2"/>
      <c r="KDW68" s="2"/>
      <c r="KDX68" s="2"/>
      <c r="KDY68" s="2"/>
      <c r="KDZ68" s="2"/>
      <c r="KEA68" s="2"/>
      <c r="KEB68" s="2"/>
      <c r="KEC68" s="2"/>
      <c r="KED68" s="2"/>
      <c r="KEE68" s="2"/>
      <c r="KEF68" s="2"/>
      <c r="KEG68" s="2"/>
      <c r="KEH68" s="2"/>
      <c r="KEI68" s="2"/>
      <c r="KEJ68" s="2"/>
      <c r="KEK68" s="2"/>
      <c r="KEL68" s="2"/>
      <c r="KEM68" s="2"/>
      <c r="KEN68" s="2"/>
      <c r="KEO68" s="2"/>
      <c r="KEP68" s="2"/>
      <c r="KEQ68" s="2"/>
      <c r="KER68" s="2"/>
      <c r="KES68" s="2"/>
      <c r="KET68" s="2"/>
      <c r="KEU68" s="2"/>
      <c r="KEV68" s="2"/>
      <c r="KEW68" s="2"/>
      <c r="KEX68" s="2"/>
      <c r="KEY68" s="2"/>
      <c r="KEZ68" s="2"/>
      <c r="KFA68" s="2"/>
      <c r="KFB68" s="2"/>
      <c r="KFC68" s="2"/>
      <c r="KFD68" s="2"/>
      <c r="KFE68" s="2"/>
      <c r="KFF68" s="2"/>
      <c r="KFG68" s="2"/>
      <c r="KFH68" s="2"/>
      <c r="KFI68" s="2"/>
      <c r="KFJ68" s="2"/>
      <c r="KFK68" s="2"/>
      <c r="KFL68" s="2"/>
      <c r="KFM68" s="2"/>
      <c r="KFN68" s="2"/>
      <c r="KFO68" s="2"/>
      <c r="KFP68" s="2"/>
      <c r="KFQ68" s="2"/>
      <c r="KFR68" s="2"/>
      <c r="KFS68" s="2"/>
      <c r="KFT68" s="2"/>
      <c r="KFU68" s="2"/>
      <c r="KFV68" s="2"/>
      <c r="KFW68" s="2"/>
      <c r="KFX68" s="2"/>
      <c r="KFY68" s="2"/>
      <c r="KFZ68" s="2"/>
      <c r="KGA68" s="2"/>
      <c r="KGB68" s="2"/>
      <c r="KGC68" s="2"/>
      <c r="KGD68" s="2"/>
      <c r="KGE68" s="2"/>
      <c r="KGF68" s="2"/>
      <c r="KGG68" s="2"/>
      <c r="KGH68" s="2"/>
      <c r="KGI68" s="2"/>
      <c r="KGJ68" s="2"/>
      <c r="KGK68" s="2"/>
      <c r="KGL68" s="2"/>
      <c r="KGM68" s="2"/>
      <c r="KGN68" s="2"/>
      <c r="KGO68" s="2"/>
      <c r="KGP68" s="2"/>
      <c r="KGQ68" s="2"/>
      <c r="KGR68" s="2"/>
      <c r="KGS68" s="2"/>
      <c r="KGT68" s="2"/>
      <c r="KGU68" s="2"/>
      <c r="KGV68" s="2"/>
      <c r="KGW68" s="2"/>
      <c r="KGX68" s="2"/>
      <c r="KGY68" s="2"/>
      <c r="KGZ68" s="2"/>
      <c r="KHA68" s="2"/>
      <c r="KHB68" s="2"/>
      <c r="KHC68" s="2"/>
      <c r="KHD68" s="2"/>
      <c r="KHE68" s="2"/>
      <c r="KHF68" s="2"/>
      <c r="KHG68" s="2"/>
      <c r="KHH68" s="2"/>
      <c r="KHI68" s="2"/>
      <c r="KHJ68" s="2"/>
      <c r="KHK68" s="2"/>
      <c r="KHL68" s="2"/>
      <c r="KHM68" s="2"/>
      <c r="KHN68" s="2"/>
      <c r="KHO68" s="2"/>
      <c r="KHP68" s="2"/>
      <c r="KHQ68" s="2"/>
      <c r="KHR68" s="2"/>
      <c r="KHS68" s="2"/>
      <c r="KHT68" s="2"/>
      <c r="KHU68" s="2"/>
      <c r="KHV68" s="2"/>
      <c r="KHW68" s="2"/>
      <c r="KHX68" s="2"/>
      <c r="KHY68" s="2"/>
      <c r="KHZ68" s="2"/>
      <c r="KIA68" s="2"/>
      <c r="KIB68" s="2"/>
      <c r="KIC68" s="2"/>
      <c r="KID68" s="2"/>
      <c r="KIE68" s="2"/>
      <c r="KIF68" s="2"/>
      <c r="KIG68" s="2"/>
      <c r="KIH68" s="2"/>
      <c r="KII68" s="2"/>
      <c r="KIJ68" s="2"/>
      <c r="KIK68" s="2"/>
      <c r="KIL68" s="2"/>
      <c r="KIM68" s="2"/>
      <c r="KIN68" s="2"/>
      <c r="KIO68" s="2"/>
      <c r="KIP68" s="2"/>
      <c r="KIQ68" s="2"/>
      <c r="KIR68" s="2"/>
      <c r="KIS68" s="2"/>
      <c r="KIT68" s="2"/>
      <c r="KIU68" s="2"/>
      <c r="KIV68" s="2"/>
      <c r="KIW68" s="2"/>
      <c r="KIX68" s="2"/>
      <c r="KIY68" s="2"/>
      <c r="KIZ68" s="2"/>
      <c r="KJA68" s="2"/>
      <c r="KJB68" s="2"/>
      <c r="KJC68" s="2"/>
      <c r="KJD68" s="2"/>
      <c r="KJE68" s="2"/>
      <c r="KJF68" s="2"/>
      <c r="KJG68" s="2"/>
      <c r="KJH68" s="2"/>
      <c r="KJI68" s="2"/>
      <c r="KJJ68" s="2"/>
      <c r="KJK68" s="2"/>
      <c r="KJL68" s="2"/>
      <c r="KJM68" s="2"/>
      <c r="KJN68" s="2"/>
      <c r="KJO68" s="2"/>
      <c r="KJP68" s="2"/>
      <c r="KJQ68" s="2"/>
      <c r="KJR68" s="2"/>
      <c r="KJS68" s="2"/>
      <c r="KJT68" s="2"/>
      <c r="KJU68" s="2"/>
      <c r="KJV68" s="2"/>
      <c r="KJW68" s="2"/>
      <c r="KJX68" s="2"/>
      <c r="KJY68" s="2"/>
      <c r="KJZ68" s="2"/>
      <c r="KKA68" s="2"/>
      <c r="KKB68" s="2"/>
      <c r="KKC68" s="2"/>
      <c r="KKD68" s="2"/>
      <c r="KKE68" s="2"/>
      <c r="KKF68" s="2"/>
      <c r="KKG68" s="2"/>
      <c r="KKH68" s="2"/>
      <c r="KKI68" s="2"/>
      <c r="KKJ68" s="2"/>
      <c r="KKK68" s="2"/>
      <c r="KKL68" s="2"/>
      <c r="KKM68" s="2"/>
      <c r="KKN68" s="2"/>
      <c r="KKO68" s="2"/>
      <c r="KKP68" s="2"/>
      <c r="KKQ68" s="2"/>
      <c r="KKR68" s="2"/>
      <c r="KKS68" s="2"/>
      <c r="KKT68" s="2"/>
      <c r="KKU68" s="2"/>
      <c r="KKV68" s="2"/>
      <c r="KKW68" s="2"/>
      <c r="KKX68" s="2"/>
      <c r="KKY68" s="2"/>
      <c r="KKZ68" s="2"/>
      <c r="KLA68" s="2"/>
      <c r="KLB68" s="2"/>
      <c r="KLC68" s="2"/>
      <c r="KLD68" s="2"/>
      <c r="KLE68" s="2"/>
      <c r="KLF68" s="2"/>
      <c r="KLG68" s="2"/>
      <c r="KLH68" s="2"/>
      <c r="KLI68" s="2"/>
      <c r="KLJ68" s="2"/>
      <c r="KLK68" s="2"/>
      <c r="KLL68" s="2"/>
      <c r="KLM68" s="2"/>
      <c r="KLN68" s="2"/>
      <c r="KLO68" s="2"/>
      <c r="KLP68" s="2"/>
      <c r="KLQ68" s="2"/>
      <c r="KLR68" s="2"/>
      <c r="KLS68" s="2"/>
      <c r="KLT68" s="2"/>
      <c r="KLU68" s="2"/>
      <c r="KLV68" s="2"/>
      <c r="KLW68" s="2"/>
      <c r="KLX68" s="2"/>
      <c r="KLY68" s="2"/>
      <c r="KLZ68" s="2"/>
      <c r="KMA68" s="2"/>
      <c r="KMB68" s="2"/>
      <c r="KMC68" s="2"/>
      <c r="KMD68" s="2"/>
      <c r="KME68" s="2"/>
      <c r="KMF68" s="2"/>
      <c r="KMG68" s="2"/>
      <c r="KMH68" s="2"/>
      <c r="KMI68" s="2"/>
      <c r="KMJ68" s="2"/>
      <c r="KMK68" s="2"/>
      <c r="KML68" s="2"/>
      <c r="KMM68" s="2"/>
      <c r="KMN68" s="2"/>
      <c r="KMO68" s="2"/>
      <c r="KMP68" s="2"/>
      <c r="KMQ68" s="2"/>
      <c r="KMR68" s="2"/>
      <c r="KMS68" s="2"/>
      <c r="KMT68" s="2"/>
      <c r="KMU68" s="2"/>
      <c r="KMV68" s="2"/>
      <c r="KMW68" s="2"/>
      <c r="KMX68" s="2"/>
      <c r="KMY68" s="2"/>
      <c r="KMZ68" s="2"/>
      <c r="KNA68" s="2"/>
      <c r="KNB68" s="2"/>
      <c r="KNC68" s="2"/>
      <c r="KND68" s="2"/>
      <c r="KNE68" s="2"/>
      <c r="KNF68" s="2"/>
      <c r="KNG68" s="2"/>
      <c r="KNH68" s="2"/>
      <c r="KNI68" s="2"/>
      <c r="KNJ68" s="2"/>
      <c r="KNK68" s="2"/>
      <c r="KNL68" s="2"/>
      <c r="KNM68" s="2"/>
      <c r="KNN68" s="2"/>
      <c r="KNO68" s="2"/>
      <c r="KNP68" s="2"/>
      <c r="KNQ68" s="2"/>
      <c r="KNR68" s="2"/>
      <c r="KNS68" s="2"/>
      <c r="KNT68" s="2"/>
      <c r="KNU68" s="2"/>
      <c r="KNV68" s="2"/>
      <c r="KNW68" s="2"/>
      <c r="KNX68" s="2"/>
      <c r="KNY68" s="2"/>
      <c r="KNZ68" s="2"/>
      <c r="KOA68" s="2"/>
      <c r="KOB68" s="2"/>
      <c r="KOC68" s="2"/>
      <c r="KOD68" s="2"/>
      <c r="KOE68" s="2"/>
      <c r="KOF68" s="2"/>
      <c r="KOG68" s="2"/>
      <c r="KOH68" s="2"/>
      <c r="KOI68" s="2"/>
      <c r="KOJ68" s="2"/>
      <c r="KOK68" s="2"/>
      <c r="KOL68" s="2"/>
      <c r="KOM68" s="2"/>
      <c r="KON68" s="2"/>
      <c r="KOO68" s="2"/>
      <c r="KOP68" s="2"/>
      <c r="KOQ68" s="2"/>
      <c r="KOR68" s="2"/>
      <c r="KOS68" s="2"/>
      <c r="KOT68" s="2"/>
      <c r="KOU68" s="2"/>
      <c r="KOV68" s="2"/>
      <c r="KOW68" s="2"/>
      <c r="KOX68" s="2"/>
      <c r="KOY68" s="2"/>
      <c r="KOZ68" s="2"/>
      <c r="KPA68" s="2"/>
      <c r="KPB68" s="2"/>
      <c r="KPC68" s="2"/>
      <c r="KPD68" s="2"/>
      <c r="KPE68" s="2"/>
      <c r="KPF68" s="2"/>
      <c r="KPG68" s="2"/>
      <c r="KPH68" s="2"/>
      <c r="KPI68" s="2"/>
      <c r="KPJ68" s="2"/>
      <c r="KPK68" s="2"/>
      <c r="KPL68" s="2"/>
      <c r="KPM68" s="2"/>
      <c r="KPN68" s="2"/>
      <c r="KPO68" s="2"/>
      <c r="KPP68" s="2"/>
      <c r="KPQ68" s="2"/>
      <c r="KPR68" s="2"/>
      <c r="KPS68" s="2"/>
      <c r="KPT68" s="2"/>
      <c r="KPU68" s="2"/>
      <c r="KPV68" s="2"/>
      <c r="KPW68" s="2"/>
      <c r="KPX68" s="2"/>
      <c r="KPY68" s="2"/>
      <c r="KPZ68" s="2"/>
      <c r="KQA68" s="2"/>
      <c r="KQB68" s="2"/>
      <c r="KQC68" s="2"/>
      <c r="KQD68" s="2"/>
      <c r="KQE68" s="2"/>
      <c r="KQF68" s="2"/>
      <c r="KQG68" s="2"/>
      <c r="KQH68" s="2"/>
      <c r="KQI68" s="2"/>
      <c r="KQJ68" s="2"/>
      <c r="KQK68" s="2"/>
      <c r="KQL68" s="2"/>
      <c r="KQM68" s="2"/>
      <c r="KQN68" s="2"/>
      <c r="KQO68" s="2"/>
      <c r="KQP68" s="2"/>
      <c r="KQQ68" s="2"/>
      <c r="KQR68" s="2"/>
      <c r="KQS68" s="2"/>
      <c r="KQT68" s="2"/>
      <c r="KQU68" s="2"/>
      <c r="KQV68" s="2"/>
      <c r="KQW68" s="2"/>
      <c r="KQX68" s="2"/>
      <c r="KQY68" s="2"/>
      <c r="KQZ68" s="2"/>
      <c r="KRA68" s="2"/>
      <c r="KRB68" s="2"/>
      <c r="KRC68" s="2"/>
      <c r="KRD68" s="2"/>
      <c r="KRE68" s="2"/>
      <c r="KRF68" s="2"/>
      <c r="KRG68" s="2"/>
      <c r="KRH68" s="2"/>
      <c r="KRI68" s="2"/>
      <c r="KRJ68" s="2"/>
      <c r="KRK68" s="2"/>
      <c r="KRL68" s="2"/>
      <c r="KRM68" s="2"/>
      <c r="KRN68" s="2"/>
      <c r="KRO68" s="2"/>
      <c r="KRP68" s="2"/>
      <c r="KRQ68" s="2"/>
      <c r="KRR68" s="2"/>
      <c r="KRS68" s="2"/>
      <c r="KRT68" s="2"/>
      <c r="KRU68" s="2"/>
      <c r="KRV68" s="2"/>
      <c r="KRW68" s="2"/>
      <c r="KRX68" s="2"/>
      <c r="KRY68" s="2"/>
      <c r="KRZ68" s="2"/>
      <c r="KSA68" s="2"/>
      <c r="KSB68" s="2"/>
      <c r="KSC68" s="2"/>
      <c r="KSD68" s="2"/>
      <c r="KSE68" s="2"/>
      <c r="KSF68" s="2"/>
      <c r="KSG68" s="2"/>
      <c r="KSH68" s="2"/>
      <c r="KSI68" s="2"/>
      <c r="KSJ68" s="2"/>
      <c r="KSK68" s="2"/>
      <c r="KSL68" s="2"/>
      <c r="KSM68" s="2"/>
      <c r="KSN68" s="2"/>
      <c r="KSO68" s="2"/>
      <c r="KSP68" s="2"/>
      <c r="KSQ68" s="2"/>
      <c r="KSR68" s="2"/>
      <c r="KSS68" s="2"/>
      <c r="KST68" s="2"/>
      <c r="KSU68" s="2"/>
      <c r="KSV68" s="2"/>
      <c r="KSW68" s="2"/>
      <c r="KSX68" s="2"/>
      <c r="KSY68" s="2"/>
      <c r="KSZ68" s="2"/>
      <c r="KTA68" s="2"/>
      <c r="KTB68" s="2"/>
      <c r="KTC68" s="2"/>
      <c r="KTD68" s="2"/>
      <c r="KTE68" s="2"/>
      <c r="KTF68" s="2"/>
      <c r="KTG68" s="2"/>
      <c r="KTH68" s="2"/>
      <c r="KTI68" s="2"/>
      <c r="KTJ68" s="2"/>
      <c r="KTK68" s="2"/>
      <c r="KTL68" s="2"/>
      <c r="KTM68" s="2"/>
      <c r="KTN68" s="2"/>
      <c r="KTO68" s="2"/>
      <c r="KTP68" s="2"/>
      <c r="KTQ68" s="2"/>
      <c r="KTR68" s="2"/>
      <c r="KTS68" s="2"/>
      <c r="KTT68" s="2"/>
      <c r="KTU68" s="2"/>
      <c r="KTV68" s="2"/>
      <c r="KTW68" s="2"/>
      <c r="KTX68" s="2"/>
      <c r="KTY68" s="2"/>
      <c r="KTZ68" s="2"/>
      <c r="KUA68" s="2"/>
      <c r="KUB68" s="2"/>
      <c r="KUC68" s="2"/>
      <c r="KUD68" s="2"/>
      <c r="KUE68" s="2"/>
      <c r="KUF68" s="2"/>
      <c r="KUG68" s="2"/>
      <c r="KUH68" s="2"/>
      <c r="KUI68" s="2"/>
      <c r="KUJ68" s="2"/>
      <c r="KUK68" s="2"/>
      <c r="KUL68" s="2"/>
      <c r="KUM68" s="2"/>
      <c r="KUN68" s="2"/>
      <c r="KUO68" s="2"/>
      <c r="KUP68" s="2"/>
      <c r="KUQ68" s="2"/>
      <c r="KUR68" s="2"/>
      <c r="KUS68" s="2"/>
      <c r="KUT68" s="2"/>
      <c r="KUU68" s="2"/>
      <c r="KUV68" s="2"/>
      <c r="KUW68" s="2"/>
      <c r="KUX68" s="2"/>
      <c r="KUY68" s="2"/>
      <c r="KUZ68" s="2"/>
      <c r="KVA68" s="2"/>
      <c r="KVB68" s="2"/>
      <c r="KVC68" s="2"/>
      <c r="KVD68" s="2"/>
      <c r="KVE68" s="2"/>
      <c r="KVF68" s="2"/>
      <c r="KVG68" s="2"/>
      <c r="KVH68" s="2"/>
      <c r="KVI68" s="2"/>
      <c r="KVJ68" s="2"/>
      <c r="KVK68" s="2"/>
      <c r="KVL68" s="2"/>
      <c r="KVM68" s="2"/>
      <c r="KVN68" s="2"/>
      <c r="KVO68" s="2"/>
      <c r="KVP68" s="2"/>
      <c r="KVQ68" s="2"/>
      <c r="KVR68" s="2"/>
      <c r="KVS68" s="2"/>
      <c r="KVT68" s="2"/>
      <c r="KVU68" s="2"/>
      <c r="KVV68" s="2"/>
      <c r="KVW68" s="2"/>
      <c r="KVX68" s="2"/>
      <c r="KVY68" s="2"/>
      <c r="KVZ68" s="2"/>
      <c r="KWA68" s="2"/>
      <c r="KWB68" s="2"/>
      <c r="KWC68" s="2"/>
      <c r="KWD68" s="2"/>
      <c r="KWE68" s="2"/>
      <c r="KWF68" s="2"/>
      <c r="KWG68" s="2"/>
      <c r="KWH68" s="2"/>
      <c r="KWI68" s="2"/>
      <c r="KWJ68" s="2"/>
      <c r="KWK68" s="2"/>
      <c r="KWL68" s="2"/>
      <c r="KWM68" s="2"/>
      <c r="KWN68" s="2"/>
      <c r="KWO68" s="2"/>
      <c r="KWP68" s="2"/>
      <c r="KWQ68" s="2"/>
      <c r="KWR68" s="2"/>
      <c r="KWS68" s="2"/>
      <c r="KWT68" s="2"/>
      <c r="KWU68" s="2"/>
      <c r="KWV68" s="2"/>
      <c r="KWW68" s="2"/>
      <c r="KWX68" s="2"/>
      <c r="KWY68" s="2"/>
      <c r="KWZ68" s="2"/>
      <c r="KXA68" s="2"/>
      <c r="KXB68" s="2"/>
      <c r="KXC68" s="2"/>
      <c r="KXD68" s="2"/>
      <c r="KXE68" s="2"/>
      <c r="KXF68" s="2"/>
      <c r="KXG68" s="2"/>
      <c r="KXH68" s="2"/>
      <c r="KXI68" s="2"/>
      <c r="KXJ68" s="2"/>
      <c r="KXK68" s="2"/>
      <c r="KXL68" s="2"/>
      <c r="KXM68" s="2"/>
      <c r="KXN68" s="2"/>
      <c r="KXO68" s="2"/>
      <c r="KXP68" s="2"/>
      <c r="KXQ68" s="2"/>
      <c r="KXR68" s="2"/>
      <c r="KXS68" s="2"/>
      <c r="KXT68" s="2"/>
      <c r="KXU68" s="2"/>
      <c r="KXV68" s="2"/>
      <c r="KXW68" s="2"/>
      <c r="KXX68" s="2"/>
      <c r="KXY68" s="2"/>
      <c r="KXZ68" s="2"/>
      <c r="KYA68" s="2"/>
      <c r="KYB68" s="2"/>
      <c r="KYC68" s="2"/>
      <c r="KYD68" s="2"/>
      <c r="KYE68" s="2"/>
      <c r="KYF68" s="2"/>
      <c r="KYG68" s="2"/>
      <c r="KYH68" s="2"/>
      <c r="KYI68" s="2"/>
      <c r="KYJ68" s="2"/>
      <c r="KYK68" s="2"/>
      <c r="KYL68" s="2"/>
      <c r="KYM68" s="2"/>
      <c r="KYN68" s="2"/>
      <c r="KYO68" s="2"/>
      <c r="KYP68" s="2"/>
      <c r="KYQ68" s="2"/>
      <c r="KYR68" s="2"/>
      <c r="KYS68" s="2"/>
      <c r="KYT68" s="2"/>
      <c r="KYU68" s="2"/>
      <c r="KYV68" s="2"/>
      <c r="KYW68" s="2"/>
      <c r="KYX68" s="2"/>
      <c r="KYY68" s="2"/>
      <c r="KYZ68" s="2"/>
      <c r="KZA68" s="2"/>
      <c r="KZB68" s="2"/>
      <c r="KZC68" s="2"/>
      <c r="KZD68" s="2"/>
      <c r="KZE68" s="2"/>
      <c r="KZF68" s="2"/>
      <c r="KZG68" s="2"/>
      <c r="KZH68" s="2"/>
      <c r="KZI68" s="2"/>
      <c r="KZJ68" s="2"/>
      <c r="KZK68" s="2"/>
      <c r="KZL68" s="2"/>
      <c r="KZM68" s="2"/>
      <c r="KZN68" s="2"/>
      <c r="KZO68" s="2"/>
      <c r="KZP68" s="2"/>
      <c r="KZQ68" s="2"/>
      <c r="KZR68" s="2"/>
      <c r="KZS68" s="2"/>
      <c r="KZT68" s="2"/>
      <c r="KZU68" s="2"/>
      <c r="KZV68" s="2"/>
      <c r="KZW68" s="2"/>
      <c r="KZX68" s="2"/>
      <c r="KZY68" s="2"/>
      <c r="KZZ68" s="2"/>
      <c r="LAA68" s="2"/>
      <c r="LAB68" s="2"/>
      <c r="LAC68" s="2"/>
      <c r="LAD68" s="2"/>
      <c r="LAE68" s="2"/>
      <c r="LAF68" s="2"/>
      <c r="LAG68" s="2"/>
      <c r="LAH68" s="2"/>
      <c r="LAI68" s="2"/>
      <c r="LAJ68" s="2"/>
      <c r="LAK68" s="2"/>
      <c r="LAL68" s="2"/>
      <c r="LAM68" s="2"/>
      <c r="LAN68" s="2"/>
      <c r="LAO68" s="2"/>
      <c r="LAP68" s="2"/>
      <c r="LAQ68" s="2"/>
      <c r="LAR68" s="2"/>
      <c r="LAS68" s="2"/>
      <c r="LAT68" s="2"/>
      <c r="LAU68" s="2"/>
      <c r="LAV68" s="2"/>
      <c r="LAW68" s="2"/>
      <c r="LAX68" s="2"/>
      <c r="LAY68" s="2"/>
      <c r="LAZ68" s="2"/>
      <c r="LBA68" s="2"/>
      <c r="LBB68" s="2"/>
      <c r="LBC68" s="2"/>
      <c r="LBD68" s="2"/>
      <c r="LBE68" s="2"/>
      <c r="LBF68" s="2"/>
      <c r="LBG68" s="2"/>
      <c r="LBH68" s="2"/>
      <c r="LBI68" s="2"/>
      <c r="LBJ68" s="2"/>
      <c r="LBK68" s="2"/>
      <c r="LBL68" s="2"/>
      <c r="LBM68" s="2"/>
      <c r="LBN68" s="2"/>
      <c r="LBO68" s="2"/>
      <c r="LBP68" s="2"/>
      <c r="LBQ68" s="2"/>
      <c r="LBR68" s="2"/>
      <c r="LBS68" s="2"/>
      <c r="LBT68" s="2"/>
      <c r="LBU68" s="2"/>
      <c r="LBV68" s="2"/>
      <c r="LBW68" s="2"/>
      <c r="LBX68" s="2"/>
      <c r="LBY68" s="2"/>
      <c r="LBZ68" s="2"/>
      <c r="LCA68" s="2"/>
      <c r="LCB68" s="2"/>
      <c r="LCC68" s="2"/>
      <c r="LCD68" s="2"/>
      <c r="LCE68" s="2"/>
      <c r="LCF68" s="2"/>
      <c r="LCG68" s="2"/>
      <c r="LCH68" s="2"/>
      <c r="LCI68" s="2"/>
      <c r="LCJ68" s="2"/>
      <c r="LCK68" s="2"/>
      <c r="LCL68" s="2"/>
      <c r="LCM68" s="2"/>
      <c r="LCN68" s="2"/>
      <c r="LCO68" s="2"/>
      <c r="LCP68" s="2"/>
      <c r="LCQ68" s="2"/>
      <c r="LCR68" s="2"/>
      <c r="LCS68" s="2"/>
      <c r="LCT68" s="2"/>
      <c r="LCU68" s="2"/>
      <c r="LCV68" s="2"/>
      <c r="LCW68" s="2"/>
      <c r="LCX68" s="2"/>
      <c r="LCY68" s="2"/>
      <c r="LCZ68" s="2"/>
      <c r="LDA68" s="2"/>
      <c r="LDB68" s="2"/>
      <c r="LDC68" s="2"/>
      <c r="LDD68" s="2"/>
      <c r="LDE68" s="2"/>
      <c r="LDF68" s="2"/>
      <c r="LDG68" s="2"/>
      <c r="LDH68" s="2"/>
      <c r="LDI68" s="2"/>
      <c r="LDJ68" s="2"/>
      <c r="LDK68" s="2"/>
      <c r="LDL68" s="2"/>
      <c r="LDM68" s="2"/>
      <c r="LDN68" s="2"/>
      <c r="LDO68" s="2"/>
      <c r="LDP68" s="2"/>
      <c r="LDQ68" s="2"/>
      <c r="LDR68" s="2"/>
      <c r="LDS68" s="2"/>
      <c r="LDT68" s="2"/>
      <c r="LDU68" s="2"/>
      <c r="LDV68" s="2"/>
      <c r="LDW68" s="2"/>
      <c r="LDX68" s="2"/>
      <c r="LDY68" s="2"/>
      <c r="LDZ68" s="2"/>
      <c r="LEA68" s="2"/>
      <c r="LEB68" s="2"/>
      <c r="LEC68" s="2"/>
      <c r="LED68" s="2"/>
      <c r="LEE68" s="2"/>
      <c r="LEF68" s="2"/>
      <c r="LEG68" s="2"/>
      <c r="LEH68" s="2"/>
      <c r="LEI68" s="2"/>
      <c r="LEJ68" s="2"/>
      <c r="LEK68" s="2"/>
      <c r="LEL68" s="2"/>
      <c r="LEM68" s="2"/>
      <c r="LEN68" s="2"/>
      <c r="LEO68" s="2"/>
      <c r="LEP68" s="2"/>
      <c r="LEQ68" s="2"/>
      <c r="LER68" s="2"/>
      <c r="LES68" s="2"/>
      <c r="LET68" s="2"/>
      <c r="LEU68" s="2"/>
      <c r="LEV68" s="2"/>
      <c r="LEW68" s="2"/>
      <c r="LEX68" s="2"/>
      <c r="LEY68" s="2"/>
      <c r="LEZ68" s="2"/>
      <c r="LFA68" s="2"/>
      <c r="LFB68" s="2"/>
      <c r="LFC68" s="2"/>
      <c r="LFD68" s="2"/>
      <c r="LFE68" s="2"/>
      <c r="LFF68" s="2"/>
      <c r="LFG68" s="2"/>
      <c r="LFH68" s="2"/>
      <c r="LFI68" s="2"/>
      <c r="LFJ68" s="2"/>
      <c r="LFK68" s="2"/>
      <c r="LFL68" s="2"/>
      <c r="LFM68" s="2"/>
      <c r="LFN68" s="2"/>
      <c r="LFO68" s="2"/>
      <c r="LFP68" s="2"/>
      <c r="LFQ68" s="2"/>
      <c r="LFR68" s="2"/>
      <c r="LFS68" s="2"/>
      <c r="LFT68" s="2"/>
      <c r="LFU68" s="2"/>
      <c r="LFV68" s="2"/>
      <c r="LFW68" s="2"/>
      <c r="LFX68" s="2"/>
      <c r="LFY68" s="2"/>
      <c r="LFZ68" s="2"/>
      <c r="LGA68" s="2"/>
      <c r="LGB68" s="2"/>
      <c r="LGC68" s="2"/>
      <c r="LGD68" s="2"/>
      <c r="LGE68" s="2"/>
      <c r="LGF68" s="2"/>
      <c r="LGG68" s="2"/>
      <c r="LGH68" s="2"/>
      <c r="LGI68" s="2"/>
      <c r="LGJ68" s="2"/>
      <c r="LGK68" s="2"/>
      <c r="LGL68" s="2"/>
      <c r="LGM68" s="2"/>
      <c r="LGN68" s="2"/>
      <c r="LGO68" s="2"/>
      <c r="LGP68" s="2"/>
      <c r="LGQ68" s="2"/>
      <c r="LGR68" s="2"/>
      <c r="LGS68" s="2"/>
      <c r="LGT68" s="2"/>
      <c r="LGU68" s="2"/>
      <c r="LGV68" s="2"/>
      <c r="LGW68" s="2"/>
      <c r="LGX68" s="2"/>
      <c r="LGY68" s="2"/>
      <c r="LGZ68" s="2"/>
      <c r="LHA68" s="2"/>
      <c r="LHB68" s="2"/>
      <c r="LHC68" s="2"/>
      <c r="LHD68" s="2"/>
      <c r="LHE68" s="2"/>
      <c r="LHF68" s="2"/>
      <c r="LHG68" s="2"/>
      <c r="LHH68" s="2"/>
      <c r="LHI68" s="2"/>
      <c r="LHJ68" s="2"/>
      <c r="LHK68" s="2"/>
      <c r="LHL68" s="2"/>
      <c r="LHM68" s="2"/>
      <c r="LHN68" s="2"/>
      <c r="LHO68" s="2"/>
      <c r="LHP68" s="2"/>
      <c r="LHQ68" s="2"/>
      <c r="LHR68" s="2"/>
      <c r="LHS68" s="2"/>
      <c r="LHT68" s="2"/>
      <c r="LHU68" s="2"/>
      <c r="LHV68" s="2"/>
      <c r="LHW68" s="2"/>
      <c r="LHX68" s="2"/>
      <c r="LHY68" s="2"/>
      <c r="LHZ68" s="2"/>
      <c r="LIA68" s="2"/>
      <c r="LIB68" s="2"/>
      <c r="LIC68" s="2"/>
      <c r="LID68" s="2"/>
      <c r="LIE68" s="2"/>
      <c r="LIF68" s="2"/>
      <c r="LIG68" s="2"/>
      <c r="LIH68" s="2"/>
      <c r="LII68" s="2"/>
      <c r="LIJ68" s="2"/>
      <c r="LIK68" s="2"/>
      <c r="LIL68" s="2"/>
      <c r="LIM68" s="2"/>
      <c r="LIN68" s="2"/>
      <c r="LIO68" s="2"/>
      <c r="LIP68" s="2"/>
      <c r="LIQ68" s="2"/>
      <c r="LIR68" s="2"/>
      <c r="LIS68" s="2"/>
      <c r="LIT68" s="2"/>
      <c r="LIU68" s="2"/>
      <c r="LIV68" s="2"/>
      <c r="LIW68" s="2"/>
      <c r="LIX68" s="2"/>
      <c r="LIY68" s="2"/>
      <c r="LIZ68" s="2"/>
      <c r="LJA68" s="2"/>
      <c r="LJB68" s="2"/>
      <c r="LJC68" s="2"/>
      <c r="LJD68" s="2"/>
      <c r="LJE68" s="2"/>
      <c r="LJF68" s="2"/>
      <c r="LJG68" s="2"/>
      <c r="LJH68" s="2"/>
      <c r="LJI68" s="2"/>
      <c r="LJJ68" s="2"/>
      <c r="LJK68" s="2"/>
      <c r="LJL68" s="2"/>
      <c r="LJM68" s="2"/>
      <c r="LJN68" s="2"/>
      <c r="LJO68" s="2"/>
      <c r="LJP68" s="2"/>
      <c r="LJQ68" s="2"/>
      <c r="LJR68" s="2"/>
      <c r="LJS68" s="2"/>
      <c r="LJT68" s="2"/>
      <c r="LJU68" s="2"/>
      <c r="LJV68" s="2"/>
      <c r="LJW68" s="2"/>
      <c r="LJX68" s="2"/>
      <c r="LJY68" s="2"/>
      <c r="LJZ68" s="2"/>
      <c r="LKA68" s="2"/>
      <c r="LKB68" s="2"/>
      <c r="LKC68" s="2"/>
      <c r="LKD68" s="2"/>
      <c r="LKE68" s="2"/>
      <c r="LKF68" s="2"/>
      <c r="LKG68" s="2"/>
      <c r="LKH68" s="2"/>
      <c r="LKI68" s="2"/>
      <c r="LKJ68" s="2"/>
      <c r="LKK68" s="2"/>
      <c r="LKL68" s="2"/>
      <c r="LKM68" s="2"/>
      <c r="LKN68" s="2"/>
      <c r="LKO68" s="2"/>
      <c r="LKP68" s="2"/>
      <c r="LKQ68" s="2"/>
      <c r="LKR68" s="2"/>
      <c r="LKS68" s="2"/>
      <c r="LKT68" s="2"/>
      <c r="LKU68" s="2"/>
      <c r="LKV68" s="2"/>
      <c r="LKW68" s="2"/>
      <c r="LKX68" s="2"/>
      <c r="LKY68" s="2"/>
      <c r="LKZ68" s="2"/>
      <c r="LLA68" s="2"/>
      <c r="LLB68" s="2"/>
      <c r="LLC68" s="2"/>
      <c r="LLD68" s="2"/>
      <c r="LLE68" s="2"/>
      <c r="LLF68" s="2"/>
      <c r="LLG68" s="2"/>
      <c r="LLH68" s="2"/>
      <c r="LLI68" s="2"/>
      <c r="LLJ68" s="2"/>
      <c r="LLK68" s="2"/>
      <c r="LLL68" s="2"/>
      <c r="LLM68" s="2"/>
      <c r="LLN68" s="2"/>
      <c r="LLO68" s="2"/>
      <c r="LLP68" s="2"/>
      <c r="LLQ68" s="2"/>
      <c r="LLR68" s="2"/>
      <c r="LLS68" s="2"/>
      <c r="LLT68" s="2"/>
      <c r="LLU68" s="2"/>
      <c r="LLV68" s="2"/>
      <c r="LLW68" s="2"/>
      <c r="LLX68" s="2"/>
      <c r="LLY68" s="2"/>
      <c r="LLZ68" s="2"/>
      <c r="LMA68" s="2"/>
      <c r="LMB68" s="2"/>
      <c r="LMC68" s="2"/>
      <c r="LMD68" s="2"/>
      <c r="LME68" s="2"/>
      <c r="LMF68" s="2"/>
      <c r="LMG68" s="2"/>
      <c r="LMH68" s="2"/>
      <c r="LMI68" s="2"/>
      <c r="LMJ68" s="2"/>
      <c r="LMK68" s="2"/>
      <c r="LML68" s="2"/>
      <c r="LMM68" s="2"/>
      <c r="LMN68" s="2"/>
      <c r="LMO68" s="2"/>
      <c r="LMP68" s="2"/>
      <c r="LMQ68" s="2"/>
      <c r="LMR68" s="2"/>
      <c r="LMS68" s="2"/>
      <c r="LMT68" s="2"/>
      <c r="LMU68" s="2"/>
      <c r="LMV68" s="2"/>
      <c r="LMW68" s="2"/>
      <c r="LMX68" s="2"/>
      <c r="LMY68" s="2"/>
      <c r="LMZ68" s="2"/>
      <c r="LNA68" s="2"/>
      <c r="LNB68" s="2"/>
      <c r="LNC68" s="2"/>
      <c r="LND68" s="2"/>
      <c r="LNE68" s="2"/>
      <c r="LNF68" s="2"/>
      <c r="LNG68" s="2"/>
      <c r="LNH68" s="2"/>
      <c r="LNI68" s="2"/>
      <c r="LNJ68" s="2"/>
      <c r="LNK68" s="2"/>
      <c r="LNL68" s="2"/>
      <c r="LNM68" s="2"/>
      <c r="LNN68" s="2"/>
      <c r="LNO68" s="2"/>
      <c r="LNP68" s="2"/>
      <c r="LNQ68" s="2"/>
      <c r="LNR68" s="2"/>
      <c r="LNS68" s="2"/>
      <c r="LNT68" s="2"/>
      <c r="LNU68" s="2"/>
      <c r="LNV68" s="2"/>
      <c r="LNW68" s="2"/>
      <c r="LNX68" s="2"/>
      <c r="LNY68" s="2"/>
      <c r="LNZ68" s="2"/>
      <c r="LOA68" s="2"/>
      <c r="LOB68" s="2"/>
      <c r="LOC68" s="2"/>
      <c r="LOD68" s="2"/>
      <c r="LOE68" s="2"/>
      <c r="LOF68" s="2"/>
      <c r="LOG68" s="2"/>
      <c r="LOH68" s="2"/>
      <c r="LOI68" s="2"/>
      <c r="LOJ68" s="2"/>
      <c r="LOK68" s="2"/>
      <c r="LOL68" s="2"/>
      <c r="LOM68" s="2"/>
      <c r="LON68" s="2"/>
      <c r="LOO68" s="2"/>
      <c r="LOP68" s="2"/>
      <c r="LOQ68" s="2"/>
      <c r="LOR68" s="2"/>
      <c r="LOS68" s="2"/>
      <c r="LOT68" s="2"/>
      <c r="LOU68" s="2"/>
      <c r="LOV68" s="2"/>
      <c r="LOW68" s="2"/>
      <c r="LOX68" s="2"/>
      <c r="LOY68" s="2"/>
      <c r="LOZ68" s="2"/>
      <c r="LPA68" s="2"/>
      <c r="LPB68" s="2"/>
      <c r="LPC68" s="2"/>
      <c r="LPD68" s="2"/>
      <c r="LPE68" s="2"/>
      <c r="LPF68" s="2"/>
      <c r="LPG68" s="2"/>
      <c r="LPH68" s="2"/>
      <c r="LPI68" s="2"/>
      <c r="LPJ68" s="2"/>
      <c r="LPK68" s="2"/>
      <c r="LPL68" s="2"/>
      <c r="LPM68" s="2"/>
      <c r="LPN68" s="2"/>
      <c r="LPO68" s="2"/>
      <c r="LPP68" s="2"/>
      <c r="LPQ68" s="2"/>
      <c r="LPR68" s="2"/>
      <c r="LPS68" s="2"/>
      <c r="LPT68" s="2"/>
      <c r="LPU68" s="2"/>
      <c r="LPV68" s="2"/>
      <c r="LPW68" s="2"/>
      <c r="LPX68" s="2"/>
      <c r="LPY68" s="2"/>
      <c r="LPZ68" s="2"/>
      <c r="LQA68" s="2"/>
      <c r="LQB68" s="2"/>
      <c r="LQC68" s="2"/>
      <c r="LQD68" s="2"/>
      <c r="LQE68" s="2"/>
      <c r="LQF68" s="2"/>
      <c r="LQG68" s="2"/>
      <c r="LQH68" s="2"/>
      <c r="LQI68" s="2"/>
      <c r="LQJ68" s="2"/>
      <c r="LQK68" s="2"/>
      <c r="LQL68" s="2"/>
      <c r="LQM68" s="2"/>
      <c r="LQN68" s="2"/>
      <c r="LQO68" s="2"/>
      <c r="LQP68" s="2"/>
      <c r="LQQ68" s="2"/>
      <c r="LQR68" s="2"/>
      <c r="LQS68" s="2"/>
      <c r="LQT68" s="2"/>
      <c r="LQU68" s="2"/>
      <c r="LQV68" s="2"/>
      <c r="LQW68" s="2"/>
      <c r="LQX68" s="2"/>
      <c r="LQY68" s="2"/>
      <c r="LQZ68" s="2"/>
      <c r="LRA68" s="2"/>
      <c r="LRB68" s="2"/>
      <c r="LRC68" s="2"/>
      <c r="LRD68" s="2"/>
      <c r="LRE68" s="2"/>
      <c r="LRF68" s="2"/>
      <c r="LRG68" s="2"/>
      <c r="LRH68" s="2"/>
      <c r="LRI68" s="2"/>
      <c r="LRJ68" s="2"/>
      <c r="LRK68" s="2"/>
      <c r="LRL68" s="2"/>
      <c r="LRM68" s="2"/>
      <c r="LRN68" s="2"/>
      <c r="LRO68" s="2"/>
      <c r="LRP68" s="2"/>
      <c r="LRQ68" s="2"/>
      <c r="LRR68" s="2"/>
      <c r="LRS68" s="2"/>
      <c r="LRT68" s="2"/>
      <c r="LRU68" s="2"/>
      <c r="LRV68" s="2"/>
      <c r="LRW68" s="2"/>
      <c r="LRX68" s="2"/>
      <c r="LRY68" s="2"/>
      <c r="LRZ68" s="2"/>
      <c r="LSA68" s="2"/>
      <c r="LSB68" s="2"/>
      <c r="LSC68" s="2"/>
      <c r="LSD68" s="2"/>
      <c r="LSE68" s="2"/>
      <c r="LSF68" s="2"/>
      <c r="LSG68" s="2"/>
      <c r="LSH68" s="2"/>
      <c r="LSI68" s="2"/>
      <c r="LSJ68" s="2"/>
      <c r="LSK68" s="2"/>
      <c r="LSL68" s="2"/>
      <c r="LSM68" s="2"/>
      <c r="LSN68" s="2"/>
      <c r="LSO68" s="2"/>
      <c r="LSP68" s="2"/>
      <c r="LSQ68" s="2"/>
      <c r="LSR68" s="2"/>
      <c r="LSS68" s="2"/>
      <c r="LST68" s="2"/>
      <c r="LSU68" s="2"/>
      <c r="LSV68" s="2"/>
      <c r="LSW68" s="2"/>
      <c r="LSX68" s="2"/>
      <c r="LSY68" s="2"/>
      <c r="LSZ68" s="2"/>
      <c r="LTA68" s="2"/>
      <c r="LTB68" s="2"/>
      <c r="LTC68" s="2"/>
      <c r="LTD68" s="2"/>
      <c r="LTE68" s="2"/>
      <c r="LTF68" s="2"/>
      <c r="LTG68" s="2"/>
      <c r="LTH68" s="2"/>
      <c r="LTI68" s="2"/>
      <c r="LTJ68" s="2"/>
      <c r="LTK68" s="2"/>
      <c r="LTL68" s="2"/>
      <c r="LTM68" s="2"/>
      <c r="LTN68" s="2"/>
      <c r="LTO68" s="2"/>
      <c r="LTP68" s="2"/>
      <c r="LTQ68" s="2"/>
      <c r="LTR68" s="2"/>
      <c r="LTS68" s="2"/>
      <c r="LTT68" s="2"/>
      <c r="LTU68" s="2"/>
      <c r="LTV68" s="2"/>
      <c r="LTW68" s="2"/>
      <c r="LTX68" s="2"/>
      <c r="LTY68" s="2"/>
      <c r="LTZ68" s="2"/>
      <c r="LUA68" s="2"/>
      <c r="LUB68" s="2"/>
      <c r="LUC68" s="2"/>
      <c r="LUD68" s="2"/>
      <c r="LUE68" s="2"/>
      <c r="LUF68" s="2"/>
      <c r="LUG68" s="2"/>
      <c r="LUH68" s="2"/>
      <c r="LUI68" s="2"/>
      <c r="LUJ68" s="2"/>
      <c r="LUK68" s="2"/>
      <c r="LUL68" s="2"/>
      <c r="LUM68" s="2"/>
      <c r="LUN68" s="2"/>
      <c r="LUO68" s="2"/>
      <c r="LUP68" s="2"/>
      <c r="LUQ68" s="2"/>
      <c r="LUR68" s="2"/>
      <c r="LUS68" s="2"/>
      <c r="LUT68" s="2"/>
      <c r="LUU68" s="2"/>
      <c r="LUV68" s="2"/>
      <c r="LUW68" s="2"/>
      <c r="LUX68" s="2"/>
      <c r="LUY68" s="2"/>
      <c r="LUZ68" s="2"/>
      <c r="LVA68" s="2"/>
      <c r="LVB68" s="2"/>
      <c r="LVC68" s="2"/>
      <c r="LVD68" s="2"/>
      <c r="LVE68" s="2"/>
      <c r="LVF68" s="2"/>
      <c r="LVG68" s="2"/>
      <c r="LVH68" s="2"/>
      <c r="LVI68" s="2"/>
      <c r="LVJ68" s="2"/>
      <c r="LVK68" s="2"/>
      <c r="LVL68" s="2"/>
      <c r="LVM68" s="2"/>
      <c r="LVN68" s="2"/>
      <c r="LVO68" s="2"/>
      <c r="LVP68" s="2"/>
      <c r="LVQ68" s="2"/>
      <c r="LVR68" s="2"/>
      <c r="LVS68" s="2"/>
      <c r="LVT68" s="2"/>
      <c r="LVU68" s="2"/>
      <c r="LVV68" s="2"/>
      <c r="LVW68" s="2"/>
      <c r="LVX68" s="2"/>
      <c r="LVY68" s="2"/>
      <c r="LVZ68" s="2"/>
      <c r="LWA68" s="2"/>
      <c r="LWB68" s="2"/>
      <c r="LWC68" s="2"/>
      <c r="LWD68" s="2"/>
      <c r="LWE68" s="2"/>
      <c r="LWF68" s="2"/>
      <c r="LWG68" s="2"/>
      <c r="LWH68" s="2"/>
      <c r="LWI68" s="2"/>
      <c r="LWJ68" s="2"/>
      <c r="LWK68" s="2"/>
      <c r="LWL68" s="2"/>
      <c r="LWM68" s="2"/>
      <c r="LWN68" s="2"/>
      <c r="LWO68" s="2"/>
      <c r="LWP68" s="2"/>
      <c r="LWQ68" s="2"/>
      <c r="LWR68" s="2"/>
      <c r="LWS68" s="2"/>
      <c r="LWT68" s="2"/>
      <c r="LWU68" s="2"/>
      <c r="LWV68" s="2"/>
      <c r="LWW68" s="2"/>
      <c r="LWX68" s="2"/>
      <c r="LWY68" s="2"/>
      <c r="LWZ68" s="2"/>
      <c r="LXA68" s="2"/>
      <c r="LXB68" s="2"/>
      <c r="LXC68" s="2"/>
      <c r="LXD68" s="2"/>
      <c r="LXE68" s="2"/>
      <c r="LXF68" s="2"/>
      <c r="LXG68" s="2"/>
      <c r="LXH68" s="2"/>
      <c r="LXI68" s="2"/>
      <c r="LXJ68" s="2"/>
      <c r="LXK68" s="2"/>
      <c r="LXL68" s="2"/>
      <c r="LXM68" s="2"/>
      <c r="LXN68" s="2"/>
      <c r="LXO68" s="2"/>
      <c r="LXP68" s="2"/>
      <c r="LXQ68" s="2"/>
      <c r="LXR68" s="2"/>
      <c r="LXS68" s="2"/>
      <c r="LXT68" s="2"/>
      <c r="LXU68" s="2"/>
      <c r="LXV68" s="2"/>
      <c r="LXW68" s="2"/>
      <c r="LXX68" s="2"/>
      <c r="LXY68" s="2"/>
      <c r="LXZ68" s="2"/>
      <c r="LYA68" s="2"/>
      <c r="LYB68" s="2"/>
      <c r="LYC68" s="2"/>
      <c r="LYD68" s="2"/>
      <c r="LYE68" s="2"/>
      <c r="LYF68" s="2"/>
      <c r="LYG68" s="2"/>
      <c r="LYH68" s="2"/>
      <c r="LYI68" s="2"/>
      <c r="LYJ68" s="2"/>
      <c r="LYK68" s="2"/>
      <c r="LYL68" s="2"/>
      <c r="LYM68" s="2"/>
      <c r="LYN68" s="2"/>
      <c r="LYO68" s="2"/>
      <c r="LYP68" s="2"/>
      <c r="LYQ68" s="2"/>
      <c r="LYR68" s="2"/>
      <c r="LYS68" s="2"/>
      <c r="LYT68" s="2"/>
      <c r="LYU68" s="2"/>
      <c r="LYV68" s="2"/>
      <c r="LYW68" s="2"/>
      <c r="LYX68" s="2"/>
      <c r="LYY68" s="2"/>
      <c r="LYZ68" s="2"/>
      <c r="LZA68" s="2"/>
      <c r="LZB68" s="2"/>
      <c r="LZC68" s="2"/>
      <c r="LZD68" s="2"/>
      <c r="LZE68" s="2"/>
      <c r="LZF68" s="2"/>
      <c r="LZG68" s="2"/>
      <c r="LZH68" s="2"/>
      <c r="LZI68" s="2"/>
      <c r="LZJ68" s="2"/>
      <c r="LZK68" s="2"/>
      <c r="LZL68" s="2"/>
      <c r="LZM68" s="2"/>
      <c r="LZN68" s="2"/>
      <c r="LZO68" s="2"/>
      <c r="LZP68" s="2"/>
      <c r="LZQ68" s="2"/>
      <c r="LZR68" s="2"/>
      <c r="LZS68" s="2"/>
      <c r="LZT68" s="2"/>
      <c r="LZU68" s="2"/>
      <c r="LZV68" s="2"/>
      <c r="LZW68" s="2"/>
      <c r="LZX68" s="2"/>
      <c r="LZY68" s="2"/>
      <c r="LZZ68" s="2"/>
      <c r="MAA68" s="2"/>
      <c r="MAB68" s="2"/>
      <c r="MAC68" s="2"/>
      <c r="MAD68" s="2"/>
      <c r="MAE68" s="2"/>
      <c r="MAF68" s="2"/>
      <c r="MAG68" s="2"/>
      <c r="MAH68" s="2"/>
      <c r="MAI68" s="2"/>
      <c r="MAJ68" s="2"/>
      <c r="MAK68" s="2"/>
      <c r="MAL68" s="2"/>
      <c r="MAM68" s="2"/>
      <c r="MAN68" s="2"/>
      <c r="MAO68" s="2"/>
      <c r="MAP68" s="2"/>
      <c r="MAQ68" s="2"/>
      <c r="MAR68" s="2"/>
      <c r="MAS68" s="2"/>
      <c r="MAT68" s="2"/>
      <c r="MAU68" s="2"/>
      <c r="MAV68" s="2"/>
      <c r="MAW68" s="2"/>
      <c r="MAX68" s="2"/>
      <c r="MAY68" s="2"/>
      <c r="MAZ68" s="2"/>
      <c r="MBA68" s="2"/>
      <c r="MBB68" s="2"/>
      <c r="MBC68" s="2"/>
      <c r="MBD68" s="2"/>
      <c r="MBE68" s="2"/>
      <c r="MBF68" s="2"/>
      <c r="MBG68" s="2"/>
      <c r="MBH68" s="2"/>
      <c r="MBI68" s="2"/>
      <c r="MBJ68" s="2"/>
      <c r="MBK68" s="2"/>
      <c r="MBL68" s="2"/>
      <c r="MBM68" s="2"/>
      <c r="MBN68" s="2"/>
      <c r="MBO68" s="2"/>
      <c r="MBP68" s="2"/>
      <c r="MBQ68" s="2"/>
      <c r="MBR68" s="2"/>
      <c r="MBS68" s="2"/>
      <c r="MBT68" s="2"/>
      <c r="MBU68" s="2"/>
      <c r="MBV68" s="2"/>
      <c r="MBW68" s="2"/>
      <c r="MBX68" s="2"/>
      <c r="MBY68" s="2"/>
      <c r="MBZ68" s="2"/>
      <c r="MCA68" s="2"/>
      <c r="MCB68" s="2"/>
      <c r="MCC68" s="2"/>
      <c r="MCD68" s="2"/>
      <c r="MCE68" s="2"/>
      <c r="MCF68" s="2"/>
      <c r="MCG68" s="2"/>
      <c r="MCH68" s="2"/>
      <c r="MCI68" s="2"/>
      <c r="MCJ68" s="2"/>
      <c r="MCK68" s="2"/>
      <c r="MCL68" s="2"/>
      <c r="MCM68" s="2"/>
      <c r="MCN68" s="2"/>
      <c r="MCO68" s="2"/>
      <c r="MCP68" s="2"/>
      <c r="MCQ68" s="2"/>
      <c r="MCR68" s="2"/>
      <c r="MCS68" s="2"/>
      <c r="MCT68" s="2"/>
      <c r="MCU68" s="2"/>
      <c r="MCV68" s="2"/>
      <c r="MCW68" s="2"/>
      <c r="MCX68" s="2"/>
      <c r="MCY68" s="2"/>
      <c r="MCZ68" s="2"/>
      <c r="MDA68" s="2"/>
      <c r="MDB68" s="2"/>
      <c r="MDC68" s="2"/>
      <c r="MDD68" s="2"/>
      <c r="MDE68" s="2"/>
      <c r="MDF68" s="2"/>
      <c r="MDG68" s="2"/>
      <c r="MDH68" s="2"/>
      <c r="MDI68" s="2"/>
      <c r="MDJ68" s="2"/>
      <c r="MDK68" s="2"/>
      <c r="MDL68" s="2"/>
      <c r="MDM68" s="2"/>
      <c r="MDN68" s="2"/>
      <c r="MDO68" s="2"/>
      <c r="MDP68" s="2"/>
      <c r="MDQ68" s="2"/>
      <c r="MDR68" s="2"/>
      <c r="MDS68" s="2"/>
      <c r="MDT68" s="2"/>
      <c r="MDU68" s="2"/>
      <c r="MDV68" s="2"/>
      <c r="MDW68" s="2"/>
      <c r="MDX68" s="2"/>
      <c r="MDY68" s="2"/>
      <c r="MDZ68" s="2"/>
      <c r="MEA68" s="2"/>
      <c r="MEB68" s="2"/>
      <c r="MEC68" s="2"/>
      <c r="MED68" s="2"/>
      <c r="MEE68" s="2"/>
      <c r="MEF68" s="2"/>
      <c r="MEG68" s="2"/>
      <c r="MEH68" s="2"/>
      <c r="MEI68" s="2"/>
      <c r="MEJ68" s="2"/>
      <c r="MEK68" s="2"/>
      <c r="MEL68" s="2"/>
      <c r="MEM68" s="2"/>
      <c r="MEN68" s="2"/>
      <c r="MEO68" s="2"/>
      <c r="MEP68" s="2"/>
      <c r="MEQ68" s="2"/>
      <c r="MER68" s="2"/>
      <c r="MES68" s="2"/>
      <c r="MET68" s="2"/>
      <c r="MEU68" s="2"/>
      <c r="MEV68" s="2"/>
      <c r="MEW68" s="2"/>
      <c r="MEX68" s="2"/>
      <c r="MEY68" s="2"/>
      <c r="MEZ68" s="2"/>
      <c r="MFA68" s="2"/>
      <c r="MFB68" s="2"/>
      <c r="MFC68" s="2"/>
      <c r="MFD68" s="2"/>
      <c r="MFE68" s="2"/>
      <c r="MFF68" s="2"/>
      <c r="MFG68" s="2"/>
      <c r="MFH68" s="2"/>
      <c r="MFI68" s="2"/>
      <c r="MFJ68" s="2"/>
      <c r="MFK68" s="2"/>
      <c r="MFL68" s="2"/>
      <c r="MFM68" s="2"/>
      <c r="MFN68" s="2"/>
      <c r="MFO68" s="2"/>
      <c r="MFP68" s="2"/>
      <c r="MFQ68" s="2"/>
      <c r="MFR68" s="2"/>
      <c r="MFS68" s="2"/>
      <c r="MFT68" s="2"/>
      <c r="MFU68" s="2"/>
      <c r="MFV68" s="2"/>
      <c r="MFW68" s="2"/>
      <c r="MFX68" s="2"/>
      <c r="MFY68" s="2"/>
      <c r="MFZ68" s="2"/>
      <c r="MGA68" s="2"/>
      <c r="MGB68" s="2"/>
      <c r="MGC68" s="2"/>
      <c r="MGD68" s="2"/>
      <c r="MGE68" s="2"/>
      <c r="MGF68" s="2"/>
      <c r="MGG68" s="2"/>
      <c r="MGH68" s="2"/>
      <c r="MGI68" s="2"/>
      <c r="MGJ68" s="2"/>
      <c r="MGK68" s="2"/>
      <c r="MGL68" s="2"/>
      <c r="MGM68" s="2"/>
      <c r="MGN68" s="2"/>
      <c r="MGO68" s="2"/>
      <c r="MGP68" s="2"/>
      <c r="MGQ68" s="2"/>
      <c r="MGR68" s="2"/>
      <c r="MGS68" s="2"/>
      <c r="MGT68" s="2"/>
      <c r="MGU68" s="2"/>
      <c r="MGV68" s="2"/>
      <c r="MGW68" s="2"/>
      <c r="MGX68" s="2"/>
      <c r="MGY68" s="2"/>
      <c r="MGZ68" s="2"/>
      <c r="MHA68" s="2"/>
      <c r="MHB68" s="2"/>
      <c r="MHC68" s="2"/>
      <c r="MHD68" s="2"/>
      <c r="MHE68" s="2"/>
      <c r="MHF68" s="2"/>
      <c r="MHG68" s="2"/>
      <c r="MHH68" s="2"/>
      <c r="MHI68" s="2"/>
      <c r="MHJ68" s="2"/>
      <c r="MHK68" s="2"/>
      <c r="MHL68" s="2"/>
      <c r="MHM68" s="2"/>
      <c r="MHN68" s="2"/>
      <c r="MHO68" s="2"/>
      <c r="MHP68" s="2"/>
      <c r="MHQ68" s="2"/>
      <c r="MHR68" s="2"/>
      <c r="MHS68" s="2"/>
      <c r="MHT68" s="2"/>
      <c r="MHU68" s="2"/>
      <c r="MHV68" s="2"/>
      <c r="MHW68" s="2"/>
      <c r="MHX68" s="2"/>
      <c r="MHY68" s="2"/>
      <c r="MHZ68" s="2"/>
      <c r="MIA68" s="2"/>
      <c r="MIB68" s="2"/>
      <c r="MIC68" s="2"/>
      <c r="MID68" s="2"/>
      <c r="MIE68" s="2"/>
      <c r="MIF68" s="2"/>
      <c r="MIG68" s="2"/>
      <c r="MIH68" s="2"/>
      <c r="MII68" s="2"/>
      <c r="MIJ68" s="2"/>
      <c r="MIK68" s="2"/>
      <c r="MIL68" s="2"/>
      <c r="MIM68" s="2"/>
      <c r="MIN68" s="2"/>
      <c r="MIO68" s="2"/>
      <c r="MIP68" s="2"/>
      <c r="MIQ68" s="2"/>
      <c r="MIR68" s="2"/>
      <c r="MIS68" s="2"/>
      <c r="MIT68" s="2"/>
      <c r="MIU68" s="2"/>
      <c r="MIV68" s="2"/>
      <c r="MIW68" s="2"/>
      <c r="MIX68" s="2"/>
      <c r="MIY68" s="2"/>
      <c r="MIZ68" s="2"/>
      <c r="MJA68" s="2"/>
      <c r="MJB68" s="2"/>
      <c r="MJC68" s="2"/>
      <c r="MJD68" s="2"/>
      <c r="MJE68" s="2"/>
      <c r="MJF68" s="2"/>
      <c r="MJG68" s="2"/>
      <c r="MJH68" s="2"/>
      <c r="MJI68" s="2"/>
      <c r="MJJ68" s="2"/>
      <c r="MJK68" s="2"/>
      <c r="MJL68" s="2"/>
      <c r="MJM68" s="2"/>
      <c r="MJN68" s="2"/>
      <c r="MJO68" s="2"/>
      <c r="MJP68" s="2"/>
      <c r="MJQ68" s="2"/>
      <c r="MJR68" s="2"/>
      <c r="MJS68" s="2"/>
      <c r="MJT68" s="2"/>
      <c r="MJU68" s="2"/>
      <c r="MJV68" s="2"/>
      <c r="MJW68" s="2"/>
      <c r="MJX68" s="2"/>
      <c r="MJY68" s="2"/>
      <c r="MJZ68" s="2"/>
      <c r="MKA68" s="2"/>
      <c r="MKB68" s="2"/>
      <c r="MKC68" s="2"/>
      <c r="MKD68" s="2"/>
      <c r="MKE68" s="2"/>
      <c r="MKF68" s="2"/>
      <c r="MKG68" s="2"/>
      <c r="MKH68" s="2"/>
      <c r="MKI68" s="2"/>
      <c r="MKJ68" s="2"/>
      <c r="MKK68" s="2"/>
      <c r="MKL68" s="2"/>
      <c r="MKM68" s="2"/>
      <c r="MKN68" s="2"/>
      <c r="MKO68" s="2"/>
      <c r="MKP68" s="2"/>
      <c r="MKQ68" s="2"/>
      <c r="MKR68" s="2"/>
      <c r="MKS68" s="2"/>
      <c r="MKT68" s="2"/>
      <c r="MKU68" s="2"/>
      <c r="MKV68" s="2"/>
      <c r="MKW68" s="2"/>
      <c r="MKX68" s="2"/>
      <c r="MKY68" s="2"/>
      <c r="MKZ68" s="2"/>
      <c r="MLA68" s="2"/>
      <c r="MLB68" s="2"/>
      <c r="MLC68" s="2"/>
      <c r="MLD68" s="2"/>
      <c r="MLE68" s="2"/>
      <c r="MLF68" s="2"/>
      <c r="MLG68" s="2"/>
      <c r="MLH68" s="2"/>
      <c r="MLI68" s="2"/>
      <c r="MLJ68" s="2"/>
      <c r="MLK68" s="2"/>
      <c r="MLL68" s="2"/>
      <c r="MLM68" s="2"/>
      <c r="MLN68" s="2"/>
      <c r="MLO68" s="2"/>
      <c r="MLP68" s="2"/>
      <c r="MLQ68" s="2"/>
      <c r="MLR68" s="2"/>
      <c r="MLS68" s="2"/>
      <c r="MLT68" s="2"/>
      <c r="MLU68" s="2"/>
      <c r="MLV68" s="2"/>
      <c r="MLW68" s="2"/>
      <c r="MLX68" s="2"/>
      <c r="MLY68" s="2"/>
      <c r="MLZ68" s="2"/>
      <c r="MMA68" s="2"/>
      <c r="MMB68" s="2"/>
      <c r="MMC68" s="2"/>
      <c r="MMD68" s="2"/>
      <c r="MME68" s="2"/>
      <c r="MMF68" s="2"/>
      <c r="MMG68" s="2"/>
      <c r="MMH68" s="2"/>
      <c r="MMI68" s="2"/>
      <c r="MMJ68" s="2"/>
      <c r="MMK68" s="2"/>
      <c r="MML68" s="2"/>
      <c r="MMM68" s="2"/>
      <c r="MMN68" s="2"/>
      <c r="MMO68" s="2"/>
      <c r="MMP68" s="2"/>
      <c r="MMQ68" s="2"/>
      <c r="MMR68" s="2"/>
      <c r="MMS68" s="2"/>
      <c r="MMT68" s="2"/>
      <c r="MMU68" s="2"/>
      <c r="MMV68" s="2"/>
      <c r="MMW68" s="2"/>
      <c r="MMX68" s="2"/>
      <c r="MMY68" s="2"/>
      <c r="MMZ68" s="2"/>
      <c r="MNA68" s="2"/>
      <c r="MNB68" s="2"/>
      <c r="MNC68" s="2"/>
      <c r="MND68" s="2"/>
      <c r="MNE68" s="2"/>
      <c r="MNF68" s="2"/>
      <c r="MNG68" s="2"/>
      <c r="MNH68" s="2"/>
      <c r="MNI68" s="2"/>
      <c r="MNJ68" s="2"/>
      <c r="MNK68" s="2"/>
      <c r="MNL68" s="2"/>
      <c r="MNM68" s="2"/>
      <c r="MNN68" s="2"/>
      <c r="MNO68" s="2"/>
      <c r="MNP68" s="2"/>
      <c r="MNQ68" s="2"/>
      <c r="MNR68" s="2"/>
      <c r="MNS68" s="2"/>
      <c r="MNT68" s="2"/>
      <c r="MNU68" s="2"/>
      <c r="MNV68" s="2"/>
      <c r="MNW68" s="2"/>
      <c r="MNX68" s="2"/>
      <c r="MNY68" s="2"/>
      <c r="MNZ68" s="2"/>
      <c r="MOA68" s="2"/>
      <c r="MOB68" s="2"/>
      <c r="MOC68" s="2"/>
      <c r="MOD68" s="2"/>
      <c r="MOE68" s="2"/>
      <c r="MOF68" s="2"/>
      <c r="MOG68" s="2"/>
      <c r="MOH68" s="2"/>
      <c r="MOI68" s="2"/>
      <c r="MOJ68" s="2"/>
      <c r="MOK68" s="2"/>
      <c r="MOL68" s="2"/>
      <c r="MOM68" s="2"/>
      <c r="MON68" s="2"/>
      <c r="MOO68" s="2"/>
      <c r="MOP68" s="2"/>
      <c r="MOQ68" s="2"/>
      <c r="MOR68" s="2"/>
      <c r="MOS68" s="2"/>
      <c r="MOT68" s="2"/>
      <c r="MOU68" s="2"/>
      <c r="MOV68" s="2"/>
      <c r="MOW68" s="2"/>
      <c r="MOX68" s="2"/>
      <c r="MOY68" s="2"/>
      <c r="MOZ68" s="2"/>
      <c r="MPA68" s="2"/>
      <c r="MPB68" s="2"/>
      <c r="MPC68" s="2"/>
      <c r="MPD68" s="2"/>
      <c r="MPE68" s="2"/>
      <c r="MPF68" s="2"/>
      <c r="MPG68" s="2"/>
      <c r="MPH68" s="2"/>
      <c r="MPI68" s="2"/>
      <c r="MPJ68" s="2"/>
      <c r="MPK68" s="2"/>
      <c r="MPL68" s="2"/>
      <c r="MPM68" s="2"/>
      <c r="MPN68" s="2"/>
      <c r="MPO68" s="2"/>
      <c r="MPP68" s="2"/>
      <c r="MPQ68" s="2"/>
      <c r="MPR68" s="2"/>
      <c r="MPS68" s="2"/>
      <c r="MPT68" s="2"/>
      <c r="MPU68" s="2"/>
      <c r="MPV68" s="2"/>
      <c r="MPW68" s="2"/>
      <c r="MPX68" s="2"/>
      <c r="MPY68" s="2"/>
      <c r="MPZ68" s="2"/>
      <c r="MQA68" s="2"/>
      <c r="MQB68" s="2"/>
      <c r="MQC68" s="2"/>
      <c r="MQD68" s="2"/>
      <c r="MQE68" s="2"/>
      <c r="MQF68" s="2"/>
      <c r="MQG68" s="2"/>
      <c r="MQH68" s="2"/>
      <c r="MQI68" s="2"/>
      <c r="MQJ68" s="2"/>
      <c r="MQK68" s="2"/>
      <c r="MQL68" s="2"/>
      <c r="MQM68" s="2"/>
      <c r="MQN68" s="2"/>
      <c r="MQO68" s="2"/>
      <c r="MQP68" s="2"/>
      <c r="MQQ68" s="2"/>
      <c r="MQR68" s="2"/>
      <c r="MQS68" s="2"/>
      <c r="MQT68" s="2"/>
      <c r="MQU68" s="2"/>
      <c r="MQV68" s="2"/>
      <c r="MQW68" s="2"/>
      <c r="MQX68" s="2"/>
      <c r="MQY68" s="2"/>
      <c r="MQZ68" s="2"/>
      <c r="MRA68" s="2"/>
      <c r="MRB68" s="2"/>
      <c r="MRC68" s="2"/>
      <c r="MRD68" s="2"/>
      <c r="MRE68" s="2"/>
      <c r="MRF68" s="2"/>
      <c r="MRG68" s="2"/>
      <c r="MRH68" s="2"/>
      <c r="MRI68" s="2"/>
      <c r="MRJ68" s="2"/>
      <c r="MRK68" s="2"/>
      <c r="MRL68" s="2"/>
      <c r="MRM68" s="2"/>
      <c r="MRN68" s="2"/>
      <c r="MRO68" s="2"/>
      <c r="MRP68" s="2"/>
      <c r="MRQ68" s="2"/>
      <c r="MRR68" s="2"/>
      <c r="MRS68" s="2"/>
      <c r="MRT68" s="2"/>
      <c r="MRU68" s="2"/>
      <c r="MRV68" s="2"/>
      <c r="MRW68" s="2"/>
      <c r="MRX68" s="2"/>
      <c r="MRY68" s="2"/>
      <c r="MRZ68" s="2"/>
      <c r="MSA68" s="2"/>
      <c r="MSB68" s="2"/>
      <c r="MSC68" s="2"/>
      <c r="MSD68" s="2"/>
      <c r="MSE68" s="2"/>
      <c r="MSF68" s="2"/>
      <c r="MSG68" s="2"/>
      <c r="MSH68" s="2"/>
      <c r="MSI68" s="2"/>
      <c r="MSJ68" s="2"/>
      <c r="MSK68" s="2"/>
      <c r="MSL68" s="2"/>
      <c r="MSM68" s="2"/>
      <c r="MSN68" s="2"/>
      <c r="MSO68" s="2"/>
      <c r="MSP68" s="2"/>
      <c r="MSQ68" s="2"/>
      <c r="MSR68" s="2"/>
      <c r="MSS68" s="2"/>
      <c r="MST68" s="2"/>
      <c r="MSU68" s="2"/>
      <c r="MSV68" s="2"/>
      <c r="MSW68" s="2"/>
      <c r="MSX68" s="2"/>
      <c r="MSY68" s="2"/>
      <c r="MSZ68" s="2"/>
      <c r="MTA68" s="2"/>
      <c r="MTB68" s="2"/>
      <c r="MTC68" s="2"/>
      <c r="MTD68" s="2"/>
      <c r="MTE68" s="2"/>
      <c r="MTF68" s="2"/>
      <c r="MTG68" s="2"/>
      <c r="MTH68" s="2"/>
      <c r="MTI68" s="2"/>
      <c r="MTJ68" s="2"/>
      <c r="MTK68" s="2"/>
      <c r="MTL68" s="2"/>
      <c r="MTM68" s="2"/>
      <c r="MTN68" s="2"/>
      <c r="MTO68" s="2"/>
      <c r="MTP68" s="2"/>
      <c r="MTQ68" s="2"/>
      <c r="MTR68" s="2"/>
      <c r="MTS68" s="2"/>
      <c r="MTT68" s="2"/>
      <c r="MTU68" s="2"/>
      <c r="MTV68" s="2"/>
      <c r="MTW68" s="2"/>
      <c r="MTX68" s="2"/>
      <c r="MTY68" s="2"/>
      <c r="MTZ68" s="2"/>
      <c r="MUA68" s="2"/>
      <c r="MUB68" s="2"/>
      <c r="MUC68" s="2"/>
      <c r="MUD68" s="2"/>
      <c r="MUE68" s="2"/>
      <c r="MUF68" s="2"/>
      <c r="MUG68" s="2"/>
      <c r="MUH68" s="2"/>
      <c r="MUI68" s="2"/>
      <c r="MUJ68" s="2"/>
      <c r="MUK68" s="2"/>
      <c r="MUL68" s="2"/>
      <c r="MUM68" s="2"/>
      <c r="MUN68" s="2"/>
      <c r="MUO68" s="2"/>
      <c r="MUP68" s="2"/>
      <c r="MUQ68" s="2"/>
      <c r="MUR68" s="2"/>
      <c r="MUS68" s="2"/>
      <c r="MUT68" s="2"/>
      <c r="MUU68" s="2"/>
      <c r="MUV68" s="2"/>
      <c r="MUW68" s="2"/>
      <c r="MUX68" s="2"/>
      <c r="MUY68" s="2"/>
      <c r="MUZ68" s="2"/>
      <c r="MVA68" s="2"/>
      <c r="MVB68" s="2"/>
      <c r="MVC68" s="2"/>
      <c r="MVD68" s="2"/>
      <c r="MVE68" s="2"/>
      <c r="MVF68" s="2"/>
      <c r="MVG68" s="2"/>
      <c r="MVH68" s="2"/>
      <c r="MVI68" s="2"/>
      <c r="MVJ68" s="2"/>
      <c r="MVK68" s="2"/>
      <c r="MVL68" s="2"/>
      <c r="MVM68" s="2"/>
      <c r="MVN68" s="2"/>
      <c r="MVO68" s="2"/>
      <c r="MVP68" s="2"/>
      <c r="MVQ68" s="2"/>
      <c r="MVR68" s="2"/>
      <c r="MVS68" s="2"/>
      <c r="MVT68" s="2"/>
      <c r="MVU68" s="2"/>
      <c r="MVV68" s="2"/>
      <c r="MVW68" s="2"/>
      <c r="MVX68" s="2"/>
      <c r="MVY68" s="2"/>
      <c r="MVZ68" s="2"/>
      <c r="MWA68" s="2"/>
      <c r="MWB68" s="2"/>
      <c r="MWC68" s="2"/>
      <c r="MWD68" s="2"/>
      <c r="MWE68" s="2"/>
      <c r="MWF68" s="2"/>
      <c r="MWG68" s="2"/>
      <c r="MWH68" s="2"/>
      <c r="MWI68" s="2"/>
      <c r="MWJ68" s="2"/>
      <c r="MWK68" s="2"/>
      <c r="MWL68" s="2"/>
      <c r="MWM68" s="2"/>
      <c r="MWN68" s="2"/>
      <c r="MWO68" s="2"/>
      <c r="MWP68" s="2"/>
      <c r="MWQ68" s="2"/>
      <c r="MWR68" s="2"/>
      <c r="MWS68" s="2"/>
      <c r="MWT68" s="2"/>
      <c r="MWU68" s="2"/>
      <c r="MWV68" s="2"/>
      <c r="MWW68" s="2"/>
      <c r="MWX68" s="2"/>
      <c r="MWY68" s="2"/>
      <c r="MWZ68" s="2"/>
      <c r="MXA68" s="2"/>
      <c r="MXB68" s="2"/>
      <c r="MXC68" s="2"/>
      <c r="MXD68" s="2"/>
      <c r="MXE68" s="2"/>
      <c r="MXF68" s="2"/>
      <c r="MXG68" s="2"/>
      <c r="MXH68" s="2"/>
      <c r="MXI68" s="2"/>
      <c r="MXJ68" s="2"/>
      <c r="MXK68" s="2"/>
      <c r="MXL68" s="2"/>
      <c r="MXM68" s="2"/>
      <c r="MXN68" s="2"/>
      <c r="MXO68" s="2"/>
      <c r="MXP68" s="2"/>
      <c r="MXQ68" s="2"/>
      <c r="MXR68" s="2"/>
      <c r="MXS68" s="2"/>
      <c r="MXT68" s="2"/>
      <c r="MXU68" s="2"/>
      <c r="MXV68" s="2"/>
      <c r="MXW68" s="2"/>
      <c r="MXX68" s="2"/>
      <c r="MXY68" s="2"/>
      <c r="MXZ68" s="2"/>
      <c r="MYA68" s="2"/>
      <c r="MYB68" s="2"/>
      <c r="MYC68" s="2"/>
      <c r="MYD68" s="2"/>
      <c r="MYE68" s="2"/>
      <c r="MYF68" s="2"/>
      <c r="MYG68" s="2"/>
      <c r="MYH68" s="2"/>
      <c r="MYI68" s="2"/>
      <c r="MYJ68" s="2"/>
      <c r="MYK68" s="2"/>
      <c r="MYL68" s="2"/>
      <c r="MYM68" s="2"/>
      <c r="MYN68" s="2"/>
      <c r="MYO68" s="2"/>
      <c r="MYP68" s="2"/>
      <c r="MYQ68" s="2"/>
      <c r="MYR68" s="2"/>
      <c r="MYS68" s="2"/>
      <c r="MYT68" s="2"/>
      <c r="MYU68" s="2"/>
      <c r="MYV68" s="2"/>
      <c r="MYW68" s="2"/>
      <c r="MYX68" s="2"/>
      <c r="MYY68" s="2"/>
      <c r="MYZ68" s="2"/>
      <c r="MZA68" s="2"/>
      <c r="MZB68" s="2"/>
      <c r="MZC68" s="2"/>
      <c r="MZD68" s="2"/>
      <c r="MZE68" s="2"/>
      <c r="MZF68" s="2"/>
      <c r="MZG68" s="2"/>
      <c r="MZH68" s="2"/>
      <c r="MZI68" s="2"/>
      <c r="MZJ68" s="2"/>
      <c r="MZK68" s="2"/>
      <c r="MZL68" s="2"/>
      <c r="MZM68" s="2"/>
      <c r="MZN68" s="2"/>
      <c r="MZO68" s="2"/>
      <c r="MZP68" s="2"/>
      <c r="MZQ68" s="2"/>
      <c r="MZR68" s="2"/>
      <c r="MZS68" s="2"/>
      <c r="MZT68" s="2"/>
      <c r="MZU68" s="2"/>
      <c r="MZV68" s="2"/>
      <c r="MZW68" s="2"/>
      <c r="MZX68" s="2"/>
      <c r="MZY68" s="2"/>
      <c r="MZZ68" s="2"/>
      <c r="NAA68" s="2"/>
      <c r="NAB68" s="2"/>
      <c r="NAC68" s="2"/>
      <c r="NAD68" s="2"/>
      <c r="NAE68" s="2"/>
      <c r="NAF68" s="2"/>
      <c r="NAG68" s="2"/>
      <c r="NAH68" s="2"/>
      <c r="NAI68" s="2"/>
      <c r="NAJ68" s="2"/>
      <c r="NAK68" s="2"/>
      <c r="NAL68" s="2"/>
      <c r="NAM68" s="2"/>
      <c r="NAN68" s="2"/>
      <c r="NAO68" s="2"/>
      <c r="NAP68" s="2"/>
      <c r="NAQ68" s="2"/>
      <c r="NAR68" s="2"/>
      <c r="NAS68" s="2"/>
      <c r="NAT68" s="2"/>
      <c r="NAU68" s="2"/>
      <c r="NAV68" s="2"/>
      <c r="NAW68" s="2"/>
      <c r="NAX68" s="2"/>
      <c r="NAY68" s="2"/>
      <c r="NAZ68" s="2"/>
      <c r="NBA68" s="2"/>
      <c r="NBB68" s="2"/>
      <c r="NBC68" s="2"/>
      <c r="NBD68" s="2"/>
      <c r="NBE68" s="2"/>
      <c r="NBF68" s="2"/>
      <c r="NBG68" s="2"/>
      <c r="NBH68" s="2"/>
      <c r="NBI68" s="2"/>
      <c r="NBJ68" s="2"/>
      <c r="NBK68" s="2"/>
      <c r="NBL68" s="2"/>
      <c r="NBM68" s="2"/>
      <c r="NBN68" s="2"/>
      <c r="NBO68" s="2"/>
      <c r="NBP68" s="2"/>
      <c r="NBQ68" s="2"/>
      <c r="NBR68" s="2"/>
      <c r="NBS68" s="2"/>
      <c r="NBT68" s="2"/>
      <c r="NBU68" s="2"/>
      <c r="NBV68" s="2"/>
      <c r="NBW68" s="2"/>
      <c r="NBX68" s="2"/>
      <c r="NBY68" s="2"/>
      <c r="NBZ68" s="2"/>
      <c r="NCA68" s="2"/>
      <c r="NCB68" s="2"/>
      <c r="NCC68" s="2"/>
      <c r="NCD68" s="2"/>
      <c r="NCE68" s="2"/>
      <c r="NCF68" s="2"/>
      <c r="NCG68" s="2"/>
      <c r="NCH68" s="2"/>
      <c r="NCI68" s="2"/>
      <c r="NCJ68" s="2"/>
      <c r="NCK68" s="2"/>
      <c r="NCL68" s="2"/>
      <c r="NCM68" s="2"/>
      <c r="NCN68" s="2"/>
      <c r="NCO68" s="2"/>
      <c r="NCP68" s="2"/>
      <c r="NCQ68" s="2"/>
      <c r="NCR68" s="2"/>
      <c r="NCS68" s="2"/>
      <c r="NCT68" s="2"/>
      <c r="NCU68" s="2"/>
      <c r="NCV68" s="2"/>
      <c r="NCW68" s="2"/>
      <c r="NCX68" s="2"/>
      <c r="NCY68" s="2"/>
      <c r="NCZ68" s="2"/>
      <c r="NDA68" s="2"/>
      <c r="NDB68" s="2"/>
      <c r="NDC68" s="2"/>
      <c r="NDD68" s="2"/>
      <c r="NDE68" s="2"/>
      <c r="NDF68" s="2"/>
      <c r="NDG68" s="2"/>
      <c r="NDH68" s="2"/>
      <c r="NDI68" s="2"/>
      <c r="NDJ68" s="2"/>
      <c r="NDK68" s="2"/>
      <c r="NDL68" s="2"/>
      <c r="NDM68" s="2"/>
      <c r="NDN68" s="2"/>
      <c r="NDO68" s="2"/>
      <c r="NDP68" s="2"/>
      <c r="NDQ68" s="2"/>
      <c r="NDR68" s="2"/>
      <c r="NDS68" s="2"/>
      <c r="NDT68" s="2"/>
      <c r="NDU68" s="2"/>
      <c r="NDV68" s="2"/>
      <c r="NDW68" s="2"/>
      <c r="NDX68" s="2"/>
      <c r="NDY68" s="2"/>
      <c r="NDZ68" s="2"/>
      <c r="NEA68" s="2"/>
      <c r="NEB68" s="2"/>
      <c r="NEC68" s="2"/>
      <c r="NED68" s="2"/>
      <c r="NEE68" s="2"/>
      <c r="NEF68" s="2"/>
      <c r="NEG68" s="2"/>
      <c r="NEH68" s="2"/>
      <c r="NEI68" s="2"/>
      <c r="NEJ68" s="2"/>
      <c r="NEK68" s="2"/>
      <c r="NEL68" s="2"/>
      <c r="NEM68" s="2"/>
      <c r="NEN68" s="2"/>
      <c r="NEO68" s="2"/>
      <c r="NEP68" s="2"/>
      <c r="NEQ68" s="2"/>
      <c r="NER68" s="2"/>
      <c r="NES68" s="2"/>
      <c r="NET68" s="2"/>
      <c r="NEU68" s="2"/>
      <c r="NEV68" s="2"/>
      <c r="NEW68" s="2"/>
      <c r="NEX68" s="2"/>
      <c r="NEY68" s="2"/>
      <c r="NEZ68" s="2"/>
      <c r="NFA68" s="2"/>
      <c r="NFB68" s="2"/>
      <c r="NFC68" s="2"/>
      <c r="NFD68" s="2"/>
      <c r="NFE68" s="2"/>
      <c r="NFF68" s="2"/>
      <c r="NFG68" s="2"/>
      <c r="NFH68" s="2"/>
      <c r="NFI68" s="2"/>
      <c r="NFJ68" s="2"/>
      <c r="NFK68" s="2"/>
      <c r="NFL68" s="2"/>
      <c r="NFM68" s="2"/>
      <c r="NFN68" s="2"/>
      <c r="NFO68" s="2"/>
      <c r="NFP68" s="2"/>
      <c r="NFQ68" s="2"/>
      <c r="NFR68" s="2"/>
      <c r="NFS68" s="2"/>
      <c r="NFT68" s="2"/>
      <c r="NFU68" s="2"/>
      <c r="NFV68" s="2"/>
      <c r="NFW68" s="2"/>
      <c r="NFX68" s="2"/>
      <c r="NFY68" s="2"/>
      <c r="NFZ68" s="2"/>
      <c r="NGA68" s="2"/>
      <c r="NGB68" s="2"/>
      <c r="NGC68" s="2"/>
      <c r="NGD68" s="2"/>
      <c r="NGE68" s="2"/>
      <c r="NGF68" s="2"/>
      <c r="NGG68" s="2"/>
      <c r="NGH68" s="2"/>
      <c r="NGI68" s="2"/>
      <c r="NGJ68" s="2"/>
      <c r="NGK68" s="2"/>
      <c r="NGL68" s="2"/>
      <c r="NGM68" s="2"/>
      <c r="NGN68" s="2"/>
      <c r="NGO68" s="2"/>
      <c r="NGP68" s="2"/>
      <c r="NGQ68" s="2"/>
      <c r="NGR68" s="2"/>
      <c r="NGS68" s="2"/>
      <c r="NGT68" s="2"/>
      <c r="NGU68" s="2"/>
      <c r="NGV68" s="2"/>
      <c r="NGW68" s="2"/>
      <c r="NGX68" s="2"/>
      <c r="NGY68" s="2"/>
      <c r="NGZ68" s="2"/>
      <c r="NHA68" s="2"/>
      <c r="NHB68" s="2"/>
      <c r="NHC68" s="2"/>
      <c r="NHD68" s="2"/>
      <c r="NHE68" s="2"/>
      <c r="NHF68" s="2"/>
      <c r="NHG68" s="2"/>
      <c r="NHH68" s="2"/>
      <c r="NHI68" s="2"/>
      <c r="NHJ68" s="2"/>
      <c r="NHK68" s="2"/>
      <c r="NHL68" s="2"/>
      <c r="NHM68" s="2"/>
      <c r="NHN68" s="2"/>
      <c r="NHO68" s="2"/>
      <c r="NHP68" s="2"/>
      <c r="NHQ68" s="2"/>
      <c r="NHR68" s="2"/>
      <c r="NHS68" s="2"/>
      <c r="NHT68" s="2"/>
      <c r="NHU68" s="2"/>
      <c r="NHV68" s="2"/>
      <c r="NHW68" s="2"/>
      <c r="NHX68" s="2"/>
      <c r="NHY68" s="2"/>
      <c r="NHZ68" s="2"/>
      <c r="NIA68" s="2"/>
      <c r="NIB68" s="2"/>
      <c r="NIC68" s="2"/>
      <c r="NID68" s="2"/>
      <c r="NIE68" s="2"/>
      <c r="NIF68" s="2"/>
      <c r="NIG68" s="2"/>
      <c r="NIH68" s="2"/>
      <c r="NII68" s="2"/>
      <c r="NIJ68" s="2"/>
      <c r="NIK68" s="2"/>
      <c r="NIL68" s="2"/>
      <c r="NIM68" s="2"/>
      <c r="NIN68" s="2"/>
      <c r="NIO68" s="2"/>
      <c r="NIP68" s="2"/>
      <c r="NIQ68" s="2"/>
      <c r="NIR68" s="2"/>
      <c r="NIS68" s="2"/>
      <c r="NIT68" s="2"/>
      <c r="NIU68" s="2"/>
      <c r="NIV68" s="2"/>
      <c r="NIW68" s="2"/>
      <c r="NIX68" s="2"/>
      <c r="NIY68" s="2"/>
      <c r="NIZ68" s="2"/>
      <c r="NJA68" s="2"/>
      <c r="NJB68" s="2"/>
      <c r="NJC68" s="2"/>
      <c r="NJD68" s="2"/>
      <c r="NJE68" s="2"/>
      <c r="NJF68" s="2"/>
      <c r="NJG68" s="2"/>
      <c r="NJH68" s="2"/>
      <c r="NJI68" s="2"/>
      <c r="NJJ68" s="2"/>
      <c r="NJK68" s="2"/>
      <c r="NJL68" s="2"/>
      <c r="NJM68" s="2"/>
      <c r="NJN68" s="2"/>
      <c r="NJO68" s="2"/>
      <c r="NJP68" s="2"/>
      <c r="NJQ68" s="2"/>
      <c r="NJR68" s="2"/>
      <c r="NJS68" s="2"/>
      <c r="NJT68" s="2"/>
      <c r="NJU68" s="2"/>
      <c r="NJV68" s="2"/>
      <c r="NJW68" s="2"/>
      <c r="NJX68" s="2"/>
      <c r="NJY68" s="2"/>
      <c r="NJZ68" s="2"/>
      <c r="NKA68" s="2"/>
      <c r="NKB68" s="2"/>
      <c r="NKC68" s="2"/>
      <c r="NKD68" s="2"/>
      <c r="NKE68" s="2"/>
      <c r="NKF68" s="2"/>
      <c r="NKG68" s="2"/>
      <c r="NKH68" s="2"/>
      <c r="NKI68" s="2"/>
      <c r="NKJ68" s="2"/>
      <c r="NKK68" s="2"/>
      <c r="NKL68" s="2"/>
      <c r="NKM68" s="2"/>
      <c r="NKN68" s="2"/>
      <c r="NKO68" s="2"/>
      <c r="NKP68" s="2"/>
      <c r="NKQ68" s="2"/>
      <c r="NKR68" s="2"/>
      <c r="NKS68" s="2"/>
      <c r="NKT68" s="2"/>
      <c r="NKU68" s="2"/>
      <c r="NKV68" s="2"/>
      <c r="NKW68" s="2"/>
      <c r="NKX68" s="2"/>
      <c r="NKY68" s="2"/>
      <c r="NKZ68" s="2"/>
      <c r="NLA68" s="2"/>
      <c r="NLB68" s="2"/>
      <c r="NLC68" s="2"/>
      <c r="NLD68" s="2"/>
      <c r="NLE68" s="2"/>
      <c r="NLF68" s="2"/>
      <c r="NLG68" s="2"/>
      <c r="NLH68" s="2"/>
      <c r="NLI68" s="2"/>
      <c r="NLJ68" s="2"/>
      <c r="NLK68" s="2"/>
      <c r="NLL68" s="2"/>
      <c r="NLM68" s="2"/>
      <c r="NLN68" s="2"/>
      <c r="NLO68" s="2"/>
      <c r="NLP68" s="2"/>
      <c r="NLQ68" s="2"/>
      <c r="NLR68" s="2"/>
      <c r="NLS68" s="2"/>
      <c r="NLT68" s="2"/>
      <c r="NLU68" s="2"/>
      <c r="NLV68" s="2"/>
      <c r="NLW68" s="2"/>
      <c r="NLX68" s="2"/>
      <c r="NLY68" s="2"/>
      <c r="NLZ68" s="2"/>
      <c r="NMA68" s="2"/>
      <c r="NMB68" s="2"/>
      <c r="NMC68" s="2"/>
      <c r="NMD68" s="2"/>
      <c r="NME68" s="2"/>
      <c r="NMF68" s="2"/>
      <c r="NMG68" s="2"/>
      <c r="NMH68" s="2"/>
      <c r="NMI68" s="2"/>
      <c r="NMJ68" s="2"/>
      <c r="NMK68" s="2"/>
      <c r="NML68" s="2"/>
      <c r="NMM68" s="2"/>
      <c r="NMN68" s="2"/>
      <c r="NMO68" s="2"/>
      <c r="NMP68" s="2"/>
      <c r="NMQ68" s="2"/>
      <c r="NMR68" s="2"/>
      <c r="NMS68" s="2"/>
      <c r="NMT68" s="2"/>
      <c r="NMU68" s="2"/>
      <c r="NMV68" s="2"/>
      <c r="NMW68" s="2"/>
      <c r="NMX68" s="2"/>
      <c r="NMY68" s="2"/>
      <c r="NMZ68" s="2"/>
      <c r="NNA68" s="2"/>
      <c r="NNB68" s="2"/>
      <c r="NNC68" s="2"/>
      <c r="NND68" s="2"/>
      <c r="NNE68" s="2"/>
      <c r="NNF68" s="2"/>
      <c r="NNG68" s="2"/>
      <c r="NNH68" s="2"/>
      <c r="NNI68" s="2"/>
      <c r="NNJ68" s="2"/>
      <c r="NNK68" s="2"/>
      <c r="NNL68" s="2"/>
      <c r="NNM68" s="2"/>
      <c r="NNN68" s="2"/>
      <c r="NNO68" s="2"/>
      <c r="NNP68" s="2"/>
      <c r="NNQ68" s="2"/>
      <c r="NNR68" s="2"/>
      <c r="NNS68" s="2"/>
      <c r="NNT68" s="2"/>
      <c r="NNU68" s="2"/>
      <c r="NNV68" s="2"/>
      <c r="NNW68" s="2"/>
      <c r="NNX68" s="2"/>
      <c r="NNY68" s="2"/>
      <c r="NNZ68" s="2"/>
      <c r="NOA68" s="2"/>
      <c r="NOB68" s="2"/>
      <c r="NOC68" s="2"/>
      <c r="NOD68" s="2"/>
      <c r="NOE68" s="2"/>
      <c r="NOF68" s="2"/>
      <c r="NOG68" s="2"/>
      <c r="NOH68" s="2"/>
      <c r="NOI68" s="2"/>
      <c r="NOJ68" s="2"/>
      <c r="NOK68" s="2"/>
      <c r="NOL68" s="2"/>
      <c r="NOM68" s="2"/>
      <c r="NON68" s="2"/>
      <c r="NOO68" s="2"/>
      <c r="NOP68" s="2"/>
      <c r="NOQ68" s="2"/>
      <c r="NOR68" s="2"/>
      <c r="NOS68" s="2"/>
      <c r="NOT68" s="2"/>
      <c r="NOU68" s="2"/>
      <c r="NOV68" s="2"/>
      <c r="NOW68" s="2"/>
      <c r="NOX68" s="2"/>
      <c r="NOY68" s="2"/>
      <c r="NOZ68" s="2"/>
      <c r="NPA68" s="2"/>
      <c r="NPB68" s="2"/>
      <c r="NPC68" s="2"/>
      <c r="NPD68" s="2"/>
      <c r="NPE68" s="2"/>
      <c r="NPF68" s="2"/>
      <c r="NPG68" s="2"/>
      <c r="NPH68" s="2"/>
      <c r="NPI68" s="2"/>
      <c r="NPJ68" s="2"/>
      <c r="NPK68" s="2"/>
      <c r="NPL68" s="2"/>
      <c r="NPM68" s="2"/>
      <c r="NPN68" s="2"/>
      <c r="NPO68" s="2"/>
      <c r="NPP68" s="2"/>
      <c r="NPQ68" s="2"/>
      <c r="NPR68" s="2"/>
      <c r="NPS68" s="2"/>
      <c r="NPT68" s="2"/>
      <c r="NPU68" s="2"/>
      <c r="NPV68" s="2"/>
      <c r="NPW68" s="2"/>
      <c r="NPX68" s="2"/>
      <c r="NPY68" s="2"/>
      <c r="NPZ68" s="2"/>
      <c r="NQA68" s="2"/>
      <c r="NQB68" s="2"/>
      <c r="NQC68" s="2"/>
      <c r="NQD68" s="2"/>
      <c r="NQE68" s="2"/>
      <c r="NQF68" s="2"/>
      <c r="NQG68" s="2"/>
      <c r="NQH68" s="2"/>
      <c r="NQI68" s="2"/>
      <c r="NQJ68" s="2"/>
      <c r="NQK68" s="2"/>
      <c r="NQL68" s="2"/>
      <c r="NQM68" s="2"/>
      <c r="NQN68" s="2"/>
      <c r="NQO68" s="2"/>
      <c r="NQP68" s="2"/>
      <c r="NQQ68" s="2"/>
      <c r="NQR68" s="2"/>
      <c r="NQS68" s="2"/>
      <c r="NQT68" s="2"/>
      <c r="NQU68" s="2"/>
      <c r="NQV68" s="2"/>
      <c r="NQW68" s="2"/>
      <c r="NQX68" s="2"/>
      <c r="NQY68" s="2"/>
      <c r="NQZ68" s="2"/>
      <c r="NRA68" s="2"/>
      <c r="NRB68" s="2"/>
      <c r="NRC68" s="2"/>
      <c r="NRD68" s="2"/>
      <c r="NRE68" s="2"/>
      <c r="NRF68" s="2"/>
      <c r="NRG68" s="2"/>
      <c r="NRH68" s="2"/>
      <c r="NRI68" s="2"/>
      <c r="NRJ68" s="2"/>
      <c r="NRK68" s="2"/>
      <c r="NRL68" s="2"/>
      <c r="NRM68" s="2"/>
      <c r="NRN68" s="2"/>
      <c r="NRO68" s="2"/>
      <c r="NRP68" s="2"/>
      <c r="NRQ68" s="2"/>
      <c r="NRR68" s="2"/>
      <c r="NRS68" s="2"/>
      <c r="NRT68" s="2"/>
      <c r="NRU68" s="2"/>
      <c r="NRV68" s="2"/>
      <c r="NRW68" s="2"/>
      <c r="NRX68" s="2"/>
      <c r="NRY68" s="2"/>
      <c r="NRZ68" s="2"/>
      <c r="NSA68" s="2"/>
      <c r="NSB68" s="2"/>
      <c r="NSC68" s="2"/>
      <c r="NSD68" s="2"/>
      <c r="NSE68" s="2"/>
      <c r="NSF68" s="2"/>
      <c r="NSG68" s="2"/>
      <c r="NSH68" s="2"/>
      <c r="NSI68" s="2"/>
      <c r="NSJ68" s="2"/>
      <c r="NSK68" s="2"/>
      <c r="NSL68" s="2"/>
      <c r="NSM68" s="2"/>
      <c r="NSN68" s="2"/>
      <c r="NSO68" s="2"/>
      <c r="NSP68" s="2"/>
      <c r="NSQ68" s="2"/>
      <c r="NSR68" s="2"/>
      <c r="NSS68" s="2"/>
      <c r="NST68" s="2"/>
      <c r="NSU68" s="2"/>
      <c r="NSV68" s="2"/>
      <c r="NSW68" s="2"/>
      <c r="NSX68" s="2"/>
      <c r="NSY68" s="2"/>
      <c r="NSZ68" s="2"/>
      <c r="NTA68" s="2"/>
      <c r="NTB68" s="2"/>
      <c r="NTC68" s="2"/>
      <c r="NTD68" s="2"/>
      <c r="NTE68" s="2"/>
      <c r="NTF68" s="2"/>
      <c r="NTG68" s="2"/>
      <c r="NTH68" s="2"/>
      <c r="NTI68" s="2"/>
      <c r="NTJ68" s="2"/>
      <c r="NTK68" s="2"/>
      <c r="NTL68" s="2"/>
      <c r="NTM68" s="2"/>
      <c r="NTN68" s="2"/>
      <c r="NTO68" s="2"/>
      <c r="NTP68" s="2"/>
      <c r="NTQ68" s="2"/>
      <c r="NTR68" s="2"/>
      <c r="NTS68" s="2"/>
      <c r="NTT68" s="2"/>
      <c r="NTU68" s="2"/>
      <c r="NTV68" s="2"/>
      <c r="NTW68" s="2"/>
      <c r="NTX68" s="2"/>
      <c r="NTY68" s="2"/>
      <c r="NTZ68" s="2"/>
      <c r="NUA68" s="2"/>
      <c r="NUB68" s="2"/>
      <c r="NUC68" s="2"/>
      <c r="NUD68" s="2"/>
      <c r="NUE68" s="2"/>
      <c r="NUF68" s="2"/>
      <c r="NUG68" s="2"/>
      <c r="NUH68" s="2"/>
      <c r="NUI68" s="2"/>
      <c r="NUJ68" s="2"/>
      <c r="NUK68" s="2"/>
      <c r="NUL68" s="2"/>
      <c r="NUM68" s="2"/>
      <c r="NUN68" s="2"/>
      <c r="NUO68" s="2"/>
      <c r="NUP68" s="2"/>
      <c r="NUQ68" s="2"/>
      <c r="NUR68" s="2"/>
      <c r="NUS68" s="2"/>
      <c r="NUT68" s="2"/>
      <c r="NUU68" s="2"/>
      <c r="NUV68" s="2"/>
      <c r="NUW68" s="2"/>
      <c r="NUX68" s="2"/>
      <c r="NUY68" s="2"/>
      <c r="NUZ68" s="2"/>
      <c r="NVA68" s="2"/>
      <c r="NVB68" s="2"/>
      <c r="NVC68" s="2"/>
      <c r="NVD68" s="2"/>
      <c r="NVE68" s="2"/>
      <c r="NVF68" s="2"/>
      <c r="NVG68" s="2"/>
      <c r="NVH68" s="2"/>
      <c r="NVI68" s="2"/>
      <c r="NVJ68" s="2"/>
      <c r="NVK68" s="2"/>
      <c r="NVL68" s="2"/>
      <c r="NVM68" s="2"/>
      <c r="NVN68" s="2"/>
      <c r="NVO68" s="2"/>
      <c r="NVP68" s="2"/>
      <c r="NVQ68" s="2"/>
      <c r="NVR68" s="2"/>
      <c r="NVS68" s="2"/>
      <c r="NVT68" s="2"/>
      <c r="NVU68" s="2"/>
      <c r="NVV68" s="2"/>
      <c r="NVW68" s="2"/>
      <c r="NVX68" s="2"/>
      <c r="NVY68" s="2"/>
      <c r="NVZ68" s="2"/>
      <c r="NWA68" s="2"/>
      <c r="NWB68" s="2"/>
      <c r="NWC68" s="2"/>
      <c r="NWD68" s="2"/>
      <c r="NWE68" s="2"/>
      <c r="NWF68" s="2"/>
      <c r="NWG68" s="2"/>
      <c r="NWH68" s="2"/>
      <c r="NWI68" s="2"/>
      <c r="NWJ68" s="2"/>
      <c r="NWK68" s="2"/>
      <c r="NWL68" s="2"/>
      <c r="NWM68" s="2"/>
      <c r="NWN68" s="2"/>
      <c r="NWO68" s="2"/>
      <c r="NWP68" s="2"/>
      <c r="NWQ68" s="2"/>
      <c r="NWR68" s="2"/>
      <c r="NWS68" s="2"/>
      <c r="NWT68" s="2"/>
      <c r="NWU68" s="2"/>
      <c r="NWV68" s="2"/>
      <c r="NWW68" s="2"/>
      <c r="NWX68" s="2"/>
      <c r="NWY68" s="2"/>
      <c r="NWZ68" s="2"/>
      <c r="NXA68" s="2"/>
      <c r="NXB68" s="2"/>
      <c r="NXC68" s="2"/>
      <c r="NXD68" s="2"/>
      <c r="NXE68" s="2"/>
      <c r="NXF68" s="2"/>
      <c r="NXG68" s="2"/>
      <c r="NXH68" s="2"/>
      <c r="NXI68" s="2"/>
      <c r="NXJ68" s="2"/>
      <c r="NXK68" s="2"/>
      <c r="NXL68" s="2"/>
      <c r="NXM68" s="2"/>
      <c r="NXN68" s="2"/>
      <c r="NXO68" s="2"/>
      <c r="NXP68" s="2"/>
      <c r="NXQ68" s="2"/>
      <c r="NXR68" s="2"/>
      <c r="NXS68" s="2"/>
      <c r="NXT68" s="2"/>
      <c r="NXU68" s="2"/>
      <c r="NXV68" s="2"/>
      <c r="NXW68" s="2"/>
      <c r="NXX68" s="2"/>
      <c r="NXY68" s="2"/>
      <c r="NXZ68" s="2"/>
      <c r="NYA68" s="2"/>
      <c r="NYB68" s="2"/>
      <c r="NYC68" s="2"/>
      <c r="NYD68" s="2"/>
      <c r="NYE68" s="2"/>
      <c r="NYF68" s="2"/>
      <c r="NYG68" s="2"/>
      <c r="NYH68" s="2"/>
      <c r="NYI68" s="2"/>
      <c r="NYJ68" s="2"/>
      <c r="NYK68" s="2"/>
      <c r="NYL68" s="2"/>
      <c r="NYM68" s="2"/>
      <c r="NYN68" s="2"/>
      <c r="NYO68" s="2"/>
      <c r="NYP68" s="2"/>
      <c r="NYQ68" s="2"/>
      <c r="NYR68" s="2"/>
      <c r="NYS68" s="2"/>
      <c r="NYT68" s="2"/>
      <c r="NYU68" s="2"/>
      <c r="NYV68" s="2"/>
      <c r="NYW68" s="2"/>
      <c r="NYX68" s="2"/>
      <c r="NYY68" s="2"/>
      <c r="NYZ68" s="2"/>
      <c r="NZA68" s="2"/>
      <c r="NZB68" s="2"/>
      <c r="NZC68" s="2"/>
      <c r="NZD68" s="2"/>
      <c r="NZE68" s="2"/>
      <c r="NZF68" s="2"/>
      <c r="NZG68" s="2"/>
      <c r="NZH68" s="2"/>
      <c r="NZI68" s="2"/>
      <c r="NZJ68" s="2"/>
      <c r="NZK68" s="2"/>
      <c r="NZL68" s="2"/>
      <c r="NZM68" s="2"/>
      <c r="NZN68" s="2"/>
      <c r="NZO68" s="2"/>
      <c r="NZP68" s="2"/>
      <c r="NZQ68" s="2"/>
      <c r="NZR68" s="2"/>
      <c r="NZS68" s="2"/>
      <c r="NZT68" s="2"/>
      <c r="NZU68" s="2"/>
      <c r="NZV68" s="2"/>
      <c r="NZW68" s="2"/>
      <c r="NZX68" s="2"/>
      <c r="NZY68" s="2"/>
      <c r="NZZ68" s="2"/>
      <c r="OAA68" s="2"/>
      <c r="OAB68" s="2"/>
      <c r="OAC68" s="2"/>
      <c r="OAD68" s="2"/>
      <c r="OAE68" s="2"/>
      <c r="OAF68" s="2"/>
      <c r="OAG68" s="2"/>
      <c r="OAH68" s="2"/>
      <c r="OAI68" s="2"/>
      <c r="OAJ68" s="2"/>
      <c r="OAK68" s="2"/>
      <c r="OAL68" s="2"/>
      <c r="OAM68" s="2"/>
      <c r="OAN68" s="2"/>
      <c r="OAO68" s="2"/>
      <c r="OAP68" s="2"/>
      <c r="OAQ68" s="2"/>
      <c r="OAR68" s="2"/>
      <c r="OAS68" s="2"/>
      <c r="OAT68" s="2"/>
      <c r="OAU68" s="2"/>
      <c r="OAV68" s="2"/>
      <c r="OAW68" s="2"/>
      <c r="OAX68" s="2"/>
      <c r="OAY68" s="2"/>
      <c r="OAZ68" s="2"/>
      <c r="OBA68" s="2"/>
      <c r="OBB68" s="2"/>
      <c r="OBC68" s="2"/>
      <c r="OBD68" s="2"/>
      <c r="OBE68" s="2"/>
      <c r="OBF68" s="2"/>
      <c r="OBG68" s="2"/>
      <c r="OBH68" s="2"/>
      <c r="OBI68" s="2"/>
      <c r="OBJ68" s="2"/>
      <c r="OBK68" s="2"/>
      <c r="OBL68" s="2"/>
      <c r="OBM68" s="2"/>
      <c r="OBN68" s="2"/>
      <c r="OBO68" s="2"/>
      <c r="OBP68" s="2"/>
      <c r="OBQ68" s="2"/>
      <c r="OBR68" s="2"/>
      <c r="OBS68" s="2"/>
      <c r="OBT68" s="2"/>
      <c r="OBU68" s="2"/>
      <c r="OBV68" s="2"/>
      <c r="OBW68" s="2"/>
      <c r="OBX68" s="2"/>
      <c r="OBY68" s="2"/>
      <c r="OBZ68" s="2"/>
      <c r="OCA68" s="2"/>
      <c r="OCB68" s="2"/>
      <c r="OCC68" s="2"/>
      <c r="OCD68" s="2"/>
      <c r="OCE68" s="2"/>
      <c r="OCF68" s="2"/>
      <c r="OCG68" s="2"/>
      <c r="OCH68" s="2"/>
      <c r="OCI68" s="2"/>
      <c r="OCJ68" s="2"/>
      <c r="OCK68" s="2"/>
      <c r="OCL68" s="2"/>
      <c r="OCM68" s="2"/>
      <c r="OCN68" s="2"/>
      <c r="OCO68" s="2"/>
      <c r="OCP68" s="2"/>
      <c r="OCQ68" s="2"/>
      <c r="OCR68" s="2"/>
      <c r="OCS68" s="2"/>
      <c r="OCT68" s="2"/>
      <c r="OCU68" s="2"/>
      <c r="OCV68" s="2"/>
      <c r="OCW68" s="2"/>
      <c r="OCX68" s="2"/>
      <c r="OCY68" s="2"/>
      <c r="OCZ68" s="2"/>
      <c r="ODA68" s="2"/>
      <c r="ODB68" s="2"/>
      <c r="ODC68" s="2"/>
      <c r="ODD68" s="2"/>
      <c r="ODE68" s="2"/>
      <c r="ODF68" s="2"/>
      <c r="ODG68" s="2"/>
      <c r="ODH68" s="2"/>
      <c r="ODI68" s="2"/>
      <c r="ODJ68" s="2"/>
      <c r="ODK68" s="2"/>
      <c r="ODL68" s="2"/>
      <c r="ODM68" s="2"/>
      <c r="ODN68" s="2"/>
      <c r="ODO68" s="2"/>
      <c r="ODP68" s="2"/>
      <c r="ODQ68" s="2"/>
      <c r="ODR68" s="2"/>
      <c r="ODS68" s="2"/>
      <c r="ODT68" s="2"/>
      <c r="ODU68" s="2"/>
      <c r="ODV68" s="2"/>
      <c r="ODW68" s="2"/>
      <c r="ODX68" s="2"/>
      <c r="ODY68" s="2"/>
      <c r="ODZ68" s="2"/>
      <c r="OEA68" s="2"/>
      <c r="OEB68" s="2"/>
      <c r="OEC68" s="2"/>
      <c r="OED68" s="2"/>
      <c r="OEE68" s="2"/>
      <c r="OEF68" s="2"/>
      <c r="OEG68" s="2"/>
      <c r="OEH68" s="2"/>
      <c r="OEI68" s="2"/>
      <c r="OEJ68" s="2"/>
      <c r="OEK68" s="2"/>
      <c r="OEL68" s="2"/>
      <c r="OEM68" s="2"/>
      <c r="OEN68" s="2"/>
      <c r="OEO68" s="2"/>
      <c r="OEP68" s="2"/>
      <c r="OEQ68" s="2"/>
      <c r="OER68" s="2"/>
      <c r="OES68" s="2"/>
      <c r="OET68" s="2"/>
      <c r="OEU68" s="2"/>
      <c r="OEV68" s="2"/>
      <c r="OEW68" s="2"/>
      <c r="OEX68" s="2"/>
      <c r="OEY68" s="2"/>
      <c r="OEZ68" s="2"/>
      <c r="OFA68" s="2"/>
      <c r="OFB68" s="2"/>
      <c r="OFC68" s="2"/>
      <c r="OFD68" s="2"/>
      <c r="OFE68" s="2"/>
      <c r="OFF68" s="2"/>
      <c r="OFG68" s="2"/>
      <c r="OFH68" s="2"/>
      <c r="OFI68" s="2"/>
      <c r="OFJ68" s="2"/>
      <c r="OFK68" s="2"/>
      <c r="OFL68" s="2"/>
      <c r="OFM68" s="2"/>
      <c r="OFN68" s="2"/>
      <c r="OFO68" s="2"/>
      <c r="OFP68" s="2"/>
      <c r="OFQ68" s="2"/>
      <c r="OFR68" s="2"/>
      <c r="OFS68" s="2"/>
      <c r="OFT68" s="2"/>
      <c r="OFU68" s="2"/>
      <c r="OFV68" s="2"/>
      <c r="OFW68" s="2"/>
      <c r="OFX68" s="2"/>
      <c r="OFY68" s="2"/>
      <c r="OFZ68" s="2"/>
      <c r="OGA68" s="2"/>
      <c r="OGB68" s="2"/>
      <c r="OGC68" s="2"/>
      <c r="OGD68" s="2"/>
      <c r="OGE68" s="2"/>
      <c r="OGF68" s="2"/>
      <c r="OGG68" s="2"/>
      <c r="OGH68" s="2"/>
      <c r="OGI68" s="2"/>
      <c r="OGJ68" s="2"/>
      <c r="OGK68" s="2"/>
      <c r="OGL68" s="2"/>
      <c r="OGM68" s="2"/>
      <c r="OGN68" s="2"/>
      <c r="OGO68" s="2"/>
      <c r="OGP68" s="2"/>
      <c r="OGQ68" s="2"/>
      <c r="OGR68" s="2"/>
      <c r="OGS68" s="2"/>
      <c r="OGT68" s="2"/>
      <c r="OGU68" s="2"/>
      <c r="OGV68" s="2"/>
      <c r="OGW68" s="2"/>
      <c r="OGX68" s="2"/>
      <c r="OGY68" s="2"/>
      <c r="OGZ68" s="2"/>
      <c r="OHA68" s="2"/>
      <c r="OHB68" s="2"/>
      <c r="OHC68" s="2"/>
      <c r="OHD68" s="2"/>
      <c r="OHE68" s="2"/>
      <c r="OHF68" s="2"/>
      <c r="OHG68" s="2"/>
      <c r="OHH68" s="2"/>
      <c r="OHI68" s="2"/>
      <c r="OHJ68" s="2"/>
      <c r="OHK68" s="2"/>
      <c r="OHL68" s="2"/>
      <c r="OHM68" s="2"/>
      <c r="OHN68" s="2"/>
      <c r="OHO68" s="2"/>
      <c r="OHP68" s="2"/>
      <c r="OHQ68" s="2"/>
      <c r="OHR68" s="2"/>
      <c r="OHS68" s="2"/>
      <c r="OHT68" s="2"/>
      <c r="OHU68" s="2"/>
      <c r="OHV68" s="2"/>
      <c r="OHW68" s="2"/>
      <c r="OHX68" s="2"/>
      <c r="OHY68" s="2"/>
      <c r="OHZ68" s="2"/>
      <c r="OIA68" s="2"/>
      <c r="OIB68" s="2"/>
      <c r="OIC68" s="2"/>
      <c r="OID68" s="2"/>
      <c r="OIE68" s="2"/>
      <c r="OIF68" s="2"/>
      <c r="OIG68" s="2"/>
      <c r="OIH68" s="2"/>
      <c r="OII68" s="2"/>
      <c r="OIJ68" s="2"/>
      <c r="OIK68" s="2"/>
      <c r="OIL68" s="2"/>
      <c r="OIM68" s="2"/>
      <c r="OIN68" s="2"/>
      <c r="OIO68" s="2"/>
      <c r="OIP68" s="2"/>
      <c r="OIQ68" s="2"/>
      <c r="OIR68" s="2"/>
      <c r="OIS68" s="2"/>
      <c r="OIT68" s="2"/>
      <c r="OIU68" s="2"/>
      <c r="OIV68" s="2"/>
      <c r="OIW68" s="2"/>
      <c r="OIX68" s="2"/>
      <c r="OIY68" s="2"/>
      <c r="OIZ68" s="2"/>
      <c r="OJA68" s="2"/>
      <c r="OJB68" s="2"/>
      <c r="OJC68" s="2"/>
      <c r="OJD68" s="2"/>
      <c r="OJE68" s="2"/>
      <c r="OJF68" s="2"/>
      <c r="OJG68" s="2"/>
      <c r="OJH68" s="2"/>
      <c r="OJI68" s="2"/>
      <c r="OJJ68" s="2"/>
      <c r="OJK68" s="2"/>
      <c r="OJL68" s="2"/>
      <c r="OJM68" s="2"/>
      <c r="OJN68" s="2"/>
      <c r="OJO68" s="2"/>
      <c r="OJP68" s="2"/>
      <c r="OJQ68" s="2"/>
      <c r="OJR68" s="2"/>
      <c r="OJS68" s="2"/>
      <c r="OJT68" s="2"/>
      <c r="OJU68" s="2"/>
      <c r="OJV68" s="2"/>
      <c r="OJW68" s="2"/>
      <c r="OJX68" s="2"/>
      <c r="OJY68" s="2"/>
      <c r="OJZ68" s="2"/>
      <c r="OKA68" s="2"/>
      <c r="OKB68" s="2"/>
      <c r="OKC68" s="2"/>
      <c r="OKD68" s="2"/>
      <c r="OKE68" s="2"/>
      <c r="OKF68" s="2"/>
      <c r="OKG68" s="2"/>
      <c r="OKH68" s="2"/>
      <c r="OKI68" s="2"/>
      <c r="OKJ68" s="2"/>
      <c r="OKK68" s="2"/>
      <c r="OKL68" s="2"/>
      <c r="OKM68" s="2"/>
      <c r="OKN68" s="2"/>
      <c r="OKO68" s="2"/>
      <c r="OKP68" s="2"/>
      <c r="OKQ68" s="2"/>
      <c r="OKR68" s="2"/>
      <c r="OKS68" s="2"/>
      <c r="OKT68" s="2"/>
      <c r="OKU68" s="2"/>
      <c r="OKV68" s="2"/>
      <c r="OKW68" s="2"/>
      <c r="OKX68" s="2"/>
      <c r="OKY68" s="2"/>
      <c r="OKZ68" s="2"/>
      <c r="OLA68" s="2"/>
      <c r="OLB68" s="2"/>
      <c r="OLC68" s="2"/>
      <c r="OLD68" s="2"/>
      <c r="OLE68" s="2"/>
      <c r="OLF68" s="2"/>
      <c r="OLG68" s="2"/>
      <c r="OLH68" s="2"/>
      <c r="OLI68" s="2"/>
      <c r="OLJ68" s="2"/>
      <c r="OLK68" s="2"/>
      <c r="OLL68" s="2"/>
      <c r="OLM68" s="2"/>
      <c r="OLN68" s="2"/>
      <c r="OLO68" s="2"/>
      <c r="OLP68" s="2"/>
      <c r="OLQ68" s="2"/>
      <c r="OLR68" s="2"/>
      <c r="OLS68" s="2"/>
      <c r="OLT68" s="2"/>
      <c r="OLU68" s="2"/>
      <c r="OLV68" s="2"/>
      <c r="OLW68" s="2"/>
      <c r="OLX68" s="2"/>
      <c r="OLY68" s="2"/>
      <c r="OLZ68" s="2"/>
      <c r="OMA68" s="2"/>
      <c r="OMB68" s="2"/>
      <c r="OMC68" s="2"/>
      <c r="OMD68" s="2"/>
      <c r="OME68" s="2"/>
      <c r="OMF68" s="2"/>
      <c r="OMG68" s="2"/>
      <c r="OMH68" s="2"/>
      <c r="OMI68" s="2"/>
      <c r="OMJ68" s="2"/>
      <c r="OMK68" s="2"/>
      <c r="OML68" s="2"/>
      <c r="OMM68" s="2"/>
      <c r="OMN68" s="2"/>
      <c r="OMO68" s="2"/>
      <c r="OMP68" s="2"/>
      <c r="OMQ68" s="2"/>
      <c r="OMR68" s="2"/>
      <c r="OMS68" s="2"/>
      <c r="OMT68" s="2"/>
      <c r="OMU68" s="2"/>
      <c r="OMV68" s="2"/>
      <c r="OMW68" s="2"/>
      <c r="OMX68" s="2"/>
      <c r="OMY68" s="2"/>
      <c r="OMZ68" s="2"/>
      <c r="ONA68" s="2"/>
      <c r="ONB68" s="2"/>
      <c r="ONC68" s="2"/>
      <c r="OND68" s="2"/>
      <c r="ONE68" s="2"/>
      <c r="ONF68" s="2"/>
      <c r="ONG68" s="2"/>
      <c r="ONH68" s="2"/>
      <c r="ONI68" s="2"/>
      <c r="ONJ68" s="2"/>
      <c r="ONK68" s="2"/>
      <c r="ONL68" s="2"/>
      <c r="ONM68" s="2"/>
      <c r="ONN68" s="2"/>
      <c r="ONO68" s="2"/>
      <c r="ONP68" s="2"/>
      <c r="ONQ68" s="2"/>
      <c r="ONR68" s="2"/>
      <c r="ONS68" s="2"/>
      <c r="ONT68" s="2"/>
      <c r="ONU68" s="2"/>
      <c r="ONV68" s="2"/>
      <c r="ONW68" s="2"/>
      <c r="ONX68" s="2"/>
      <c r="ONY68" s="2"/>
      <c r="ONZ68" s="2"/>
      <c r="OOA68" s="2"/>
      <c r="OOB68" s="2"/>
      <c r="OOC68" s="2"/>
      <c r="OOD68" s="2"/>
      <c r="OOE68" s="2"/>
      <c r="OOF68" s="2"/>
      <c r="OOG68" s="2"/>
      <c r="OOH68" s="2"/>
      <c r="OOI68" s="2"/>
      <c r="OOJ68" s="2"/>
      <c r="OOK68" s="2"/>
      <c r="OOL68" s="2"/>
      <c r="OOM68" s="2"/>
      <c r="OON68" s="2"/>
      <c r="OOO68" s="2"/>
      <c r="OOP68" s="2"/>
      <c r="OOQ68" s="2"/>
      <c r="OOR68" s="2"/>
      <c r="OOS68" s="2"/>
      <c r="OOT68" s="2"/>
      <c r="OOU68" s="2"/>
      <c r="OOV68" s="2"/>
      <c r="OOW68" s="2"/>
      <c r="OOX68" s="2"/>
      <c r="OOY68" s="2"/>
      <c r="OOZ68" s="2"/>
      <c r="OPA68" s="2"/>
      <c r="OPB68" s="2"/>
      <c r="OPC68" s="2"/>
      <c r="OPD68" s="2"/>
      <c r="OPE68" s="2"/>
      <c r="OPF68" s="2"/>
      <c r="OPG68" s="2"/>
      <c r="OPH68" s="2"/>
      <c r="OPI68" s="2"/>
      <c r="OPJ68" s="2"/>
      <c r="OPK68" s="2"/>
      <c r="OPL68" s="2"/>
      <c r="OPM68" s="2"/>
      <c r="OPN68" s="2"/>
      <c r="OPO68" s="2"/>
      <c r="OPP68" s="2"/>
      <c r="OPQ68" s="2"/>
      <c r="OPR68" s="2"/>
      <c r="OPS68" s="2"/>
      <c r="OPT68" s="2"/>
      <c r="OPU68" s="2"/>
      <c r="OPV68" s="2"/>
      <c r="OPW68" s="2"/>
      <c r="OPX68" s="2"/>
      <c r="OPY68" s="2"/>
      <c r="OPZ68" s="2"/>
      <c r="OQA68" s="2"/>
      <c r="OQB68" s="2"/>
      <c r="OQC68" s="2"/>
      <c r="OQD68" s="2"/>
      <c r="OQE68" s="2"/>
      <c r="OQF68" s="2"/>
      <c r="OQG68" s="2"/>
      <c r="OQH68" s="2"/>
      <c r="OQI68" s="2"/>
      <c r="OQJ68" s="2"/>
      <c r="OQK68" s="2"/>
      <c r="OQL68" s="2"/>
      <c r="OQM68" s="2"/>
      <c r="OQN68" s="2"/>
      <c r="OQO68" s="2"/>
      <c r="OQP68" s="2"/>
      <c r="OQQ68" s="2"/>
      <c r="OQR68" s="2"/>
      <c r="OQS68" s="2"/>
      <c r="OQT68" s="2"/>
      <c r="OQU68" s="2"/>
      <c r="OQV68" s="2"/>
      <c r="OQW68" s="2"/>
      <c r="OQX68" s="2"/>
      <c r="OQY68" s="2"/>
      <c r="OQZ68" s="2"/>
      <c r="ORA68" s="2"/>
      <c r="ORB68" s="2"/>
      <c r="ORC68" s="2"/>
      <c r="ORD68" s="2"/>
      <c r="ORE68" s="2"/>
      <c r="ORF68" s="2"/>
      <c r="ORG68" s="2"/>
      <c r="ORH68" s="2"/>
      <c r="ORI68" s="2"/>
      <c r="ORJ68" s="2"/>
      <c r="ORK68" s="2"/>
      <c r="ORL68" s="2"/>
      <c r="ORM68" s="2"/>
      <c r="ORN68" s="2"/>
      <c r="ORO68" s="2"/>
      <c r="ORP68" s="2"/>
      <c r="ORQ68" s="2"/>
      <c r="ORR68" s="2"/>
      <c r="ORS68" s="2"/>
      <c r="ORT68" s="2"/>
      <c r="ORU68" s="2"/>
      <c r="ORV68" s="2"/>
      <c r="ORW68" s="2"/>
      <c r="ORX68" s="2"/>
      <c r="ORY68" s="2"/>
      <c r="ORZ68" s="2"/>
      <c r="OSA68" s="2"/>
      <c r="OSB68" s="2"/>
      <c r="OSC68" s="2"/>
      <c r="OSD68" s="2"/>
      <c r="OSE68" s="2"/>
      <c r="OSF68" s="2"/>
      <c r="OSG68" s="2"/>
      <c r="OSH68" s="2"/>
      <c r="OSI68" s="2"/>
      <c r="OSJ68" s="2"/>
      <c r="OSK68" s="2"/>
      <c r="OSL68" s="2"/>
      <c r="OSM68" s="2"/>
      <c r="OSN68" s="2"/>
      <c r="OSO68" s="2"/>
      <c r="OSP68" s="2"/>
      <c r="OSQ68" s="2"/>
      <c r="OSR68" s="2"/>
      <c r="OSS68" s="2"/>
      <c r="OST68" s="2"/>
      <c r="OSU68" s="2"/>
      <c r="OSV68" s="2"/>
      <c r="OSW68" s="2"/>
      <c r="OSX68" s="2"/>
      <c r="OSY68" s="2"/>
      <c r="OSZ68" s="2"/>
      <c r="OTA68" s="2"/>
      <c r="OTB68" s="2"/>
      <c r="OTC68" s="2"/>
      <c r="OTD68" s="2"/>
      <c r="OTE68" s="2"/>
      <c r="OTF68" s="2"/>
      <c r="OTG68" s="2"/>
      <c r="OTH68" s="2"/>
      <c r="OTI68" s="2"/>
      <c r="OTJ68" s="2"/>
      <c r="OTK68" s="2"/>
      <c r="OTL68" s="2"/>
      <c r="OTM68" s="2"/>
      <c r="OTN68" s="2"/>
      <c r="OTO68" s="2"/>
      <c r="OTP68" s="2"/>
      <c r="OTQ68" s="2"/>
      <c r="OTR68" s="2"/>
      <c r="OTS68" s="2"/>
      <c r="OTT68" s="2"/>
      <c r="OTU68" s="2"/>
      <c r="OTV68" s="2"/>
      <c r="OTW68" s="2"/>
      <c r="OTX68" s="2"/>
      <c r="OTY68" s="2"/>
      <c r="OTZ68" s="2"/>
      <c r="OUA68" s="2"/>
      <c r="OUB68" s="2"/>
      <c r="OUC68" s="2"/>
      <c r="OUD68" s="2"/>
      <c r="OUE68" s="2"/>
      <c r="OUF68" s="2"/>
      <c r="OUG68" s="2"/>
      <c r="OUH68" s="2"/>
      <c r="OUI68" s="2"/>
      <c r="OUJ68" s="2"/>
      <c r="OUK68" s="2"/>
      <c r="OUL68" s="2"/>
      <c r="OUM68" s="2"/>
      <c r="OUN68" s="2"/>
      <c r="OUO68" s="2"/>
      <c r="OUP68" s="2"/>
      <c r="OUQ68" s="2"/>
      <c r="OUR68" s="2"/>
      <c r="OUS68" s="2"/>
      <c r="OUT68" s="2"/>
      <c r="OUU68" s="2"/>
      <c r="OUV68" s="2"/>
      <c r="OUW68" s="2"/>
      <c r="OUX68" s="2"/>
      <c r="OUY68" s="2"/>
      <c r="OUZ68" s="2"/>
      <c r="OVA68" s="2"/>
      <c r="OVB68" s="2"/>
      <c r="OVC68" s="2"/>
      <c r="OVD68" s="2"/>
      <c r="OVE68" s="2"/>
      <c r="OVF68" s="2"/>
      <c r="OVG68" s="2"/>
      <c r="OVH68" s="2"/>
      <c r="OVI68" s="2"/>
      <c r="OVJ68" s="2"/>
      <c r="OVK68" s="2"/>
      <c r="OVL68" s="2"/>
      <c r="OVM68" s="2"/>
      <c r="OVN68" s="2"/>
      <c r="OVO68" s="2"/>
      <c r="OVP68" s="2"/>
      <c r="OVQ68" s="2"/>
      <c r="OVR68" s="2"/>
      <c r="OVS68" s="2"/>
      <c r="OVT68" s="2"/>
      <c r="OVU68" s="2"/>
      <c r="OVV68" s="2"/>
      <c r="OVW68" s="2"/>
      <c r="OVX68" s="2"/>
      <c r="OVY68" s="2"/>
      <c r="OVZ68" s="2"/>
      <c r="OWA68" s="2"/>
      <c r="OWB68" s="2"/>
      <c r="OWC68" s="2"/>
      <c r="OWD68" s="2"/>
      <c r="OWE68" s="2"/>
      <c r="OWF68" s="2"/>
      <c r="OWG68" s="2"/>
      <c r="OWH68" s="2"/>
      <c r="OWI68" s="2"/>
      <c r="OWJ68" s="2"/>
      <c r="OWK68" s="2"/>
      <c r="OWL68" s="2"/>
      <c r="OWM68" s="2"/>
      <c r="OWN68" s="2"/>
      <c r="OWO68" s="2"/>
      <c r="OWP68" s="2"/>
      <c r="OWQ68" s="2"/>
      <c r="OWR68" s="2"/>
      <c r="OWS68" s="2"/>
      <c r="OWT68" s="2"/>
      <c r="OWU68" s="2"/>
      <c r="OWV68" s="2"/>
      <c r="OWW68" s="2"/>
      <c r="OWX68" s="2"/>
      <c r="OWY68" s="2"/>
      <c r="OWZ68" s="2"/>
      <c r="OXA68" s="2"/>
      <c r="OXB68" s="2"/>
      <c r="OXC68" s="2"/>
      <c r="OXD68" s="2"/>
      <c r="OXE68" s="2"/>
      <c r="OXF68" s="2"/>
      <c r="OXG68" s="2"/>
      <c r="OXH68" s="2"/>
      <c r="OXI68" s="2"/>
      <c r="OXJ68" s="2"/>
      <c r="OXK68" s="2"/>
      <c r="OXL68" s="2"/>
      <c r="OXM68" s="2"/>
      <c r="OXN68" s="2"/>
      <c r="OXO68" s="2"/>
      <c r="OXP68" s="2"/>
      <c r="OXQ68" s="2"/>
      <c r="OXR68" s="2"/>
      <c r="OXS68" s="2"/>
      <c r="OXT68" s="2"/>
      <c r="OXU68" s="2"/>
      <c r="OXV68" s="2"/>
      <c r="OXW68" s="2"/>
      <c r="OXX68" s="2"/>
      <c r="OXY68" s="2"/>
      <c r="OXZ68" s="2"/>
      <c r="OYA68" s="2"/>
      <c r="OYB68" s="2"/>
      <c r="OYC68" s="2"/>
      <c r="OYD68" s="2"/>
      <c r="OYE68" s="2"/>
      <c r="OYF68" s="2"/>
      <c r="OYG68" s="2"/>
      <c r="OYH68" s="2"/>
      <c r="OYI68" s="2"/>
      <c r="OYJ68" s="2"/>
      <c r="OYK68" s="2"/>
      <c r="OYL68" s="2"/>
      <c r="OYM68" s="2"/>
      <c r="OYN68" s="2"/>
      <c r="OYO68" s="2"/>
      <c r="OYP68" s="2"/>
      <c r="OYQ68" s="2"/>
      <c r="OYR68" s="2"/>
      <c r="OYS68" s="2"/>
      <c r="OYT68" s="2"/>
      <c r="OYU68" s="2"/>
      <c r="OYV68" s="2"/>
      <c r="OYW68" s="2"/>
      <c r="OYX68" s="2"/>
      <c r="OYY68" s="2"/>
      <c r="OYZ68" s="2"/>
      <c r="OZA68" s="2"/>
      <c r="OZB68" s="2"/>
      <c r="OZC68" s="2"/>
      <c r="OZD68" s="2"/>
      <c r="OZE68" s="2"/>
      <c r="OZF68" s="2"/>
      <c r="OZG68" s="2"/>
      <c r="OZH68" s="2"/>
      <c r="OZI68" s="2"/>
      <c r="OZJ68" s="2"/>
      <c r="OZK68" s="2"/>
      <c r="OZL68" s="2"/>
      <c r="OZM68" s="2"/>
      <c r="OZN68" s="2"/>
      <c r="OZO68" s="2"/>
      <c r="OZP68" s="2"/>
      <c r="OZQ68" s="2"/>
      <c r="OZR68" s="2"/>
      <c r="OZS68" s="2"/>
      <c r="OZT68" s="2"/>
      <c r="OZU68" s="2"/>
      <c r="OZV68" s="2"/>
      <c r="OZW68" s="2"/>
      <c r="OZX68" s="2"/>
      <c r="OZY68" s="2"/>
      <c r="OZZ68" s="2"/>
      <c r="PAA68" s="2"/>
      <c r="PAB68" s="2"/>
      <c r="PAC68" s="2"/>
      <c r="PAD68" s="2"/>
      <c r="PAE68" s="2"/>
      <c r="PAF68" s="2"/>
      <c r="PAG68" s="2"/>
      <c r="PAH68" s="2"/>
      <c r="PAI68" s="2"/>
      <c r="PAJ68" s="2"/>
      <c r="PAK68" s="2"/>
      <c r="PAL68" s="2"/>
      <c r="PAM68" s="2"/>
      <c r="PAN68" s="2"/>
      <c r="PAO68" s="2"/>
      <c r="PAP68" s="2"/>
      <c r="PAQ68" s="2"/>
      <c r="PAR68" s="2"/>
      <c r="PAS68" s="2"/>
      <c r="PAT68" s="2"/>
      <c r="PAU68" s="2"/>
      <c r="PAV68" s="2"/>
      <c r="PAW68" s="2"/>
      <c r="PAX68" s="2"/>
      <c r="PAY68" s="2"/>
      <c r="PAZ68" s="2"/>
      <c r="PBA68" s="2"/>
      <c r="PBB68" s="2"/>
      <c r="PBC68" s="2"/>
      <c r="PBD68" s="2"/>
      <c r="PBE68" s="2"/>
      <c r="PBF68" s="2"/>
      <c r="PBG68" s="2"/>
      <c r="PBH68" s="2"/>
      <c r="PBI68" s="2"/>
      <c r="PBJ68" s="2"/>
      <c r="PBK68" s="2"/>
      <c r="PBL68" s="2"/>
      <c r="PBM68" s="2"/>
      <c r="PBN68" s="2"/>
      <c r="PBO68" s="2"/>
      <c r="PBP68" s="2"/>
      <c r="PBQ68" s="2"/>
      <c r="PBR68" s="2"/>
      <c r="PBS68" s="2"/>
      <c r="PBT68" s="2"/>
      <c r="PBU68" s="2"/>
      <c r="PBV68" s="2"/>
      <c r="PBW68" s="2"/>
      <c r="PBX68" s="2"/>
      <c r="PBY68" s="2"/>
      <c r="PBZ68" s="2"/>
      <c r="PCA68" s="2"/>
      <c r="PCB68" s="2"/>
      <c r="PCC68" s="2"/>
      <c r="PCD68" s="2"/>
      <c r="PCE68" s="2"/>
      <c r="PCF68" s="2"/>
      <c r="PCG68" s="2"/>
      <c r="PCH68" s="2"/>
      <c r="PCI68" s="2"/>
      <c r="PCJ68" s="2"/>
      <c r="PCK68" s="2"/>
      <c r="PCL68" s="2"/>
      <c r="PCM68" s="2"/>
      <c r="PCN68" s="2"/>
      <c r="PCO68" s="2"/>
      <c r="PCP68" s="2"/>
      <c r="PCQ68" s="2"/>
      <c r="PCR68" s="2"/>
      <c r="PCS68" s="2"/>
      <c r="PCT68" s="2"/>
      <c r="PCU68" s="2"/>
      <c r="PCV68" s="2"/>
      <c r="PCW68" s="2"/>
      <c r="PCX68" s="2"/>
      <c r="PCY68" s="2"/>
      <c r="PCZ68" s="2"/>
      <c r="PDA68" s="2"/>
      <c r="PDB68" s="2"/>
      <c r="PDC68" s="2"/>
      <c r="PDD68" s="2"/>
      <c r="PDE68" s="2"/>
      <c r="PDF68" s="2"/>
      <c r="PDG68" s="2"/>
      <c r="PDH68" s="2"/>
      <c r="PDI68" s="2"/>
      <c r="PDJ68" s="2"/>
      <c r="PDK68" s="2"/>
      <c r="PDL68" s="2"/>
      <c r="PDM68" s="2"/>
      <c r="PDN68" s="2"/>
      <c r="PDO68" s="2"/>
      <c r="PDP68" s="2"/>
      <c r="PDQ68" s="2"/>
      <c r="PDR68" s="2"/>
      <c r="PDS68" s="2"/>
      <c r="PDT68" s="2"/>
      <c r="PDU68" s="2"/>
      <c r="PDV68" s="2"/>
      <c r="PDW68" s="2"/>
      <c r="PDX68" s="2"/>
      <c r="PDY68" s="2"/>
      <c r="PDZ68" s="2"/>
      <c r="PEA68" s="2"/>
      <c r="PEB68" s="2"/>
      <c r="PEC68" s="2"/>
      <c r="PED68" s="2"/>
      <c r="PEE68" s="2"/>
      <c r="PEF68" s="2"/>
      <c r="PEG68" s="2"/>
      <c r="PEH68" s="2"/>
      <c r="PEI68" s="2"/>
      <c r="PEJ68" s="2"/>
      <c r="PEK68" s="2"/>
      <c r="PEL68" s="2"/>
      <c r="PEM68" s="2"/>
      <c r="PEN68" s="2"/>
      <c r="PEO68" s="2"/>
      <c r="PEP68" s="2"/>
      <c r="PEQ68" s="2"/>
      <c r="PER68" s="2"/>
      <c r="PES68" s="2"/>
      <c r="PET68" s="2"/>
      <c r="PEU68" s="2"/>
      <c r="PEV68" s="2"/>
      <c r="PEW68" s="2"/>
      <c r="PEX68" s="2"/>
      <c r="PEY68" s="2"/>
      <c r="PEZ68" s="2"/>
      <c r="PFA68" s="2"/>
      <c r="PFB68" s="2"/>
      <c r="PFC68" s="2"/>
      <c r="PFD68" s="2"/>
      <c r="PFE68" s="2"/>
      <c r="PFF68" s="2"/>
      <c r="PFG68" s="2"/>
      <c r="PFH68" s="2"/>
      <c r="PFI68" s="2"/>
      <c r="PFJ68" s="2"/>
      <c r="PFK68" s="2"/>
      <c r="PFL68" s="2"/>
      <c r="PFM68" s="2"/>
      <c r="PFN68" s="2"/>
      <c r="PFO68" s="2"/>
      <c r="PFP68" s="2"/>
      <c r="PFQ68" s="2"/>
      <c r="PFR68" s="2"/>
      <c r="PFS68" s="2"/>
      <c r="PFT68" s="2"/>
      <c r="PFU68" s="2"/>
      <c r="PFV68" s="2"/>
      <c r="PFW68" s="2"/>
      <c r="PFX68" s="2"/>
      <c r="PFY68" s="2"/>
      <c r="PFZ68" s="2"/>
      <c r="PGA68" s="2"/>
      <c r="PGB68" s="2"/>
      <c r="PGC68" s="2"/>
      <c r="PGD68" s="2"/>
      <c r="PGE68" s="2"/>
      <c r="PGF68" s="2"/>
      <c r="PGG68" s="2"/>
      <c r="PGH68" s="2"/>
      <c r="PGI68" s="2"/>
      <c r="PGJ68" s="2"/>
      <c r="PGK68" s="2"/>
      <c r="PGL68" s="2"/>
      <c r="PGM68" s="2"/>
      <c r="PGN68" s="2"/>
      <c r="PGO68" s="2"/>
      <c r="PGP68" s="2"/>
      <c r="PGQ68" s="2"/>
      <c r="PGR68" s="2"/>
      <c r="PGS68" s="2"/>
      <c r="PGT68" s="2"/>
      <c r="PGU68" s="2"/>
      <c r="PGV68" s="2"/>
      <c r="PGW68" s="2"/>
      <c r="PGX68" s="2"/>
      <c r="PGY68" s="2"/>
      <c r="PGZ68" s="2"/>
      <c r="PHA68" s="2"/>
      <c r="PHB68" s="2"/>
      <c r="PHC68" s="2"/>
      <c r="PHD68" s="2"/>
      <c r="PHE68" s="2"/>
      <c r="PHF68" s="2"/>
      <c r="PHG68" s="2"/>
      <c r="PHH68" s="2"/>
      <c r="PHI68" s="2"/>
      <c r="PHJ68" s="2"/>
      <c r="PHK68" s="2"/>
      <c r="PHL68" s="2"/>
      <c r="PHM68" s="2"/>
      <c r="PHN68" s="2"/>
      <c r="PHO68" s="2"/>
      <c r="PHP68" s="2"/>
      <c r="PHQ68" s="2"/>
      <c r="PHR68" s="2"/>
      <c r="PHS68" s="2"/>
      <c r="PHT68" s="2"/>
      <c r="PHU68" s="2"/>
      <c r="PHV68" s="2"/>
      <c r="PHW68" s="2"/>
      <c r="PHX68" s="2"/>
      <c r="PHY68" s="2"/>
      <c r="PHZ68" s="2"/>
      <c r="PIA68" s="2"/>
      <c r="PIB68" s="2"/>
      <c r="PIC68" s="2"/>
      <c r="PID68" s="2"/>
      <c r="PIE68" s="2"/>
      <c r="PIF68" s="2"/>
      <c r="PIG68" s="2"/>
      <c r="PIH68" s="2"/>
      <c r="PII68" s="2"/>
      <c r="PIJ68" s="2"/>
      <c r="PIK68" s="2"/>
      <c r="PIL68" s="2"/>
      <c r="PIM68" s="2"/>
      <c r="PIN68" s="2"/>
      <c r="PIO68" s="2"/>
      <c r="PIP68" s="2"/>
      <c r="PIQ68" s="2"/>
      <c r="PIR68" s="2"/>
      <c r="PIS68" s="2"/>
      <c r="PIT68" s="2"/>
      <c r="PIU68" s="2"/>
      <c r="PIV68" s="2"/>
      <c r="PIW68" s="2"/>
      <c r="PIX68" s="2"/>
      <c r="PIY68" s="2"/>
      <c r="PIZ68" s="2"/>
      <c r="PJA68" s="2"/>
      <c r="PJB68" s="2"/>
      <c r="PJC68" s="2"/>
      <c r="PJD68" s="2"/>
      <c r="PJE68" s="2"/>
      <c r="PJF68" s="2"/>
      <c r="PJG68" s="2"/>
      <c r="PJH68" s="2"/>
      <c r="PJI68" s="2"/>
      <c r="PJJ68" s="2"/>
      <c r="PJK68" s="2"/>
      <c r="PJL68" s="2"/>
      <c r="PJM68" s="2"/>
      <c r="PJN68" s="2"/>
      <c r="PJO68" s="2"/>
      <c r="PJP68" s="2"/>
      <c r="PJQ68" s="2"/>
      <c r="PJR68" s="2"/>
      <c r="PJS68" s="2"/>
      <c r="PJT68" s="2"/>
      <c r="PJU68" s="2"/>
      <c r="PJV68" s="2"/>
      <c r="PJW68" s="2"/>
      <c r="PJX68" s="2"/>
      <c r="PJY68" s="2"/>
      <c r="PJZ68" s="2"/>
      <c r="PKA68" s="2"/>
      <c r="PKB68" s="2"/>
      <c r="PKC68" s="2"/>
      <c r="PKD68" s="2"/>
      <c r="PKE68" s="2"/>
      <c r="PKF68" s="2"/>
      <c r="PKG68" s="2"/>
      <c r="PKH68" s="2"/>
      <c r="PKI68" s="2"/>
      <c r="PKJ68" s="2"/>
      <c r="PKK68" s="2"/>
      <c r="PKL68" s="2"/>
      <c r="PKM68" s="2"/>
      <c r="PKN68" s="2"/>
      <c r="PKO68" s="2"/>
      <c r="PKP68" s="2"/>
      <c r="PKQ68" s="2"/>
      <c r="PKR68" s="2"/>
      <c r="PKS68" s="2"/>
      <c r="PKT68" s="2"/>
      <c r="PKU68" s="2"/>
      <c r="PKV68" s="2"/>
      <c r="PKW68" s="2"/>
      <c r="PKX68" s="2"/>
      <c r="PKY68" s="2"/>
      <c r="PKZ68" s="2"/>
      <c r="PLA68" s="2"/>
      <c r="PLB68" s="2"/>
      <c r="PLC68" s="2"/>
      <c r="PLD68" s="2"/>
      <c r="PLE68" s="2"/>
      <c r="PLF68" s="2"/>
      <c r="PLG68" s="2"/>
      <c r="PLH68" s="2"/>
      <c r="PLI68" s="2"/>
      <c r="PLJ68" s="2"/>
      <c r="PLK68" s="2"/>
      <c r="PLL68" s="2"/>
      <c r="PLM68" s="2"/>
      <c r="PLN68" s="2"/>
      <c r="PLO68" s="2"/>
      <c r="PLP68" s="2"/>
      <c r="PLQ68" s="2"/>
      <c r="PLR68" s="2"/>
      <c r="PLS68" s="2"/>
      <c r="PLT68" s="2"/>
      <c r="PLU68" s="2"/>
      <c r="PLV68" s="2"/>
      <c r="PLW68" s="2"/>
      <c r="PLX68" s="2"/>
      <c r="PLY68" s="2"/>
      <c r="PLZ68" s="2"/>
      <c r="PMA68" s="2"/>
      <c r="PMB68" s="2"/>
      <c r="PMC68" s="2"/>
      <c r="PMD68" s="2"/>
      <c r="PME68" s="2"/>
      <c r="PMF68" s="2"/>
      <c r="PMG68" s="2"/>
      <c r="PMH68" s="2"/>
      <c r="PMI68" s="2"/>
      <c r="PMJ68" s="2"/>
      <c r="PMK68" s="2"/>
      <c r="PML68" s="2"/>
      <c r="PMM68" s="2"/>
      <c r="PMN68" s="2"/>
      <c r="PMO68" s="2"/>
      <c r="PMP68" s="2"/>
      <c r="PMQ68" s="2"/>
      <c r="PMR68" s="2"/>
      <c r="PMS68" s="2"/>
      <c r="PMT68" s="2"/>
      <c r="PMU68" s="2"/>
      <c r="PMV68" s="2"/>
      <c r="PMW68" s="2"/>
      <c r="PMX68" s="2"/>
      <c r="PMY68" s="2"/>
      <c r="PMZ68" s="2"/>
      <c r="PNA68" s="2"/>
      <c r="PNB68" s="2"/>
      <c r="PNC68" s="2"/>
      <c r="PND68" s="2"/>
      <c r="PNE68" s="2"/>
      <c r="PNF68" s="2"/>
      <c r="PNG68" s="2"/>
      <c r="PNH68" s="2"/>
      <c r="PNI68" s="2"/>
      <c r="PNJ68" s="2"/>
      <c r="PNK68" s="2"/>
      <c r="PNL68" s="2"/>
      <c r="PNM68" s="2"/>
      <c r="PNN68" s="2"/>
      <c r="PNO68" s="2"/>
      <c r="PNP68" s="2"/>
      <c r="PNQ68" s="2"/>
      <c r="PNR68" s="2"/>
      <c r="PNS68" s="2"/>
      <c r="PNT68" s="2"/>
      <c r="PNU68" s="2"/>
      <c r="PNV68" s="2"/>
      <c r="PNW68" s="2"/>
      <c r="PNX68" s="2"/>
      <c r="PNY68" s="2"/>
      <c r="PNZ68" s="2"/>
      <c r="POA68" s="2"/>
      <c r="POB68" s="2"/>
      <c r="POC68" s="2"/>
      <c r="POD68" s="2"/>
      <c r="POE68" s="2"/>
      <c r="POF68" s="2"/>
      <c r="POG68" s="2"/>
      <c r="POH68" s="2"/>
      <c r="POI68" s="2"/>
      <c r="POJ68" s="2"/>
      <c r="POK68" s="2"/>
      <c r="POL68" s="2"/>
      <c r="POM68" s="2"/>
      <c r="PON68" s="2"/>
      <c r="POO68" s="2"/>
      <c r="POP68" s="2"/>
      <c r="POQ68" s="2"/>
      <c r="POR68" s="2"/>
      <c r="POS68" s="2"/>
      <c r="POT68" s="2"/>
      <c r="POU68" s="2"/>
      <c r="POV68" s="2"/>
      <c r="POW68" s="2"/>
      <c r="POX68" s="2"/>
      <c r="POY68" s="2"/>
      <c r="POZ68" s="2"/>
      <c r="PPA68" s="2"/>
      <c r="PPB68" s="2"/>
      <c r="PPC68" s="2"/>
      <c r="PPD68" s="2"/>
      <c r="PPE68" s="2"/>
      <c r="PPF68" s="2"/>
      <c r="PPG68" s="2"/>
      <c r="PPH68" s="2"/>
      <c r="PPI68" s="2"/>
      <c r="PPJ68" s="2"/>
      <c r="PPK68" s="2"/>
      <c r="PPL68" s="2"/>
      <c r="PPM68" s="2"/>
      <c r="PPN68" s="2"/>
      <c r="PPO68" s="2"/>
      <c r="PPP68" s="2"/>
      <c r="PPQ68" s="2"/>
      <c r="PPR68" s="2"/>
      <c r="PPS68" s="2"/>
      <c r="PPT68" s="2"/>
      <c r="PPU68" s="2"/>
      <c r="PPV68" s="2"/>
      <c r="PPW68" s="2"/>
      <c r="PPX68" s="2"/>
      <c r="PPY68" s="2"/>
      <c r="PPZ68" s="2"/>
      <c r="PQA68" s="2"/>
      <c r="PQB68" s="2"/>
      <c r="PQC68" s="2"/>
      <c r="PQD68" s="2"/>
      <c r="PQE68" s="2"/>
      <c r="PQF68" s="2"/>
      <c r="PQG68" s="2"/>
      <c r="PQH68" s="2"/>
      <c r="PQI68" s="2"/>
      <c r="PQJ68" s="2"/>
      <c r="PQK68" s="2"/>
      <c r="PQL68" s="2"/>
      <c r="PQM68" s="2"/>
      <c r="PQN68" s="2"/>
      <c r="PQO68" s="2"/>
      <c r="PQP68" s="2"/>
      <c r="PQQ68" s="2"/>
      <c r="PQR68" s="2"/>
      <c r="PQS68" s="2"/>
      <c r="PQT68" s="2"/>
      <c r="PQU68" s="2"/>
      <c r="PQV68" s="2"/>
      <c r="PQW68" s="2"/>
      <c r="PQX68" s="2"/>
      <c r="PQY68" s="2"/>
      <c r="PQZ68" s="2"/>
      <c r="PRA68" s="2"/>
      <c r="PRB68" s="2"/>
      <c r="PRC68" s="2"/>
      <c r="PRD68" s="2"/>
      <c r="PRE68" s="2"/>
      <c r="PRF68" s="2"/>
      <c r="PRG68" s="2"/>
      <c r="PRH68" s="2"/>
      <c r="PRI68" s="2"/>
      <c r="PRJ68" s="2"/>
      <c r="PRK68" s="2"/>
      <c r="PRL68" s="2"/>
      <c r="PRM68" s="2"/>
      <c r="PRN68" s="2"/>
      <c r="PRO68" s="2"/>
      <c r="PRP68" s="2"/>
      <c r="PRQ68" s="2"/>
      <c r="PRR68" s="2"/>
      <c r="PRS68" s="2"/>
      <c r="PRT68" s="2"/>
      <c r="PRU68" s="2"/>
      <c r="PRV68" s="2"/>
      <c r="PRW68" s="2"/>
      <c r="PRX68" s="2"/>
      <c r="PRY68" s="2"/>
      <c r="PRZ68" s="2"/>
      <c r="PSA68" s="2"/>
      <c r="PSB68" s="2"/>
      <c r="PSC68" s="2"/>
      <c r="PSD68" s="2"/>
      <c r="PSE68" s="2"/>
      <c r="PSF68" s="2"/>
      <c r="PSG68" s="2"/>
      <c r="PSH68" s="2"/>
      <c r="PSI68" s="2"/>
      <c r="PSJ68" s="2"/>
      <c r="PSK68" s="2"/>
      <c r="PSL68" s="2"/>
      <c r="PSM68" s="2"/>
      <c r="PSN68" s="2"/>
      <c r="PSO68" s="2"/>
      <c r="PSP68" s="2"/>
      <c r="PSQ68" s="2"/>
      <c r="PSR68" s="2"/>
      <c r="PSS68" s="2"/>
      <c r="PST68" s="2"/>
      <c r="PSU68" s="2"/>
      <c r="PSV68" s="2"/>
      <c r="PSW68" s="2"/>
      <c r="PSX68" s="2"/>
      <c r="PSY68" s="2"/>
      <c r="PSZ68" s="2"/>
      <c r="PTA68" s="2"/>
      <c r="PTB68" s="2"/>
      <c r="PTC68" s="2"/>
      <c r="PTD68" s="2"/>
      <c r="PTE68" s="2"/>
      <c r="PTF68" s="2"/>
      <c r="PTG68" s="2"/>
      <c r="PTH68" s="2"/>
      <c r="PTI68" s="2"/>
      <c r="PTJ68" s="2"/>
      <c r="PTK68" s="2"/>
      <c r="PTL68" s="2"/>
      <c r="PTM68" s="2"/>
      <c r="PTN68" s="2"/>
      <c r="PTO68" s="2"/>
      <c r="PTP68" s="2"/>
      <c r="PTQ68" s="2"/>
      <c r="PTR68" s="2"/>
      <c r="PTS68" s="2"/>
      <c r="PTT68" s="2"/>
      <c r="PTU68" s="2"/>
      <c r="PTV68" s="2"/>
      <c r="PTW68" s="2"/>
      <c r="PTX68" s="2"/>
      <c r="PTY68" s="2"/>
      <c r="PTZ68" s="2"/>
      <c r="PUA68" s="2"/>
      <c r="PUB68" s="2"/>
      <c r="PUC68" s="2"/>
      <c r="PUD68" s="2"/>
      <c r="PUE68" s="2"/>
      <c r="PUF68" s="2"/>
      <c r="PUG68" s="2"/>
      <c r="PUH68" s="2"/>
      <c r="PUI68" s="2"/>
      <c r="PUJ68" s="2"/>
      <c r="PUK68" s="2"/>
      <c r="PUL68" s="2"/>
      <c r="PUM68" s="2"/>
      <c r="PUN68" s="2"/>
      <c r="PUO68" s="2"/>
      <c r="PUP68" s="2"/>
      <c r="PUQ68" s="2"/>
      <c r="PUR68" s="2"/>
      <c r="PUS68" s="2"/>
      <c r="PUT68" s="2"/>
      <c r="PUU68" s="2"/>
      <c r="PUV68" s="2"/>
      <c r="PUW68" s="2"/>
      <c r="PUX68" s="2"/>
      <c r="PUY68" s="2"/>
      <c r="PUZ68" s="2"/>
      <c r="PVA68" s="2"/>
      <c r="PVB68" s="2"/>
      <c r="PVC68" s="2"/>
      <c r="PVD68" s="2"/>
      <c r="PVE68" s="2"/>
      <c r="PVF68" s="2"/>
      <c r="PVG68" s="2"/>
      <c r="PVH68" s="2"/>
      <c r="PVI68" s="2"/>
      <c r="PVJ68" s="2"/>
      <c r="PVK68" s="2"/>
      <c r="PVL68" s="2"/>
      <c r="PVM68" s="2"/>
      <c r="PVN68" s="2"/>
      <c r="PVO68" s="2"/>
      <c r="PVP68" s="2"/>
      <c r="PVQ68" s="2"/>
      <c r="PVR68" s="2"/>
      <c r="PVS68" s="2"/>
      <c r="PVT68" s="2"/>
      <c r="PVU68" s="2"/>
      <c r="PVV68" s="2"/>
      <c r="PVW68" s="2"/>
      <c r="PVX68" s="2"/>
      <c r="PVY68" s="2"/>
      <c r="PVZ68" s="2"/>
      <c r="PWA68" s="2"/>
      <c r="PWB68" s="2"/>
      <c r="PWC68" s="2"/>
      <c r="PWD68" s="2"/>
      <c r="PWE68" s="2"/>
      <c r="PWF68" s="2"/>
      <c r="PWG68" s="2"/>
      <c r="PWH68" s="2"/>
      <c r="PWI68" s="2"/>
      <c r="PWJ68" s="2"/>
      <c r="PWK68" s="2"/>
      <c r="PWL68" s="2"/>
      <c r="PWM68" s="2"/>
      <c r="PWN68" s="2"/>
      <c r="PWO68" s="2"/>
      <c r="PWP68" s="2"/>
      <c r="PWQ68" s="2"/>
      <c r="PWR68" s="2"/>
      <c r="PWS68" s="2"/>
      <c r="PWT68" s="2"/>
      <c r="PWU68" s="2"/>
      <c r="PWV68" s="2"/>
      <c r="PWW68" s="2"/>
      <c r="PWX68" s="2"/>
      <c r="PWY68" s="2"/>
      <c r="PWZ68" s="2"/>
      <c r="PXA68" s="2"/>
      <c r="PXB68" s="2"/>
      <c r="PXC68" s="2"/>
      <c r="PXD68" s="2"/>
      <c r="PXE68" s="2"/>
      <c r="PXF68" s="2"/>
      <c r="PXG68" s="2"/>
      <c r="PXH68" s="2"/>
      <c r="PXI68" s="2"/>
      <c r="PXJ68" s="2"/>
      <c r="PXK68" s="2"/>
      <c r="PXL68" s="2"/>
      <c r="PXM68" s="2"/>
      <c r="PXN68" s="2"/>
      <c r="PXO68" s="2"/>
      <c r="PXP68" s="2"/>
      <c r="PXQ68" s="2"/>
      <c r="PXR68" s="2"/>
      <c r="PXS68" s="2"/>
      <c r="PXT68" s="2"/>
      <c r="PXU68" s="2"/>
      <c r="PXV68" s="2"/>
      <c r="PXW68" s="2"/>
      <c r="PXX68" s="2"/>
      <c r="PXY68" s="2"/>
      <c r="PXZ68" s="2"/>
      <c r="PYA68" s="2"/>
      <c r="PYB68" s="2"/>
      <c r="PYC68" s="2"/>
      <c r="PYD68" s="2"/>
      <c r="PYE68" s="2"/>
      <c r="PYF68" s="2"/>
      <c r="PYG68" s="2"/>
      <c r="PYH68" s="2"/>
      <c r="PYI68" s="2"/>
      <c r="PYJ68" s="2"/>
      <c r="PYK68" s="2"/>
      <c r="PYL68" s="2"/>
      <c r="PYM68" s="2"/>
      <c r="PYN68" s="2"/>
      <c r="PYO68" s="2"/>
      <c r="PYP68" s="2"/>
      <c r="PYQ68" s="2"/>
      <c r="PYR68" s="2"/>
      <c r="PYS68" s="2"/>
      <c r="PYT68" s="2"/>
      <c r="PYU68" s="2"/>
      <c r="PYV68" s="2"/>
      <c r="PYW68" s="2"/>
      <c r="PYX68" s="2"/>
      <c r="PYY68" s="2"/>
      <c r="PYZ68" s="2"/>
      <c r="PZA68" s="2"/>
      <c r="PZB68" s="2"/>
      <c r="PZC68" s="2"/>
      <c r="PZD68" s="2"/>
      <c r="PZE68" s="2"/>
      <c r="PZF68" s="2"/>
      <c r="PZG68" s="2"/>
      <c r="PZH68" s="2"/>
      <c r="PZI68" s="2"/>
      <c r="PZJ68" s="2"/>
      <c r="PZK68" s="2"/>
      <c r="PZL68" s="2"/>
      <c r="PZM68" s="2"/>
      <c r="PZN68" s="2"/>
      <c r="PZO68" s="2"/>
      <c r="PZP68" s="2"/>
      <c r="PZQ68" s="2"/>
      <c r="PZR68" s="2"/>
      <c r="PZS68" s="2"/>
      <c r="PZT68" s="2"/>
      <c r="PZU68" s="2"/>
      <c r="PZV68" s="2"/>
      <c r="PZW68" s="2"/>
      <c r="PZX68" s="2"/>
      <c r="PZY68" s="2"/>
      <c r="PZZ68" s="2"/>
      <c r="QAA68" s="2"/>
      <c r="QAB68" s="2"/>
      <c r="QAC68" s="2"/>
      <c r="QAD68" s="2"/>
      <c r="QAE68" s="2"/>
      <c r="QAF68" s="2"/>
      <c r="QAG68" s="2"/>
      <c r="QAH68" s="2"/>
      <c r="QAI68" s="2"/>
      <c r="QAJ68" s="2"/>
      <c r="QAK68" s="2"/>
      <c r="QAL68" s="2"/>
      <c r="QAM68" s="2"/>
      <c r="QAN68" s="2"/>
      <c r="QAO68" s="2"/>
      <c r="QAP68" s="2"/>
      <c r="QAQ68" s="2"/>
      <c r="QAR68" s="2"/>
      <c r="QAS68" s="2"/>
      <c r="QAT68" s="2"/>
      <c r="QAU68" s="2"/>
      <c r="QAV68" s="2"/>
      <c r="QAW68" s="2"/>
      <c r="QAX68" s="2"/>
      <c r="QAY68" s="2"/>
      <c r="QAZ68" s="2"/>
      <c r="QBA68" s="2"/>
      <c r="QBB68" s="2"/>
      <c r="QBC68" s="2"/>
      <c r="QBD68" s="2"/>
      <c r="QBE68" s="2"/>
      <c r="QBF68" s="2"/>
      <c r="QBG68" s="2"/>
      <c r="QBH68" s="2"/>
      <c r="QBI68" s="2"/>
      <c r="QBJ68" s="2"/>
      <c r="QBK68" s="2"/>
      <c r="QBL68" s="2"/>
      <c r="QBM68" s="2"/>
      <c r="QBN68" s="2"/>
      <c r="QBO68" s="2"/>
      <c r="QBP68" s="2"/>
      <c r="QBQ68" s="2"/>
      <c r="QBR68" s="2"/>
      <c r="QBS68" s="2"/>
      <c r="QBT68" s="2"/>
      <c r="QBU68" s="2"/>
      <c r="QBV68" s="2"/>
      <c r="QBW68" s="2"/>
      <c r="QBX68" s="2"/>
      <c r="QBY68" s="2"/>
      <c r="QBZ68" s="2"/>
      <c r="QCA68" s="2"/>
      <c r="QCB68" s="2"/>
      <c r="QCC68" s="2"/>
      <c r="QCD68" s="2"/>
      <c r="QCE68" s="2"/>
      <c r="QCF68" s="2"/>
      <c r="QCG68" s="2"/>
      <c r="QCH68" s="2"/>
      <c r="QCI68" s="2"/>
      <c r="QCJ68" s="2"/>
      <c r="QCK68" s="2"/>
      <c r="QCL68" s="2"/>
      <c r="QCM68" s="2"/>
      <c r="QCN68" s="2"/>
      <c r="QCO68" s="2"/>
      <c r="QCP68" s="2"/>
      <c r="QCQ68" s="2"/>
      <c r="QCR68" s="2"/>
      <c r="QCS68" s="2"/>
      <c r="QCT68" s="2"/>
      <c r="QCU68" s="2"/>
      <c r="QCV68" s="2"/>
      <c r="QCW68" s="2"/>
      <c r="QCX68" s="2"/>
      <c r="QCY68" s="2"/>
      <c r="QCZ68" s="2"/>
      <c r="QDA68" s="2"/>
      <c r="QDB68" s="2"/>
      <c r="QDC68" s="2"/>
      <c r="QDD68" s="2"/>
      <c r="QDE68" s="2"/>
      <c r="QDF68" s="2"/>
      <c r="QDG68" s="2"/>
      <c r="QDH68" s="2"/>
      <c r="QDI68" s="2"/>
      <c r="QDJ68" s="2"/>
      <c r="QDK68" s="2"/>
      <c r="QDL68" s="2"/>
      <c r="QDM68" s="2"/>
      <c r="QDN68" s="2"/>
      <c r="QDO68" s="2"/>
      <c r="QDP68" s="2"/>
      <c r="QDQ68" s="2"/>
      <c r="QDR68" s="2"/>
      <c r="QDS68" s="2"/>
      <c r="QDT68" s="2"/>
      <c r="QDU68" s="2"/>
      <c r="QDV68" s="2"/>
      <c r="QDW68" s="2"/>
      <c r="QDX68" s="2"/>
      <c r="QDY68" s="2"/>
      <c r="QDZ68" s="2"/>
      <c r="QEA68" s="2"/>
      <c r="QEB68" s="2"/>
      <c r="QEC68" s="2"/>
      <c r="QED68" s="2"/>
      <c r="QEE68" s="2"/>
      <c r="QEF68" s="2"/>
      <c r="QEG68" s="2"/>
      <c r="QEH68" s="2"/>
      <c r="QEI68" s="2"/>
      <c r="QEJ68" s="2"/>
      <c r="QEK68" s="2"/>
      <c r="QEL68" s="2"/>
      <c r="QEM68" s="2"/>
      <c r="QEN68" s="2"/>
      <c r="QEO68" s="2"/>
      <c r="QEP68" s="2"/>
      <c r="QEQ68" s="2"/>
      <c r="QER68" s="2"/>
      <c r="QES68" s="2"/>
      <c r="QET68" s="2"/>
      <c r="QEU68" s="2"/>
      <c r="QEV68" s="2"/>
      <c r="QEW68" s="2"/>
      <c r="QEX68" s="2"/>
      <c r="QEY68" s="2"/>
      <c r="QEZ68" s="2"/>
      <c r="QFA68" s="2"/>
      <c r="QFB68" s="2"/>
      <c r="QFC68" s="2"/>
      <c r="QFD68" s="2"/>
      <c r="QFE68" s="2"/>
      <c r="QFF68" s="2"/>
      <c r="QFG68" s="2"/>
      <c r="QFH68" s="2"/>
      <c r="QFI68" s="2"/>
      <c r="QFJ68" s="2"/>
      <c r="QFK68" s="2"/>
      <c r="QFL68" s="2"/>
      <c r="QFM68" s="2"/>
      <c r="QFN68" s="2"/>
      <c r="QFO68" s="2"/>
      <c r="QFP68" s="2"/>
      <c r="QFQ68" s="2"/>
      <c r="QFR68" s="2"/>
      <c r="QFS68" s="2"/>
      <c r="QFT68" s="2"/>
      <c r="QFU68" s="2"/>
      <c r="QFV68" s="2"/>
      <c r="QFW68" s="2"/>
      <c r="QFX68" s="2"/>
      <c r="QFY68" s="2"/>
      <c r="QFZ68" s="2"/>
      <c r="QGA68" s="2"/>
      <c r="QGB68" s="2"/>
      <c r="QGC68" s="2"/>
      <c r="QGD68" s="2"/>
      <c r="QGE68" s="2"/>
      <c r="QGF68" s="2"/>
      <c r="QGG68" s="2"/>
      <c r="QGH68" s="2"/>
      <c r="QGI68" s="2"/>
      <c r="QGJ68" s="2"/>
      <c r="QGK68" s="2"/>
      <c r="QGL68" s="2"/>
      <c r="QGM68" s="2"/>
      <c r="QGN68" s="2"/>
      <c r="QGO68" s="2"/>
      <c r="QGP68" s="2"/>
      <c r="QGQ68" s="2"/>
      <c r="QGR68" s="2"/>
      <c r="QGS68" s="2"/>
      <c r="QGT68" s="2"/>
      <c r="QGU68" s="2"/>
      <c r="QGV68" s="2"/>
      <c r="QGW68" s="2"/>
      <c r="QGX68" s="2"/>
      <c r="QGY68" s="2"/>
      <c r="QGZ68" s="2"/>
      <c r="QHA68" s="2"/>
      <c r="QHB68" s="2"/>
      <c r="QHC68" s="2"/>
      <c r="QHD68" s="2"/>
      <c r="QHE68" s="2"/>
      <c r="QHF68" s="2"/>
      <c r="QHG68" s="2"/>
      <c r="QHH68" s="2"/>
      <c r="QHI68" s="2"/>
      <c r="QHJ68" s="2"/>
      <c r="QHK68" s="2"/>
      <c r="QHL68" s="2"/>
      <c r="QHM68" s="2"/>
      <c r="QHN68" s="2"/>
      <c r="QHO68" s="2"/>
      <c r="QHP68" s="2"/>
      <c r="QHQ68" s="2"/>
      <c r="QHR68" s="2"/>
      <c r="QHS68" s="2"/>
      <c r="QHT68" s="2"/>
      <c r="QHU68" s="2"/>
      <c r="QHV68" s="2"/>
      <c r="QHW68" s="2"/>
      <c r="QHX68" s="2"/>
      <c r="QHY68" s="2"/>
      <c r="QHZ68" s="2"/>
      <c r="QIA68" s="2"/>
      <c r="QIB68" s="2"/>
      <c r="QIC68" s="2"/>
      <c r="QID68" s="2"/>
      <c r="QIE68" s="2"/>
      <c r="QIF68" s="2"/>
      <c r="QIG68" s="2"/>
      <c r="QIH68" s="2"/>
      <c r="QII68" s="2"/>
      <c r="QIJ68" s="2"/>
      <c r="QIK68" s="2"/>
      <c r="QIL68" s="2"/>
      <c r="QIM68" s="2"/>
      <c r="QIN68" s="2"/>
      <c r="QIO68" s="2"/>
      <c r="QIP68" s="2"/>
      <c r="QIQ68" s="2"/>
      <c r="QIR68" s="2"/>
      <c r="QIS68" s="2"/>
      <c r="QIT68" s="2"/>
      <c r="QIU68" s="2"/>
      <c r="QIV68" s="2"/>
      <c r="QIW68" s="2"/>
      <c r="QIX68" s="2"/>
      <c r="QIY68" s="2"/>
      <c r="QIZ68" s="2"/>
      <c r="QJA68" s="2"/>
      <c r="QJB68" s="2"/>
      <c r="QJC68" s="2"/>
      <c r="QJD68" s="2"/>
      <c r="QJE68" s="2"/>
      <c r="QJF68" s="2"/>
      <c r="QJG68" s="2"/>
      <c r="QJH68" s="2"/>
      <c r="QJI68" s="2"/>
      <c r="QJJ68" s="2"/>
      <c r="QJK68" s="2"/>
      <c r="QJL68" s="2"/>
      <c r="QJM68" s="2"/>
      <c r="QJN68" s="2"/>
      <c r="QJO68" s="2"/>
      <c r="QJP68" s="2"/>
      <c r="QJQ68" s="2"/>
      <c r="QJR68" s="2"/>
      <c r="QJS68" s="2"/>
      <c r="QJT68" s="2"/>
      <c r="QJU68" s="2"/>
      <c r="QJV68" s="2"/>
      <c r="QJW68" s="2"/>
      <c r="QJX68" s="2"/>
      <c r="QJY68" s="2"/>
      <c r="QJZ68" s="2"/>
      <c r="QKA68" s="2"/>
      <c r="QKB68" s="2"/>
      <c r="QKC68" s="2"/>
      <c r="QKD68" s="2"/>
      <c r="QKE68" s="2"/>
      <c r="QKF68" s="2"/>
      <c r="QKG68" s="2"/>
      <c r="QKH68" s="2"/>
      <c r="QKI68" s="2"/>
      <c r="QKJ68" s="2"/>
      <c r="QKK68" s="2"/>
      <c r="QKL68" s="2"/>
      <c r="QKM68" s="2"/>
      <c r="QKN68" s="2"/>
      <c r="QKO68" s="2"/>
      <c r="QKP68" s="2"/>
      <c r="QKQ68" s="2"/>
      <c r="QKR68" s="2"/>
      <c r="QKS68" s="2"/>
      <c r="QKT68" s="2"/>
      <c r="QKU68" s="2"/>
      <c r="QKV68" s="2"/>
      <c r="QKW68" s="2"/>
      <c r="QKX68" s="2"/>
      <c r="QKY68" s="2"/>
      <c r="QKZ68" s="2"/>
      <c r="QLA68" s="2"/>
      <c r="QLB68" s="2"/>
      <c r="QLC68" s="2"/>
      <c r="QLD68" s="2"/>
      <c r="QLE68" s="2"/>
      <c r="QLF68" s="2"/>
      <c r="QLG68" s="2"/>
      <c r="QLH68" s="2"/>
      <c r="QLI68" s="2"/>
      <c r="QLJ68" s="2"/>
      <c r="QLK68" s="2"/>
      <c r="QLL68" s="2"/>
      <c r="QLM68" s="2"/>
      <c r="QLN68" s="2"/>
      <c r="QLO68" s="2"/>
      <c r="QLP68" s="2"/>
      <c r="QLQ68" s="2"/>
      <c r="QLR68" s="2"/>
      <c r="QLS68" s="2"/>
      <c r="QLT68" s="2"/>
      <c r="QLU68" s="2"/>
      <c r="QLV68" s="2"/>
      <c r="QLW68" s="2"/>
      <c r="QLX68" s="2"/>
      <c r="QLY68" s="2"/>
      <c r="QLZ68" s="2"/>
      <c r="QMA68" s="2"/>
      <c r="QMB68" s="2"/>
      <c r="QMC68" s="2"/>
      <c r="QMD68" s="2"/>
      <c r="QME68" s="2"/>
      <c r="QMF68" s="2"/>
      <c r="QMG68" s="2"/>
      <c r="QMH68" s="2"/>
      <c r="QMI68" s="2"/>
      <c r="QMJ68" s="2"/>
      <c r="QMK68" s="2"/>
      <c r="QML68" s="2"/>
      <c r="QMM68" s="2"/>
      <c r="QMN68" s="2"/>
      <c r="QMO68" s="2"/>
      <c r="QMP68" s="2"/>
      <c r="QMQ68" s="2"/>
      <c r="QMR68" s="2"/>
      <c r="QMS68" s="2"/>
      <c r="QMT68" s="2"/>
      <c r="QMU68" s="2"/>
      <c r="QMV68" s="2"/>
      <c r="QMW68" s="2"/>
      <c r="QMX68" s="2"/>
      <c r="QMY68" s="2"/>
      <c r="QMZ68" s="2"/>
      <c r="QNA68" s="2"/>
      <c r="QNB68" s="2"/>
      <c r="QNC68" s="2"/>
      <c r="QND68" s="2"/>
      <c r="QNE68" s="2"/>
      <c r="QNF68" s="2"/>
      <c r="QNG68" s="2"/>
      <c r="QNH68" s="2"/>
      <c r="QNI68" s="2"/>
      <c r="QNJ68" s="2"/>
      <c r="QNK68" s="2"/>
      <c r="QNL68" s="2"/>
      <c r="QNM68" s="2"/>
      <c r="QNN68" s="2"/>
      <c r="QNO68" s="2"/>
      <c r="QNP68" s="2"/>
      <c r="QNQ68" s="2"/>
      <c r="QNR68" s="2"/>
      <c r="QNS68" s="2"/>
      <c r="QNT68" s="2"/>
      <c r="QNU68" s="2"/>
      <c r="QNV68" s="2"/>
      <c r="QNW68" s="2"/>
      <c r="QNX68" s="2"/>
      <c r="QNY68" s="2"/>
      <c r="QNZ68" s="2"/>
      <c r="QOA68" s="2"/>
      <c r="QOB68" s="2"/>
      <c r="QOC68" s="2"/>
      <c r="QOD68" s="2"/>
      <c r="QOE68" s="2"/>
      <c r="QOF68" s="2"/>
      <c r="QOG68" s="2"/>
      <c r="QOH68" s="2"/>
      <c r="QOI68" s="2"/>
      <c r="QOJ68" s="2"/>
      <c r="QOK68" s="2"/>
      <c r="QOL68" s="2"/>
      <c r="QOM68" s="2"/>
      <c r="QON68" s="2"/>
      <c r="QOO68" s="2"/>
      <c r="QOP68" s="2"/>
      <c r="QOQ68" s="2"/>
      <c r="QOR68" s="2"/>
      <c r="QOS68" s="2"/>
      <c r="QOT68" s="2"/>
      <c r="QOU68" s="2"/>
      <c r="QOV68" s="2"/>
      <c r="QOW68" s="2"/>
      <c r="QOX68" s="2"/>
      <c r="QOY68" s="2"/>
      <c r="QOZ68" s="2"/>
      <c r="QPA68" s="2"/>
      <c r="QPB68" s="2"/>
      <c r="QPC68" s="2"/>
      <c r="QPD68" s="2"/>
      <c r="QPE68" s="2"/>
      <c r="QPF68" s="2"/>
      <c r="QPG68" s="2"/>
      <c r="QPH68" s="2"/>
      <c r="QPI68" s="2"/>
      <c r="QPJ68" s="2"/>
      <c r="QPK68" s="2"/>
      <c r="QPL68" s="2"/>
      <c r="QPM68" s="2"/>
      <c r="QPN68" s="2"/>
      <c r="QPO68" s="2"/>
      <c r="QPP68" s="2"/>
      <c r="QPQ68" s="2"/>
      <c r="QPR68" s="2"/>
      <c r="QPS68" s="2"/>
      <c r="QPT68" s="2"/>
      <c r="QPU68" s="2"/>
      <c r="QPV68" s="2"/>
      <c r="QPW68" s="2"/>
      <c r="QPX68" s="2"/>
      <c r="QPY68" s="2"/>
      <c r="QPZ68" s="2"/>
      <c r="QQA68" s="2"/>
      <c r="QQB68" s="2"/>
      <c r="QQC68" s="2"/>
      <c r="QQD68" s="2"/>
      <c r="QQE68" s="2"/>
      <c r="QQF68" s="2"/>
      <c r="QQG68" s="2"/>
      <c r="QQH68" s="2"/>
      <c r="QQI68" s="2"/>
      <c r="QQJ68" s="2"/>
      <c r="QQK68" s="2"/>
      <c r="QQL68" s="2"/>
      <c r="QQM68" s="2"/>
      <c r="QQN68" s="2"/>
      <c r="QQO68" s="2"/>
      <c r="QQP68" s="2"/>
      <c r="QQQ68" s="2"/>
      <c r="QQR68" s="2"/>
      <c r="QQS68" s="2"/>
      <c r="QQT68" s="2"/>
      <c r="QQU68" s="2"/>
      <c r="QQV68" s="2"/>
      <c r="QQW68" s="2"/>
      <c r="QQX68" s="2"/>
      <c r="QQY68" s="2"/>
      <c r="QQZ68" s="2"/>
      <c r="QRA68" s="2"/>
      <c r="QRB68" s="2"/>
      <c r="QRC68" s="2"/>
      <c r="QRD68" s="2"/>
      <c r="QRE68" s="2"/>
      <c r="QRF68" s="2"/>
      <c r="QRG68" s="2"/>
      <c r="QRH68" s="2"/>
      <c r="QRI68" s="2"/>
      <c r="QRJ68" s="2"/>
      <c r="QRK68" s="2"/>
      <c r="QRL68" s="2"/>
      <c r="QRM68" s="2"/>
      <c r="QRN68" s="2"/>
      <c r="QRO68" s="2"/>
      <c r="QRP68" s="2"/>
      <c r="QRQ68" s="2"/>
      <c r="QRR68" s="2"/>
      <c r="QRS68" s="2"/>
      <c r="QRT68" s="2"/>
      <c r="QRU68" s="2"/>
      <c r="QRV68" s="2"/>
      <c r="QRW68" s="2"/>
      <c r="QRX68" s="2"/>
      <c r="QRY68" s="2"/>
      <c r="QRZ68" s="2"/>
      <c r="QSA68" s="2"/>
      <c r="QSB68" s="2"/>
      <c r="QSC68" s="2"/>
      <c r="QSD68" s="2"/>
      <c r="QSE68" s="2"/>
      <c r="QSF68" s="2"/>
      <c r="QSG68" s="2"/>
      <c r="QSH68" s="2"/>
      <c r="QSI68" s="2"/>
      <c r="QSJ68" s="2"/>
      <c r="QSK68" s="2"/>
      <c r="QSL68" s="2"/>
      <c r="QSM68" s="2"/>
      <c r="QSN68" s="2"/>
      <c r="QSO68" s="2"/>
      <c r="QSP68" s="2"/>
      <c r="QSQ68" s="2"/>
      <c r="QSR68" s="2"/>
      <c r="QSS68" s="2"/>
      <c r="QST68" s="2"/>
      <c r="QSU68" s="2"/>
      <c r="QSV68" s="2"/>
      <c r="QSW68" s="2"/>
      <c r="QSX68" s="2"/>
      <c r="QSY68" s="2"/>
      <c r="QSZ68" s="2"/>
      <c r="QTA68" s="2"/>
      <c r="QTB68" s="2"/>
      <c r="QTC68" s="2"/>
      <c r="QTD68" s="2"/>
      <c r="QTE68" s="2"/>
      <c r="QTF68" s="2"/>
      <c r="QTG68" s="2"/>
      <c r="QTH68" s="2"/>
      <c r="QTI68" s="2"/>
      <c r="QTJ68" s="2"/>
      <c r="QTK68" s="2"/>
      <c r="QTL68" s="2"/>
      <c r="QTM68" s="2"/>
      <c r="QTN68" s="2"/>
      <c r="QTO68" s="2"/>
      <c r="QTP68" s="2"/>
      <c r="QTQ68" s="2"/>
      <c r="QTR68" s="2"/>
      <c r="QTS68" s="2"/>
      <c r="QTT68" s="2"/>
      <c r="QTU68" s="2"/>
      <c r="QTV68" s="2"/>
      <c r="QTW68" s="2"/>
      <c r="QTX68" s="2"/>
      <c r="QTY68" s="2"/>
      <c r="QTZ68" s="2"/>
      <c r="QUA68" s="2"/>
      <c r="QUB68" s="2"/>
      <c r="QUC68" s="2"/>
      <c r="QUD68" s="2"/>
      <c r="QUE68" s="2"/>
      <c r="QUF68" s="2"/>
      <c r="QUG68" s="2"/>
      <c r="QUH68" s="2"/>
      <c r="QUI68" s="2"/>
      <c r="QUJ68" s="2"/>
      <c r="QUK68" s="2"/>
      <c r="QUL68" s="2"/>
      <c r="QUM68" s="2"/>
      <c r="QUN68" s="2"/>
      <c r="QUO68" s="2"/>
      <c r="QUP68" s="2"/>
      <c r="QUQ68" s="2"/>
      <c r="QUR68" s="2"/>
      <c r="QUS68" s="2"/>
      <c r="QUT68" s="2"/>
      <c r="QUU68" s="2"/>
      <c r="QUV68" s="2"/>
      <c r="QUW68" s="2"/>
      <c r="QUX68" s="2"/>
      <c r="QUY68" s="2"/>
      <c r="QUZ68" s="2"/>
      <c r="QVA68" s="2"/>
      <c r="QVB68" s="2"/>
      <c r="QVC68" s="2"/>
      <c r="QVD68" s="2"/>
      <c r="QVE68" s="2"/>
      <c r="QVF68" s="2"/>
      <c r="QVG68" s="2"/>
      <c r="QVH68" s="2"/>
      <c r="QVI68" s="2"/>
      <c r="QVJ68" s="2"/>
      <c r="QVK68" s="2"/>
      <c r="QVL68" s="2"/>
      <c r="QVM68" s="2"/>
      <c r="QVN68" s="2"/>
      <c r="QVO68" s="2"/>
      <c r="QVP68" s="2"/>
      <c r="QVQ68" s="2"/>
      <c r="QVR68" s="2"/>
      <c r="QVS68" s="2"/>
      <c r="QVT68" s="2"/>
      <c r="QVU68" s="2"/>
      <c r="QVV68" s="2"/>
      <c r="QVW68" s="2"/>
      <c r="QVX68" s="2"/>
      <c r="QVY68" s="2"/>
      <c r="QVZ68" s="2"/>
      <c r="QWA68" s="2"/>
      <c r="QWB68" s="2"/>
      <c r="QWC68" s="2"/>
      <c r="QWD68" s="2"/>
      <c r="QWE68" s="2"/>
      <c r="QWF68" s="2"/>
      <c r="QWG68" s="2"/>
      <c r="QWH68" s="2"/>
      <c r="QWI68" s="2"/>
      <c r="QWJ68" s="2"/>
      <c r="QWK68" s="2"/>
      <c r="QWL68" s="2"/>
      <c r="QWM68" s="2"/>
      <c r="QWN68" s="2"/>
      <c r="QWO68" s="2"/>
      <c r="QWP68" s="2"/>
      <c r="QWQ68" s="2"/>
      <c r="QWR68" s="2"/>
      <c r="QWS68" s="2"/>
      <c r="QWT68" s="2"/>
      <c r="QWU68" s="2"/>
      <c r="QWV68" s="2"/>
      <c r="QWW68" s="2"/>
      <c r="QWX68" s="2"/>
      <c r="QWY68" s="2"/>
      <c r="QWZ68" s="2"/>
      <c r="QXA68" s="2"/>
      <c r="QXB68" s="2"/>
      <c r="QXC68" s="2"/>
      <c r="QXD68" s="2"/>
      <c r="QXE68" s="2"/>
      <c r="QXF68" s="2"/>
      <c r="QXG68" s="2"/>
      <c r="QXH68" s="2"/>
      <c r="QXI68" s="2"/>
      <c r="QXJ68" s="2"/>
      <c r="QXK68" s="2"/>
      <c r="QXL68" s="2"/>
      <c r="QXM68" s="2"/>
      <c r="QXN68" s="2"/>
      <c r="QXO68" s="2"/>
      <c r="QXP68" s="2"/>
      <c r="QXQ68" s="2"/>
      <c r="QXR68" s="2"/>
      <c r="QXS68" s="2"/>
      <c r="QXT68" s="2"/>
      <c r="QXU68" s="2"/>
      <c r="QXV68" s="2"/>
      <c r="QXW68" s="2"/>
      <c r="QXX68" s="2"/>
      <c r="QXY68" s="2"/>
      <c r="QXZ68" s="2"/>
      <c r="QYA68" s="2"/>
      <c r="QYB68" s="2"/>
      <c r="QYC68" s="2"/>
      <c r="QYD68" s="2"/>
      <c r="QYE68" s="2"/>
      <c r="QYF68" s="2"/>
      <c r="QYG68" s="2"/>
      <c r="QYH68" s="2"/>
      <c r="QYI68" s="2"/>
      <c r="QYJ68" s="2"/>
      <c r="QYK68" s="2"/>
      <c r="QYL68" s="2"/>
      <c r="QYM68" s="2"/>
      <c r="QYN68" s="2"/>
      <c r="QYO68" s="2"/>
      <c r="QYP68" s="2"/>
      <c r="QYQ68" s="2"/>
      <c r="QYR68" s="2"/>
      <c r="QYS68" s="2"/>
      <c r="QYT68" s="2"/>
      <c r="QYU68" s="2"/>
      <c r="QYV68" s="2"/>
      <c r="QYW68" s="2"/>
      <c r="QYX68" s="2"/>
      <c r="QYY68" s="2"/>
      <c r="QYZ68" s="2"/>
      <c r="QZA68" s="2"/>
      <c r="QZB68" s="2"/>
      <c r="QZC68" s="2"/>
      <c r="QZD68" s="2"/>
      <c r="QZE68" s="2"/>
      <c r="QZF68" s="2"/>
      <c r="QZG68" s="2"/>
      <c r="QZH68" s="2"/>
      <c r="QZI68" s="2"/>
      <c r="QZJ68" s="2"/>
      <c r="QZK68" s="2"/>
      <c r="QZL68" s="2"/>
      <c r="QZM68" s="2"/>
      <c r="QZN68" s="2"/>
      <c r="QZO68" s="2"/>
      <c r="QZP68" s="2"/>
      <c r="QZQ68" s="2"/>
      <c r="QZR68" s="2"/>
      <c r="QZS68" s="2"/>
      <c r="QZT68" s="2"/>
      <c r="QZU68" s="2"/>
      <c r="QZV68" s="2"/>
      <c r="QZW68" s="2"/>
      <c r="QZX68" s="2"/>
      <c r="QZY68" s="2"/>
      <c r="QZZ68" s="2"/>
      <c r="RAA68" s="2"/>
      <c r="RAB68" s="2"/>
      <c r="RAC68" s="2"/>
      <c r="RAD68" s="2"/>
      <c r="RAE68" s="2"/>
      <c r="RAF68" s="2"/>
      <c r="RAG68" s="2"/>
      <c r="RAH68" s="2"/>
      <c r="RAI68" s="2"/>
      <c r="RAJ68" s="2"/>
      <c r="RAK68" s="2"/>
      <c r="RAL68" s="2"/>
      <c r="RAM68" s="2"/>
      <c r="RAN68" s="2"/>
      <c r="RAO68" s="2"/>
      <c r="RAP68" s="2"/>
      <c r="RAQ68" s="2"/>
      <c r="RAR68" s="2"/>
      <c r="RAS68" s="2"/>
      <c r="RAT68" s="2"/>
      <c r="RAU68" s="2"/>
      <c r="RAV68" s="2"/>
      <c r="RAW68" s="2"/>
      <c r="RAX68" s="2"/>
      <c r="RAY68" s="2"/>
      <c r="RAZ68" s="2"/>
      <c r="RBA68" s="2"/>
      <c r="RBB68" s="2"/>
      <c r="RBC68" s="2"/>
      <c r="RBD68" s="2"/>
      <c r="RBE68" s="2"/>
      <c r="RBF68" s="2"/>
      <c r="RBG68" s="2"/>
      <c r="RBH68" s="2"/>
      <c r="RBI68" s="2"/>
      <c r="RBJ68" s="2"/>
      <c r="RBK68" s="2"/>
      <c r="RBL68" s="2"/>
      <c r="RBM68" s="2"/>
      <c r="RBN68" s="2"/>
      <c r="RBO68" s="2"/>
      <c r="RBP68" s="2"/>
      <c r="RBQ68" s="2"/>
      <c r="RBR68" s="2"/>
      <c r="RBS68" s="2"/>
      <c r="RBT68" s="2"/>
      <c r="RBU68" s="2"/>
      <c r="RBV68" s="2"/>
      <c r="RBW68" s="2"/>
      <c r="RBX68" s="2"/>
      <c r="RBY68" s="2"/>
      <c r="RBZ68" s="2"/>
      <c r="RCA68" s="2"/>
      <c r="RCB68" s="2"/>
      <c r="RCC68" s="2"/>
      <c r="RCD68" s="2"/>
      <c r="RCE68" s="2"/>
      <c r="RCF68" s="2"/>
      <c r="RCG68" s="2"/>
      <c r="RCH68" s="2"/>
      <c r="RCI68" s="2"/>
      <c r="RCJ68" s="2"/>
      <c r="RCK68" s="2"/>
      <c r="RCL68" s="2"/>
      <c r="RCM68" s="2"/>
      <c r="RCN68" s="2"/>
      <c r="RCO68" s="2"/>
      <c r="RCP68" s="2"/>
      <c r="RCQ68" s="2"/>
      <c r="RCR68" s="2"/>
      <c r="RCS68" s="2"/>
      <c r="RCT68" s="2"/>
      <c r="RCU68" s="2"/>
      <c r="RCV68" s="2"/>
      <c r="RCW68" s="2"/>
      <c r="RCX68" s="2"/>
      <c r="RCY68" s="2"/>
      <c r="RCZ68" s="2"/>
      <c r="RDA68" s="2"/>
      <c r="RDB68" s="2"/>
      <c r="RDC68" s="2"/>
      <c r="RDD68" s="2"/>
      <c r="RDE68" s="2"/>
      <c r="RDF68" s="2"/>
      <c r="RDG68" s="2"/>
      <c r="RDH68" s="2"/>
      <c r="RDI68" s="2"/>
      <c r="RDJ68" s="2"/>
      <c r="RDK68" s="2"/>
      <c r="RDL68" s="2"/>
      <c r="RDM68" s="2"/>
      <c r="RDN68" s="2"/>
      <c r="RDO68" s="2"/>
      <c r="RDP68" s="2"/>
      <c r="RDQ68" s="2"/>
      <c r="RDR68" s="2"/>
      <c r="RDS68" s="2"/>
      <c r="RDT68" s="2"/>
      <c r="RDU68" s="2"/>
      <c r="RDV68" s="2"/>
      <c r="RDW68" s="2"/>
      <c r="RDX68" s="2"/>
      <c r="RDY68" s="2"/>
      <c r="RDZ68" s="2"/>
      <c r="REA68" s="2"/>
      <c r="REB68" s="2"/>
      <c r="REC68" s="2"/>
      <c r="RED68" s="2"/>
      <c r="REE68" s="2"/>
      <c r="REF68" s="2"/>
      <c r="REG68" s="2"/>
      <c r="REH68" s="2"/>
      <c r="REI68" s="2"/>
      <c r="REJ68" s="2"/>
      <c r="REK68" s="2"/>
      <c r="REL68" s="2"/>
      <c r="REM68" s="2"/>
      <c r="REN68" s="2"/>
      <c r="REO68" s="2"/>
      <c r="REP68" s="2"/>
      <c r="REQ68" s="2"/>
      <c r="RER68" s="2"/>
      <c r="RES68" s="2"/>
      <c r="RET68" s="2"/>
      <c r="REU68" s="2"/>
      <c r="REV68" s="2"/>
      <c r="REW68" s="2"/>
      <c r="REX68" s="2"/>
      <c r="REY68" s="2"/>
      <c r="REZ68" s="2"/>
      <c r="RFA68" s="2"/>
      <c r="RFB68" s="2"/>
      <c r="RFC68" s="2"/>
      <c r="RFD68" s="2"/>
      <c r="RFE68" s="2"/>
      <c r="RFF68" s="2"/>
      <c r="RFG68" s="2"/>
      <c r="RFH68" s="2"/>
      <c r="RFI68" s="2"/>
      <c r="RFJ68" s="2"/>
      <c r="RFK68" s="2"/>
      <c r="RFL68" s="2"/>
      <c r="RFM68" s="2"/>
      <c r="RFN68" s="2"/>
      <c r="RFO68" s="2"/>
      <c r="RFP68" s="2"/>
      <c r="RFQ68" s="2"/>
      <c r="RFR68" s="2"/>
      <c r="RFS68" s="2"/>
      <c r="RFT68" s="2"/>
      <c r="RFU68" s="2"/>
      <c r="RFV68" s="2"/>
      <c r="RFW68" s="2"/>
      <c r="RFX68" s="2"/>
      <c r="RFY68" s="2"/>
      <c r="RFZ68" s="2"/>
      <c r="RGA68" s="2"/>
      <c r="RGB68" s="2"/>
      <c r="RGC68" s="2"/>
      <c r="RGD68" s="2"/>
      <c r="RGE68" s="2"/>
      <c r="RGF68" s="2"/>
      <c r="RGG68" s="2"/>
      <c r="RGH68" s="2"/>
      <c r="RGI68" s="2"/>
      <c r="RGJ68" s="2"/>
      <c r="RGK68" s="2"/>
      <c r="RGL68" s="2"/>
      <c r="RGM68" s="2"/>
      <c r="RGN68" s="2"/>
      <c r="RGO68" s="2"/>
      <c r="RGP68" s="2"/>
      <c r="RGQ68" s="2"/>
      <c r="RGR68" s="2"/>
      <c r="RGS68" s="2"/>
      <c r="RGT68" s="2"/>
      <c r="RGU68" s="2"/>
      <c r="RGV68" s="2"/>
      <c r="RGW68" s="2"/>
      <c r="RGX68" s="2"/>
      <c r="RGY68" s="2"/>
      <c r="RGZ68" s="2"/>
      <c r="RHA68" s="2"/>
      <c r="RHB68" s="2"/>
      <c r="RHC68" s="2"/>
      <c r="RHD68" s="2"/>
      <c r="RHE68" s="2"/>
      <c r="RHF68" s="2"/>
      <c r="RHG68" s="2"/>
      <c r="RHH68" s="2"/>
      <c r="RHI68" s="2"/>
      <c r="RHJ68" s="2"/>
      <c r="RHK68" s="2"/>
      <c r="RHL68" s="2"/>
      <c r="RHM68" s="2"/>
      <c r="RHN68" s="2"/>
      <c r="RHO68" s="2"/>
      <c r="RHP68" s="2"/>
      <c r="RHQ68" s="2"/>
      <c r="RHR68" s="2"/>
      <c r="RHS68" s="2"/>
      <c r="RHT68" s="2"/>
      <c r="RHU68" s="2"/>
      <c r="RHV68" s="2"/>
      <c r="RHW68" s="2"/>
      <c r="RHX68" s="2"/>
      <c r="RHY68" s="2"/>
      <c r="RHZ68" s="2"/>
      <c r="RIA68" s="2"/>
      <c r="RIB68" s="2"/>
      <c r="RIC68" s="2"/>
      <c r="RID68" s="2"/>
      <c r="RIE68" s="2"/>
      <c r="RIF68" s="2"/>
      <c r="RIG68" s="2"/>
      <c r="RIH68" s="2"/>
      <c r="RII68" s="2"/>
      <c r="RIJ68" s="2"/>
      <c r="RIK68" s="2"/>
      <c r="RIL68" s="2"/>
      <c r="RIM68" s="2"/>
      <c r="RIN68" s="2"/>
      <c r="RIO68" s="2"/>
      <c r="RIP68" s="2"/>
      <c r="RIQ68" s="2"/>
      <c r="RIR68" s="2"/>
      <c r="RIS68" s="2"/>
      <c r="RIT68" s="2"/>
      <c r="RIU68" s="2"/>
      <c r="RIV68" s="2"/>
      <c r="RIW68" s="2"/>
      <c r="RIX68" s="2"/>
      <c r="RIY68" s="2"/>
      <c r="RIZ68" s="2"/>
      <c r="RJA68" s="2"/>
      <c r="RJB68" s="2"/>
      <c r="RJC68" s="2"/>
      <c r="RJD68" s="2"/>
      <c r="RJE68" s="2"/>
      <c r="RJF68" s="2"/>
      <c r="RJG68" s="2"/>
      <c r="RJH68" s="2"/>
      <c r="RJI68" s="2"/>
      <c r="RJJ68" s="2"/>
      <c r="RJK68" s="2"/>
      <c r="RJL68" s="2"/>
      <c r="RJM68" s="2"/>
      <c r="RJN68" s="2"/>
      <c r="RJO68" s="2"/>
      <c r="RJP68" s="2"/>
      <c r="RJQ68" s="2"/>
      <c r="RJR68" s="2"/>
      <c r="RJS68" s="2"/>
      <c r="RJT68" s="2"/>
      <c r="RJU68" s="2"/>
      <c r="RJV68" s="2"/>
      <c r="RJW68" s="2"/>
      <c r="RJX68" s="2"/>
      <c r="RJY68" s="2"/>
      <c r="RJZ68" s="2"/>
      <c r="RKA68" s="2"/>
      <c r="RKB68" s="2"/>
      <c r="RKC68" s="2"/>
      <c r="RKD68" s="2"/>
      <c r="RKE68" s="2"/>
      <c r="RKF68" s="2"/>
      <c r="RKG68" s="2"/>
      <c r="RKH68" s="2"/>
      <c r="RKI68" s="2"/>
      <c r="RKJ68" s="2"/>
      <c r="RKK68" s="2"/>
      <c r="RKL68" s="2"/>
      <c r="RKM68" s="2"/>
      <c r="RKN68" s="2"/>
      <c r="RKO68" s="2"/>
      <c r="RKP68" s="2"/>
      <c r="RKQ68" s="2"/>
      <c r="RKR68" s="2"/>
      <c r="RKS68" s="2"/>
      <c r="RKT68" s="2"/>
      <c r="RKU68" s="2"/>
      <c r="RKV68" s="2"/>
      <c r="RKW68" s="2"/>
      <c r="RKX68" s="2"/>
      <c r="RKY68" s="2"/>
      <c r="RKZ68" s="2"/>
      <c r="RLA68" s="2"/>
      <c r="RLB68" s="2"/>
      <c r="RLC68" s="2"/>
      <c r="RLD68" s="2"/>
      <c r="RLE68" s="2"/>
      <c r="RLF68" s="2"/>
      <c r="RLG68" s="2"/>
      <c r="RLH68" s="2"/>
      <c r="RLI68" s="2"/>
      <c r="RLJ68" s="2"/>
      <c r="RLK68" s="2"/>
      <c r="RLL68" s="2"/>
      <c r="RLM68" s="2"/>
      <c r="RLN68" s="2"/>
      <c r="RLO68" s="2"/>
      <c r="RLP68" s="2"/>
      <c r="RLQ68" s="2"/>
      <c r="RLR68" s="2"/>
      <c r="RLS68" s="2"/>
      <c r="RLT68" s="2"/>
      <c r="RLU68" s="2"/>
      <c r="RLV68" s="2"/>
      <c r="RLW68" s="2"/>
      <c r="RLX68" s="2"/>
      <c r="RLY68" s="2"/>
      <c r="RLZ68" s="2"/>
      <c r="RMA68" s="2"/>
      <c r="RMB68" s="2"/>
      <c r="RMC68" s="2"/>
      <c r="RMD68" s="2"/>
      <c r="RME68" s="2"/>
      <c r="RMF68" s="2"/>
      <c r="RMG68" s="2"/>
      <c r="RMH68" s="2"/>
      <c r="RMI68" s="2"/>
      <c r="RMJ68" s="2"/>
      <c r="RMK68" s="2"/>
      <c r="RML68" s="2"/>
      <c r="RMM68" s="2"/>
      <c r="RMN68" s="2"/>
      <c r="RMO68" s="2"/>
      <c r="RMP68" s="2"/>
      <c r="RMQ68" s="2"/>
      <c r="RMR68" s="2"/>
      <c r="RMS68" s="2"/>
      <c r="RMT68" s="2"/>
      <c r="RMU68" s="2"/>
      <c r="RMV68" s="2"/>
      <c r="RMW68" s="2"/>
      <c r="RMX68" s="2"/>
      <c r="RMY68" s="2"/>
      <c r="RMZ68" s="2"/>
      <c r="RNA68" s="2"/>
      <c r="RNB68" s="2"/>
      <c r="RNC68" s="2"/>
      <c r="RND68" s="2"/>
      <c r="RNE68" s="2"/>
      <c r="RNF68" s="2"/>
      <c r="RNG68" s="2"/>
      <c r="RNH68" s="2"/>
      <c r="RNI68" s="2"/>
      <c r="RNJ68" s="2"/>
      <c r="RNK68" s="2"/>
      <c r="RNL68" s="2"/>
      <c r="RNM68" s="2"/>
      <c r="RNN68" s="2"/>
      <c r="RNO68" s="2"/>
      <c r="RNP68" s="2"/>
      <c r="RNQ68" s="2"/>
      <c r="RNR68" s="2"/>
      <c r="RNS68" s="2"/>
      <c r="RNT68" s="2"/>
      <c r="RNU68" s="2"/>
      <c r="RNV68" s="2"/>
      <c r="RNW68" s="2"/>
      <c r="RNX68" s="2"/>
      <c r="RNY68" s="2"/>
      <c r="RNZ68" s="2"/>
      <c r="ROA68" s="2"/>
      <c r="ROB68" s="2"/>
      <c r="ROC68" s="2"/>
      <c r="ROD68" s="2"/>
      <c r="ROE68" s="2"/>
      <c r="ROF68" s="2"/>
      <c r="ROG68" s="2"/>
      <c r="ROH68" s="2"/>
      <c r="ROI68" s="2"/>
      <c r="ROJ68" s="2"/>
      <c r="ROK68" s="2"/>
      <c r="ROL68" s="2"/>
      <c r="ROM68" s="2"/>
      <c r="RON68" s="2"/>
      <c r="ROO68" s="2"/>
      <c r="ROP68" s="2"/>
      <c r="ROQ68" s="2"/>
      <c r="ROR68" s="2"/>
      <c r="ROS68" s="2"/>
      <c r="ROT68" s="2"/>
      <c r="ROU68" s="2"/>
      <c r="ROV68" s="2"/>
      <c r="ROW68" s="2"/>
      <c r="ROX68" s="2"/>
      <c r="ROY68" s="2"/>
      <c r="ROZ68" s="2"/>
      <c r="RPA68" s="2"/>
      <c r="RPB68" s="2"/>
      <c r="RPC68" s="2"/>
      <c r="RPD68" s="2"/>
      <c r="RPE68" s="2"/>
      <c r="RPF68" s="2"/>
      <c r="RPG68" s="2"/>
      <c r="RPH68" s="2"/>
      <c r="RPI68" s="2"/>
      <c r="RPJ68" s="2"/>
      <c r="RPK68" s="2"/>
      <c r="RPL68" s="2"/>
      <c r="RPM68" s="2"/>
      <c r="RPN68" s="2"/>
      <c r="RPO68" s="2"/>
      <c r="RPP68" s="2"/>
      <c r="RPQ68" s="2"/>
      <c r="RPR68" s="2"/>
      <c r="RPS68" s="2"/>
      <c r="RPT68" s="2"/>
      <c r="RPU68" s="2"/>
      <c r="RPV68" s="2"/>
      <c r="RPW68" s="2"/>
      <c r="RPX68" s="2"/>
      <c r="RPY68" s="2"/>
      <c r="RPZ68" s="2"/>
      <c r="RQA68" s="2"/>
      <c r="RQB68" s="2"/>
      <c r="RQC68" s="2"/>
      <c r="RQD68" s="2"/>
      <c r="RQE68" s="2"/>
      <c r="RQF68" s="2"/>
      <c r="RQG68" s="2"/>
      <c r="RQH68" s="2"/>
      <c r="RQI68" s="2"/>
      <c r="RQJ68" s="2"/>
      <c r="RQK68" s="2"/>
      <c r="RQL68" s="2"/>
      <c r="RQM68" s="2"/>
      <c r="RQN68" s="2"/>
      <c r="RQO68" s="2"/>
      <c r="RQP68" s="2"/>
      <c r="RQQ68" s="2"/>
      <c r="RQR68" s="2"/>
      <c r="RQS68" s="2"/>
      <c r="RQT68" s="2"/>
      <c r="RQU68" s="2"/>
      <c r="RQV68" s="2"/>
      <c r="RQW68" s="2"/>
      <c r="RQX68" s="2"/>
      <c r="RQY68" s="2"/>
      <c r="RQZ68" s="2"/>
      <c r="RRA68" s="2"/>
      <c r="RRB68" s="2"/>
      <c r="RRC68" s="2"/>
      <c r="RRD68" s="2"/>
      <c r="RRE68" s="2"/>
      <c r="RRF68" s="2"/>
      <c r="RRG68" s="2"/>
      <c r="RRH68" s="2"/>
      <c r="RRI68" s="2"/>
      <c r="RRJ68" s="2"/>
      <c r="RRK68" s="2"/>
      <c r="RRL68" s="2"/>
      <c r="RRM68" s="2"/>
      <c r="RRN68" s="2"/>
      <c r="RRO68" s="2"/>
      <c r="RRP68" s="2"/>
      <c r="RRQ68" s="2"/>
      <c r="RRR68" s="2"/>
      <c r="RRS68" s="2"/>
      <c r="RRT68" s="2"/>
      <c r="RRU68" s="2"/>
      <c r="RRV68" s="2"/>
      <c r="RRW68" s="2"/>
      <c r="RRX68" s="2"/>
      <c r="RRY68" s="2"/>
      <c r="RRZ68" s="2"/>
      <c r="RSA68" s="2"/>
      <c r="RSB68" s="2"/>
      <c r="RSC68" s="2"/>
      <c r="RSD68" s="2"/>
      <c r="RSE68" s="2"/>
      <c r="RSF68" s="2"/>
      <c r="RSG68" s="2"/>
      <c r="RSH68" s="2"/>
      <c r="RSI68" s="2"/>
      <c r="RSJ68" s="2"/>
      <c r="RSK68" s="2"/>
      <c r="RSL68" s="2"/>
      <c r="RSM68" s="2"/>
      <c r="RSN68" s="2"/>
      <c r="RSO68" s="2"/>
      <c r="RSP68" s="2"/>
      <c r="RSQ68" s="2"/>
      <c r="RSR68" s="2"/>
      <c r="RSS68" s="2"/>
      <c r="RST68" s="2"/>
      <c r="RSU68" s="2"/>
      <c r="RSV68" s="2"/>
      <c r="RSW68" s="2"/>
      <c r="RSX68" s="2"/>
      <c r="RSY68" s="2"/>
      <c r="RSZ68" s="2"/>
      <c r="RTA68" s="2"/>
      <c r="RTB68" s="2"/>
      <c r="RTC68" s="2"/>
      <c r="RTD68" s="2"/>
      <c r="RTE68" s="2"/>
      <c r="RTF68" s="2"/>
      <c r="RTG68" s="2"/>
      <c r="RTH68" s="2"/>
      <c r="RTI68" s="2"/>
      <c r="RTJ68" s="2"/>
      <c r="RTK68" s="2"/>
      <c r="RTL68" s="2"/>
      <c r="RTM68" s="2"/>
      <c r="RTN68" s="2"/>
      <c r="RTO68" s="2"/>
      <c r="RTP68" s="2"/>
      <c r="RTQ68" s="2"/>
      <c r="RTR68" s="2"/>
      <c r="RTS68" s="2"/>
      <c r="RTT68" s="2"/>
      <c r="RTU68" s="2"/>
      <c r="RTV68" s="2"/>
      <c r="RTW68" s="2"/>
      <c r="RTX68" s="2"/>
      <c r="RTY68" s="2"/>
      <c r="RTZ68" s="2"/>
      <c r="RUA68" s="2"/>
      <c r="RUB68" s="2"/>
      <c r="RUC68" s="2"/>
      <c r="RUD68" s="2"/>
      <c r="RUE68" s="2"/>
      <c r="RUF68" s="2"/>
      <c r="RUG68" s="2"/>
      <c r="RUH68" s="2"/>
      <c r="RUI68" s="2"/>
      <c r="RUJ68" s="2"/>
      <c r="RUK68" s="2"/>
      <c r="RUL68" s="2"/>
      <c r="RUM68" s="2"/>
      <c r="RUN68" s="2"/>
      <c r="RUO68" s="2"/>
      <c r="RUP68" s="2"/>
      <c r="RUQ68" s="2"/>
      <c r="RUR68" s="2"/>
      <c r="RUS68" s="2"/>
      <c r="RUT68" s="2"/>
      <c r="RUU68" s="2"/>
      <c r="RUV68" s="2"/>
      <c r="RUW68" s="2"/>
      <c r="RUX68" s="2"/>
      <c r="RUY68" s="2"/>
      <c r="RUZ68" s="2"/>
      <c r="RVA68" s="2"/>
      <c r="RVB68" s="2"/>
      <c r="RVC68" s="2"/>
      <c r="RVD68" s="2"/>
      <c r="RVE68" s="2"/>
      <c r="RVF68" s="2"/>
      <c r="RVG68" s="2"/>
      <c r="RVH68" s="2"/>
      <c r="RVI68" s="2"/>
      <c r="RVJ68" s="2"/>
      <c r="RVK68" s="2"/>
      <c r="RVL68" s="2"/>
      <c r="RVM68" s="2"/>
      <c r="RVN68" s="2"/>
      <c r="RVO68" s="2"/>
      <c r="RVP68" s="2"/>
      <c r="RVQ68" s="2"/>
      <c r="RVR68" s="2"/>
      <c r="RVS68" s="2"/>
      <c r="RVT68" s="2"/>
      <c r="RVU68" s="2"/>
      <c r="RVV68" s="2"/>
      <c r="RVW68" s="2"/>
      <c r="RVX68" s="2"/>
      <c r="RVY68" s="2"/>
      <c r="RVZ68" s="2"/>
      <c r="RWA68" s="2"/>
      <c r="RWB68" s="2"/>
      <c r="RWC68" s="2"/>
      <c r="RWD68" s="2"/>
      <c r="RWE68" s="2"/>
      <c r="RWF68" s="2"/>
      <c r="RWG68" s="2"/>
      <c r="RWH68" s="2"/>
      <c r="RWI68" s="2"/>
      <c r="RWJ68" s="2"/>
      <c r="RWK68" s="2"/>
      <c r="RWL68" s="2"/>
      <c r="RWM68" s="2"/>
      <c r="RWN68" s="2"/>
      <c r="RWO68" s="2"/>
      <c r="RWP68" s="2"/>
      <c r="RWQ68" s="2"/>
      <c r="RWR68" s="2"/>
      <c r="RWS68" s="2"/>
      <c r="RWT68" s="2"/>
      <c r="RWU68" s="2"/>
      <c r="RWV68" s="2"/>
      <c r="RWW68" s="2"/>
      <c r="RWX68" s="2"/>
      <c r="RWY68" s="2"/>
      <c r="RWZ68" s="2"/>
      <c r="RXA68" s="2"/>
      <c r="RXB68" s="2"/>
      <c r="RXC68" s="2"/>
      <c r="RXD68" s="2"/>
      <c r="RXE68" s="2"/>
      <c r="RXF68" s="2"/>
      <c r="RXG68" s="2"/>
      <c r="RXH68" s="2"/>
      <c r="RXI68" s="2"/>
      <c r="RXJ68" s="2"/>
      <c r="RXK68" s="2"/>
      <c r="RXL68" s="2"/>
      <c r="RXM68" s="2"/>
      <c r="RXN68" s="2"/>
      <c r="RXO68" s="2"/>
      <c r="RXP68" s="2"/>
      <c r="RXQ68" s="2"/>
      <c r="RXR68" s="2"/>
      <c r="RXS68" s="2"/>
      <c r="RXT68" s="2"/>
      <c r="RXU68" s="2"/>
      <c r="RXV68" s="2"/>
      <c r="RXW68" s="2"/>
      <c r="RXX68" s="2"/>
      <c r="RXY68" s="2"/>
      <c r="RXZ68" s="2"/>
      <c r="RYA68" s="2"/>
      <c r="RYB68" s="2"/>
      <c r="RYC68" s="2"/>
      <c r="RYD68" s="2"/>
      <c r="RYE68" s="2"/>
      <c r="RYF68" s="2"/>
      <c r="RYG68" s="2"/>
      <c r="RYH68" s="2"/>
      <c r="RYI68" s="2"/>
      <c r="RYJ68" s="2"/>
      <c r="RYK68" s="2"/>
      <c r="RYL68" s="2"/>
      <c r="RYM68" s="2"/>
      <c r="RYN68" s="2"/>
      <c r="RYO68" s="2"/>
      <c r="RYP68" s="2"/>
      <c r="RYQ68" s="2"/>
      <c r="RYR68" s="2"/>
      <c r="RYS68" s="2"/>
      <c r="RYT68" s="2"/>
      <c r="RYU68" s="2"/>
      <c r="RYV68" s="2"/>
      <c r="RYW68" s="2"/>
      <c r="RYX68" s="2"/>
      <c r="RYY68" s="2"/>
      <c r="RYZ68" s="2"/>
      <c r="RZA68" s="2"/>
      <c r="RZB68" s="2"/>
      <c r="RZC68" s="2"/>
      <c r="RZD68" s="2"/>
      <c r="RZE68" s="2"/>
      <c r="RZF68" s="2"/>
      <c r="RZG68" s="2"/>
      <c r="RZH68" s="2"/>
      <c r="RZI68" s="2"/>
      <c r="RZJ68" s="2"/>
      <c r="RZK68" s="2"/>
      <c r="RZL68" s="2"/>
      <c r="RZM68" s="2"/>
      <c r="RZN68" s="2"/>
      <c r="RZO68" s="2"/>
      <c r="RZP68" s="2"/>
      <c r="RZQ68" s="2"/>
      <c r="RZR68" s="2"/>
      <c r="RZS68" s="2"/>
      <c r="RZT68" s="2"/>
      <c r="RZU68" s="2"/>
      <c r="RZV68" s="2"/>
      <c r="RZW68" s="2"/>
      <c r="RZX68" s="2"/>
      <c r="RZY68" s="2"/>
      <c r="RZZ68" s="2"/>
      <c r="SAA68" s="2"/>
      <c r="SAB68" s="2"/>
      <c r="SAC68" s="2"/>
      <c r="SAD68" s="2"/>
      <c r="SAE68" s="2"/>
      <c r="SAF68" s="2"/>
      <c r="SAG68" s="2"/>
      <c r="SAH68" s="2"/>
      <c r="SAI68" s="2"/>
      <c r="SAJ68" s="2"/>
      <c r="SAK68" s="2"/>
      <c r="SAL68" s="2"/>
      <c r="SAM68" s="2"/>
      <c r="SAN68" s="2"/>
      <c r="SAO68" s="2"/>
      <c r="SAP68" s="2"/>
      <c r="SAQ68" s="2"/>
      <c r="SAR68" s="2"/>
      <c r="SAS68" s="2"/>
      <c r="SAT68" s="2"/>
      <c r="SAU68" s="2"/>
      <c r="SAV68" s="2"/>
      <c r="SAW68" s="2"/>
      <c r="SAX68" s="2"/>
      <c r="SAY68" s="2"/>
      <c r="SAZ68" s="2"/>
      <c r="SBA68" s="2"/>
      <c r="SBB68" s="2"/>
      <c r="SBC68" s="2"/>
      <c r="SBD68" s="2"/>
      <c r="SBE68" s="2"/>
      <c r="SBF68" s="2"/>
      <c r="SBG68" s="2"/>
      <c r="SBH68" s="2"/>
      <c r="SBI68" s="2"/>
      <c r="SBJ68" s="2"/>
      <c r="SBK68" s="2"/>
      <c r="SBL68" s="2"/>
      <c r="SBM68" s="2"/>
      <c r="SBN68" s="2"/>
      <c r="SBO68" s="2"/>
      <c r="SBP68" s="2"/>
      <c r="SBQ68" s="2"/>
      <c r="SBR68" s="2"/>
      <c r="SBS68" s="2"/>
      <c r="SBT68" s="2"/>
      <c r="SBU68" s="2"/>
      <c r="SBV68" s="2"/>
      <c r="SBW68" s="2"/>
      <c r="SBX68" s="2"/>
      <c r="SBY68" s="2"/>
      <c r="SBZ68" s="2"/>
      <c r="SCA68" s="2"/>
      <c r="SCB68" s="2"/>
      <c r="SCC68" s="2"/>
      <c r="SCD68" s="2"/>
      <c r="SCE68" s="2"/>
      <c r="SCF68" s="2"/>
      <c r="SCG68" s="2"/>
      <c r="SCH68" s="2"/>
      <c r="SCI68" s="2"/>
      <c r="SCJ68" s="2"/>
      <c r="SCK68" s="2"/>
      <c r="SCL68" s="2"/>
      <c r="SCM68" s="2"/>
      <c r="SCN68" s="2"/>
      <c r="SCO68" s="2"/>
      <c r="SCP68" s="2"/>
      <c r="SCQ68" s="2"/>
      <c r="SCR68" s="2"/>
      <c r="SCS68" s="2"/>
      <c r="SCT68" s="2"/>
      <c r="SCU68" s="2"/>
      <c r="SCV68" s="2"/>
      <c r="SCW68" s="2"/>
      <c r="SCX68" s="2"/>
      <c r="SCY68" s="2"/>
      <c r="SCZ68" s="2"/>
      <c r="SDA68" s="2"/>
      <c r="SDB68" s="2"/>
      <c r="SDC68" s="2"/>
      <c r="SDD68" s="2"/>
      <c r="SDE68" s="2"/>
      <c r="SDF68" s="2"/>
      <c r="SDG68" s="2"/>
      <c r="SDH68" s="2"/>
      <c r="SDI68" s="2"/>
      <c r="SDJ68" s="2"/>
      <c r="SDK68" s="2"/>
      <c r="SDL68" s="2"/>
      <c r="SDM68" s="2"/>
      <c r="SDN68" s="2"/>
      <c r="SDO68" s="2"/>
      <c r="SDP68" s="2"/>
      <c r="SDQ68" s="2"/>
      <c r="SDR68" s="2"/>
      <c r="SDS68" s="2"/>
      <c r="SDT68" s="2"/>
      <c r="SDU68" s="2"/>
      <c r="SDV68" s="2"/>
      <c r="SDW68" s="2"/>
      <c r="SDX68" s="2"/>
      <c r="SDY68" s="2"/>
      <c r="SDZ68" s="2"/>
      <c r="SEA68" s="2"/>
      <c r="SEB68" s="2"/>
      <c r="SEC68" s="2"/>
      <c r="SED68" s="2"/>
      <c r="SEE68" s="2"/>
      <c r="SEF68" s="2"/>
      <c r="SEG68" s="2"/>
      <c r="SEH68" s="2"/>
      <c r="SEI68" s="2"/>
      <c r="SEJ68" s="2"/>
      <c r="SEK68" s="2"/>
      <c r="SEL68" s="2"/>
      <c r="SEM68" s="2"/>
      <c r="SEN68" s="2"/>
      <c r="SEO68" s="2"/>
      <c r="SEP68" s="2"/>
      <c r="SEQ68" s="2"/>
      <c r="SER68" s="2"/>
      <c r="SES68" s="2"/>
      <c r="SET68" s="2"/>
      <c r="SEU68" s="2"/>
      <c r="SEV68" s="2"/>
      <c r="SEW68" s="2"/>
      <c r="SEX68" s="2"/>
      <c r="SEY68" s="2"/>
      <c r="SEZ68" s="2"/>
      <c r="SFA68" s="2"/>
      <c r="SFB68" s="2"/>
      <c r="SFC68" s="2"/>
      <c r="SFD68" s="2"/>
      <c r="SFE68" s="2"/>
      <c r="SFF68" s="2"/>
      <c r="SFG68" s="2"/>
      <c r="SFH68" s="2"/>
      <c r="SFI68" s="2"/>
      <c r="SFJ68" s="2"/>
      <c r="SFK68" s="2"/>
      <c r="SFL68" s="2"/>
      <c r="SFM68" s="2"/>
      <c r="SFN68" s="2"/>
      <c r="SFO68" s="2"/>
      <c r="SFP68" s="2"/>
      <c r="SFQ68" s="2"/>
      <c r="SFR68" s="2"/>
      <c r="SFS68" s="2"/>
      <c r="SFT68" s="2"/>
      <c r="SFU68" s="2"/>
      <c r="SFV68" s="2"/>
      <c r="SFW68" s="2"/>
      <c r="SFX68" s="2"/>
      <c r="SFY68" s="2"/>
      <c r="SFZ68" s="2"/>
      <c r="SGA68" s="2"/>
      <c r="SGB68" s="2"/>
      <c r="SGC68" s="2"/>
      <c r="SGD68" s="2"/>
      <c r="SGE68" s="2"/>
      <c r="SGF68" s="2"/>
      <c r="SGG68" s="2"/>
      <c r="SGH68" s="2"/>
      <c r="SGI68" s="2"/>
      <c r="SGJ68" s="2"/>
      <c r="SGK68" s="2"/>
      <c r="SGL68" s="2"/>
      <c r="SGM68" s="2"/>
      <c r="SGN68" s="2"/>
      <c r="SGO68" s="2"/>
      <c r="SGP68" s="2"/>
      <c r="SGQ68" s="2"/>
      <c r="SGR68" s="2"/>
      <c r="SGS68" s="2"/>
      <c r="SGT68" s="2"/>
      <c r="SGU68" s="2"/>
      <c r="SGV68" s="2"/>
      <c r="SGW68" s="2"/>
      <c r="SGX68" s="2"/>
      <c r="SGY68" s="2"/>
      <c r="SGZ68" s="2"/>
      <c r="SHA68" s="2"/>
      <c r="SHB68" s="2"/>
      <c r="SHC68" s="2"/>
      <c r="SHD68" s="2"/>
      <c r="SHE68" s="2"/>
      <c r="SHF68" s="2"/>
      <c r="SHG68" s="2"/>
      <c r="SHH68" s="2"/>
      <c r="SHI68" s="2"/>
      <c r="SHJ68" s="2"/>
      <c r="SHK68" s="2"/>
      <c r="SHL68" s="2"/>
      <c r="SHM68" s="2"/>
      <c r="SHN68" s="2"/>
      <c r="SHO68" s="2"/>
      <c r="SHP68" s="2"/>
      <c r="SHQ68" s="2"/>
      <c r="SHR68" s="2"/>
      <c r="SHS68" s="2"/>
      <c r="SHT68" s="2"/>
      <c r="SHU68" s="2"/>
      <c r="SHV68" s="2"/>
      <c r="SHW68" s="2"/>
      <c r="SHX68" s="2"/>
      <c r="SHY68" s="2"/>
      <c r="SHZ68" s="2"/>
      <c r="SIA68" s="2"/>
      <c r="SIB68" s="2"/>
      <c r="SIC68" s="2"/>
      <c r="SID68" s="2"/>
      <c r="SIE68" s="2"/>
      <c r="SIF68" s="2"/>
      <c r="SIG68" s="2"/>
      <c r="SIH68" s="2"/>
      <c r="SII68" s="2"/>
      <c r="SIJ68" s="2"/>
      <c r="SIK68" s="2"/>
      <c r="SIL68" s="2"/>
      <c r="SIM68" s="2"/>
      <c r="SIN68" s="2"/>
      <c r="SIO68" s="2"/>
      <c r="SIP68" s="2"/>
      <c r="SIQ68" s="2"/>
      <c r="SIR68" s="2"/>
      <c r="SIS68" s="2"/>
      <c r="SIT68" s="2"/>
      <c r="SIU68" s="2"/>
      <c r="SIV68" s="2"/>
      <c r="SIW68" s="2"/>
      <c r="SIX68" s="2"/>
      <c r="SIY68" s="2"/>
      <c r="SIZ68" s="2"/>
      <c r="SJA68" s="2"/>
      <c r="SJB68" s="2"/>
      <c r="SJC68" s="2"/>
      <c r="SJD68" s="2"/>
      <c r="SJE68" s="2"/>
      <c r="SJF68" s="2"/>
      <c r="SJG68" s="2"/>
      <c r="SJH68" s="2"/>
      <c r="SJI68" s="2"/>
      <c r="SJJ68" s="2"/>
      <c r="SJK68" s="2"/>
      <c r="SJL68" s="2"/>
      <c r="SJM68" s="2"/>
      <c r="SJN68" s="2"/>
      <c r="SJO68" s="2"/>
      <c r="SJP68" s="2"/>
      <c r="SJQ68" s="2"/>
      <c r="SJR68" s="2"/>
      <c r="SJS68" s="2"/>
      <c r="SJT68" s="2"/>
      <c r="SJU68" s="2"/>
      <c r="SJV68" s="2"/>
      <c r="SJW68" s="2"/>
      <c r="SJX68" s="2"/>
      <c r="SJY68" s="2"/>
      <c r="SJZ68" s="2"/>
      <c r="SKA68" s="2"/>
      <c r="SKB68" s="2"/>
      <c r="SKC68" s="2"/>
      <c r="SKD68" s="2"/>
      <c r="SKE68" s="2"/>
      <c r="SKF68" s="2"/>
      <c r="SKG68" s="2"/>
      <c r="SKH68" s="2"/>
      <c r="SKI68" s="2"/>
      <c r="SKJ68" s="2"/>
      <c r="SKK68" s="2"/>
      <c r="SKL68" s="2"/>
      <c r="SKM68" s="2"/>
      <c r="SKN68" s="2"/>
      <c r="SKO68" s="2"/>
      <c r="SKP68" s="2"/>
      <c r="SKQ68" s="2"/>
      <c r="SKR68" s="2"/>
      <c r="SKS68" s="2"/>
      <c r="SKT68" s="2"/>
      <c r="SKU68" s="2"/>
      <c r="SKV68" s="2"/>
      <c r="SKW68" s="2"/>
      <c r="SKX68" s="2"/>
      <c r="SKY68" s="2"/>
      <c r="SKZ68" s="2"/>
      <c r="SLA68" s="2"/>
      <c r="SLB68" s="2"/>
      <c r="SLC68" s="2"/>
      <c r="SLD68" s="2"/>
      <c r="SLE68" s="2"/>
      <c r="SLF68" s="2"/>
      <c r="SLG68" s="2"/>
      <c r="SLH68" s="2"/>
      <c r="SLI68" s="2"/>
      <c r="SLJ68" s="2"/>
      <c r="SLK68" s="2"/>
      <c r="SLL68" s="2"/>
      <c r="SLM68" s="2"/>
      <c r="SLN68" s="2"/>
      <c r="SLO68" s="2"/>
      <c r="SLP68" s="2"/>
      <c r="SLQ68" s="2"/>
      <c r="SLR68" s="2"/>
      <c r="SLS68" s="2"/>
      <c r="SLT68" s="2"/>
      <c r="SLU68" s="2"/>
      <c r="SLV68" s="2"/>
      <c r="SLW68" s="2"/>
      <c r="SLX68" s="2"/>
      <c r="SLY68" s="2"/>
      <c r="SLZ68" s="2"/>
      <c r="SMA68" s="2"/>
      <c r="SMB68" s="2"/>
      <c r="SMC68" s="2"/>
      <c r="SMD68" s="2"/>
      <c r="SME68" s="2"/>
      <c r="SMF68" s="2"/>
      <c r="SMG68" s="2"/>
      <c r="SMH68" s="2"/>
      <c r="SMI68" s="2"/>
      <c r="SMJ68" s="2"/>
      <c r="SMK68" s="2"/>
      <c r="SML68" s="2"/>
      <c r="SMM68" s="2"/>
      <c r="SMN68" s="2"/>
      <c r="SMO68" s="2"/>
      <c r="SMP68" s="2"/>
      <c r="SMQ68" s="2"/>
      <c r="SMR68" s="2"/>
      <c r="SMS68" s="2"/>
      <c r="SMT68" s="2"/>
      <c r="SMU68" s="2"/>
      <c r="SMV68" s="2"/>
      <c r="SMW68" s="2"/>
      <c r="SMX68" s="2"/>
      <c r="SMY68" s="2"/>
      <c r="SMZ68" s="2"/>
      <c r="SNA68" s="2"/>
      <c r="SNB68" s="2"/>
      <c r="SNC68" s="2"/>
      <c r="SND68" s="2"/>
      <c r="SNE68" s="2"/>
      <c r="SNF68" s="2"/>
      <c r="SNG68" s="2"/>
      <c r="SNH68" s="2"/>
      <c r="SNI68" s="2"/>
      <c r="SNJ68" s="2"/>
      <c r="SNK68" s="2"/>
      <c r="SNL68" s="2"/>
      <c r="SNM68" s="2"/>
      <c r="SNN68" s="2"/>
      <c r="SNO68" s="2"/>
      <c r="SNP68" s="2"/>
      <c r="SNQ68" s="2"/>
      <c r="SNR68" s="2"/>
      <c r="SNS68" s="2"/>
      <c r="SNT68" s="2"/>
      <c r="SNU68" s="2"/>
      <c r="SNV68" s="2"/>
      <c r="SNW68" s="2"/>
      <c r="SNX68" s="2"/>
      <c r="SNY68" s="2"/>
      <c r="SNZ68" s="2"/>
      <c r="SOA68" s="2"/>
      <c r="SOB68" s="2"/>
      <c r="SOC68" s="2"/>
      <c r="SOD68" s="2"/>
      <c r="SOE68" s="2"/>
      <c r="SOF68" s="2"/>
      <c r="SOG68" s="2"/>
      <c r="SOH68" s="2"/>
      <c r="SOI68" s="2"/>
      <c r="SOJ68" s="2"/>
      <c r="SOK68" s="2"/>
      <c r="SOL68" s="2"/>
      <c r="SOM68" s="2"/>
      <c r="SON68" s="2"/>
      <c r="SOO68" s="2"/>
      <c r="SOP68" s="2"/>
      <c r="SOQ68" s="2"/>
      <c r="SOR68" s="2"/>
      <c r="SOS68" s="2"/>
      <c r="SOT68" s="2"/>
      <c r="SOU68" s="2"/>
      <c r="SOV68" s="2"/>
      <c r="SOW68" s="2"/>
      <c r="SOX68" s="2"/>
      <c r="SOY68" s="2"/>
      <c r="SOZ68" s="2"/>
      <c r="SPA68" s="2"/>
      <c r="SPB68" s="2"/>
      <c r="SPC68" s="2"/>
      <c r="SPD68" s="2"/>
      <c r="SPE68" s="2"/>
      <c r="SPF68" s="2"/>
      <c r="SPG68" s="2"/>
      <c r="SPH68" s="2"/>
      <c r="SPI68" s="2"/>
      <c r="SPJ68" s="2"/>
      <c r="SPK68" s="2"/>
      <c r="SPL68" s="2"/>
      <c r="SPM68" s="2"/>
      <c r="SPN68" s="2"/>
      <c r="SPO68" s="2"/>
      <c r="SPP68" s="2"/>
      <c r="SPQ68" s="2"/>
      <c r="SPR68" s="2"/>
      <c r="SPS68" s="2"/>
      <c r="SPT68" s="2"/>
      <c r="SPU68" s="2"/>
      <c r="SPV68" s="2"/>
      <c r="SPW68" s="2"/>
      <c r="SPX68" s="2"/>
      <c r="SPY68" s="2"/>
      <c r="SPZ68" s="2"/>
      <c r="SQA68" s="2"/>
      <c r="SQB68" s="2"/>
      <c r="SQC68" s="2"/>
      <c r="SQD68" s="2"/>
      <c r="SQE68" s="2"/>
      <c r="SQF68" s="2"/>
      <c r="SQG68" s="2"/>
      <c r="SQH68" s="2"/>
      <c r="SQI68" s="2"/>
      <c r="SQJ68" s="2"/>
      <c r="SQK68" s="2"/>
      <c r="SQL68" s="2"/>
      <c r="SQM68" s="2"/>
      <c r="SQN68" s="2"/>
      <c r="SQO68" s="2"/>
      <c r="SQP68" s="2"/>
      <c r="SQQ68" s="2"/>
      <c r="SQR68" s="2"/>
      <c r="SQS68" s="2"/>
      <c r="SQT68" s="2"/>
      <c r="SQU68" s="2"/>
      <c r="SQV68" s="2"/>
      <c r="SQW68" s="2"/>
      <c r="SQX68" s="2"/>
      <c r="SQY68" s="2"/>
      <c r="SQZ68" s="2"/>
      <c r="SRA68" s="2"/>
      <c r="SRB68" s="2"/>
      <c r="SRC68" s="2"/>
      <c r="SRD68" s="2"/>
      <c r="SRE68" s="2"/>
      <c r="SRF68" s="2"/>
      <c r="SRG68" s="2"/>
      <c r="SRH68" s="2"/>
      <c r="SRI68" s="2"/>
      <c r="SRJ68" s="2"/>
      <c r="SRK68" s="2"/>
      <c r="SRL68" s="2"/>
      <c r="SRM68" s="2"/>
      <c r="SRN68" s="2"/>
      <c r="SRO68" s="2"/>
      <c r="SRP68" s="2"/>
      <c r="SRQ68" s="2"/>
      <c r="SRR68" s="2"/>
      <c r="SRS68" s="2"/>
      <c r="SRT68" s="2"/>
      <c r="SRU68" s="2"/>
      <c r="SRV68" s="2"/>
      <c r="SRW68" s="2"/>
      <c r="SRX68" s="2"/>
      <c r="SRY68" s="2"/>
      <c r="SRZ68" s="2"/>
      <c r="SSA68" s="2"/>
      <c r="SSB68" s="2"/>
      <c r="SSC68" s="2"/>
      <c r="SSD68" s="2"/>
      <c r="SSE68" s="2"/>
      <c r="SSF68" s="2"/>
      <c r="SSG68" s="2"/>
      <c r="SSH68" s="2"/>
      <c r="SSI68" s="2"/>
      <c r="SSJ68" s="2"/>
      <c r="SSK68" s="2"/>
      <c r="SSL68" s="2"/>
      <c r="SSM68" s="2"/>
      <c r="SSN68" s="2"/>
      <c r="SSO68" s="2"/>
      <c r="SSP68" s="2"/>
      <c r="SSQ68" s="2"/>
      <c r="SSR68" s="2"/>
      <c r="SSS68" s="2"/>
      <c r="SST68" s="2"/>
      <c r="SSU68" s="2"/>
      <c r="SSV68" s="2"/>
      <c r="SSW68" s="2"/>
      <c r="SSX68" s="2"/>
      <c r="SSY68" s="2"/>
      <c r="SSZ68" s="2"/>
      <c r="STA68" s="2"/>
      <c r="STB68" s="2"/>
      <c r="STC68" s="2"/>
      <c r="STD68" s="2"/>
      <c r="STE68" s="2"/>
      <c r="STF68" s="2"/>
      <c r="STG68" s="2"/>
      <c r="STH68" s="2"/>
      <c r="STI68" s="2"/>
      <c r="STJ68" s="2"/>
      <c r="STK68" s="2"/>
      <c r="STL68" s="2"/>
      <c r="STM68" s="2"/>
      <c r="STN68" s="2"/>
      <c r="STO68" s="2"/>
      <c r="STP68" s="2"/>
      <c r="STQ68" s="2"/>
      <c r="STR68" s="2"/>
      <c r="STS68" s="2"/>
      <c r="STT68" s="2"/>
      <c r="STU68" s="2"/>
      <c r="STV68" s="2"/>
      <c r="STW68" s="2"/>
      <c r="STX68" s="2"/>
      <c r="STY68" s="2"/>
      <c r="STZ68" s="2"/>
      <c r="SUA68" s="2"/>
      <c r="SUB68" s="2"/>
      <c r="SUC68" s="2"/>
      <c r="SUD68" s="2"/>
      <c r="SUE68" s="2"/>
      <c r="SUF68" s="2"/>
      <c r="SUG68" s="2"/>
      <c r="SUH68" s="2"/>
      <c r="SUI68" s="2"/>
      <c r="SUJ68" s="2"/>
      <c r="SUK68" s="2"/>
      <c r="SUL68" s="2"/>
      <c r="SUM68" s="2"/>
      <c r="SUN68" s="2"/>
      <c r="SUO68" s="2"/>
      <c r="SUP68" s="2"/>
      <c r="SUQ68" s="2"/>
      <c r="SUR68" s="2"/>
      <c r="SUS68" s="2"/>
      <c r="SUT68" s="2"/>
      <c r="SUU68" s="2"/>
      <c r="SUV68" s="2"/>
      <c r="SUW68" s="2"/>
      <c r="SUX68" s="2"/>
      <c r="SUY68" s="2"/>
      <c r="SUZ68" s="2"/>
      <c r="SVA68" s="2"/>
      <c r="SVB68" s="2"/>
      <c r="SVC68" s="2"/>
      <c r="SVD68" s="2"/>
      <c r="SVE68" s="2"/>
      <c r="SVF68" s="2"/>
      <c r="SVG68" s="2"/>
      <c r="SVH68" s="2"/>
      <c r="SVI68" s="2"/>
      <c r="SVJ68" s="2"/>
      <c r="SVK68" s="2"/>
      <c r="SVL68" s="2"/>
      <c r="SVM68" s="2"/>
      <c r="SVN68" s="2"/>
      <c r="SVO68" s="2"/>
      <c r="SVP68" s="2"/>
      <c r="SVQ68" s="2"/>
      <c r="SVR68" s="2"/>
      <c r="SVS68" s="2"/>
      <c r="SVT68" s="2"/>
      <c r="SVU68" s="2"/>
      <c r="SVV68" s="2"/>
      <c r="SVW68" s="2"/>
      <c r="SVX68" s="2"/>
      <c r="SVY68" s="2"/>
      <c r="SVZ68" s="2"/>
      <c r="SWA68" s="2"/>
      <c r="SWB68" s="2"/>
      <c r="SWC68" s="2"/>
      <c r="SWD68" s="2"/>
      <c r="SWE68" s="2"/>
      <c r="SWF68" s="2"/>
      <c r="SWG68" s="2"/>
      <c r="SWH68" s="2"/>
      <c r="SWI68" s="2"/>
      <c r="SWJ68" s="2"/>
      <c r="SWK68" s="2"/>
      <c r="SWL68" s="2"/>
      <c r="SWM68" s="2"/>
      <c r="SWN68" s="2"/>
      <c r="SWO68" s="2"/>
      <c r="SWP68" s="2"/>
      <c r="SWQ68" s="2"/>
      <c r="SWR68" s="2"/>
      <c r="SWS68" s="2"/>
      <c r="SWT68" s="2"/>
      <c r="SWU68" s="2"/>
      <c r="SWV68" s="2"/>
      <c r="SWW68" s="2"/>
      <c r="SWX68" s="2"/>
      <c r="SWY68" s="2"/>
      <c r="SWZ68" s="2"/>
      <c r="SXA68" s="2"/>
      <c r="SXB68" s="2"/>
      <c r="SXC68" s="2"/>
      <c r="SXD68" s="2"/>
      <c r="SXE68" s="2"/>
      <c r="SXF68" s="2"/>
      <c r="SXG68" s="2"/>
      <c r="SXH68" s="2"/>
      <c r="SXI68" s="2"/>
      <c r="SXJ68" s="2"/>
      <c r="SXK68" s="2"/>
      <c r="SXL68" s="2"/>
      <c r="SXM68" s="2"/>
      <c r="SXN68" s="2"/>
      <c r="SXO68" s="2"/>
      <c r="SXP68" s="2"/>
      <c r="SXQ68" s="2"/>
      <c r="SXR68" s="2"/>
      <c r="SXS68" s="2"/>
      <c r="SXT68" s="2"/>
      <c r="SXU68" s="2"/>
      <c r="SXV68" s="2"/>
      <c r="SXW68" s="2"/>
      <c r="SXX68" s="2"/>
      <c r="SXY68" s="2"/>
      <c r="SXZ68" s="2"/>
      <c r="SYA68" s="2"/>
      <c r="SYB68" s="2"/>
      <c r="SYC68" s="2"/>
      <c r="SYD68" s="2"/>
      <c r="SYE68" s="2"/>
      <c r="SYF68" s="2"/>
      <c r="SYG68" s="2"/>
      <c r="SYH68" s="2"/>
      <c r="SYI68" s="2"/>
      <c r="SYJ68" s="2"/>
      <c r="SYK68" s="2"/>
      <c r="SYL68" s="2"/>
      <c r="SYM68" s="2"/>
      <c r="SYN68" s="2"/>
      <c r="SYO68" s="2"/>
      <c r="SYP68" s="2"/>
      <c r="SYQ68" s="2"/>
      <c r="SYR68" s="2"/>
      <c r="SYS68" s="2"/>
      <c r="SYT68" s="2"/>
      <c r="SYU68" s="2"/>
      <c r="SYV68" s="2"/>
      <c r="SYW68" s="2"/>
      <c r="SYX68" s="2"/>
      <c r="SYY68" s="2"/>
      <c r="SYZ68" s="2"/>
      <c r="SZA68" s="2"/>
      <c r="SZB68" s="2"/>
      <c r="SZC68" s="2"/>
      <c r="SZD68" s="2"/>
      <c r="SZE68" s="2"/>
      <c r="SZF68" s="2"/>
      <c r="SZG68" s="2"/>
      <c r="SZH68" s="2"/>
      <c r="SZI68" s="2"/>
      <c r="SZJ68" s="2"/>
      <c r="SZK68" s="2"/>
      <c r="SZL68" s="2"/>
      <c r="SZM68" s="2"/>
      <c r="SZN68" s="2"/>
      <c r="SZO68" s="2"/>
      <c r="SZP68" s="2"/>
      <c r="SZQ68" s="2"/>
      <c r="SZR68" s="2"/>
      <c r="SZS68" s="2"/>
      <c r="SZT68" s="2"/>
      <c r="SZU68" s="2"/>
      <c r="SZV68" s="2"/>
      <c r="SZW68" s="2"/>
      <c r="SZX68" s="2"/>
      <c r="SZY68" s="2"/>
      <c r="SZZ68" s="2"/>
      <c r="TAA68" s="2"/>
      <c r="TAB68" s="2"/>
      <c r="TAC68" s="2"/>
      <c r="TAD68" s="2"/>
      <c r="TAE68" s="2"/>
      <c r="TAF68" s="2"/>
      <c r="TAG68" s="2"/>
      <c r="TAH68" s="2"/>
      <c r="TAI68" s="2"/>
      <c r="TAJ68" s="2"/>
      <c r="TAK68" s="2"/>
      <c r="TAL68" s="2"/>
      <c r="TAM68" s="2"/>
      <c r="TAN68" s="2"/>
      <c r="TAO68" s="2"/>
      <c r="TAP68" s="2"/>
      <c r="TAQ68" s="2"/>
      <c r="TAR68" s="2"/>
      <c r="TAS68" s="2"/>
      <c r="TAT68" s="2"/>
      <c r="TAU68" s="2"/>
      <c r="TAV68" s="2"/>
      <c r="TAW68" s="2"/>
      <c r="TAX68" s="2"/>
      <c r="TAY68" s="2"/>
      <c r="TAZ68" s="2"/>
      <c r="TBA68" s="2"/>
      <c r="TBB68" s="2"/>
      <c r="TBC68" s="2"/>
      <c r="TBD68" s="2"/>
      <c r="TBE68" s="2"/>
      <c r="TBF68" s="2"/>
      <c r="TBG68" s="2"/>
      <c r="TBH68" s="2"/>
      <c r="TBI68" s="2"/>
      <c r="TBJ68" s="2"/>
      <c r="TBK68" s="2"/>
      <c r="TBL68" s="2"/>
      <c r="TBM68" s="2"/>
      <c r="TBN68" s="2"/>
      <c r="TBO68" s="2"/>
      <c r="TBP68" s="2"/>
      <c r="TBQ68" s="2"/>
      <c r="TBR68" s="2"/>
      <c r="TBS68" s="2"/>
      <c r="TBT68" s="2"/>
      <c r="TBU68" s="2"/>
      <c r="TBV68" s="2"/>
      <c r="TBW68" s="2"/>
      <c r="TBX68" s="2"/>
      <c r="TBY68" s="2"/>
      <c r="TBZ68" s="2"/>
      <c r="TCA68" s="2"/>
      <c r="TCB68" s="2"/>
      <c r="TCC68" s="2"/>
      <c r="TCD68" s="2"/>
      <c r="TCE68" s="2"/>
      <c r="TCF68" s="2"/>
      <c r="TCG68" s="2"/>
      <c r="TCH68" s="2"/>
      <c r="TCI68" s="2"/>
      <c r="TCJ68" s="2"/>
      <c r="TCK68" s="2"/>
      <c r="TCL68" s="2"/>
      <c r="TCM68" s="2"/>
      <c r="TCN68" s="2"/>
      <c r="TCO68" s="2"/>
      <c r="TCP68" s="2"/>
      <c r="TCQ68" s="2"/>
      <c r="TCR68" s="2"/>
      <c r="TCS68" s="2"/>
      <c r="TCT68" s="2"/>
      <c r="TCU68" s="2"/>
      <c r="TCV68" s="2"/>
      <c r="TCW68" s="2"/>
      <c r="TCX68" s="2"/>
      <c r="TCY68" s="2"/>
      <c r="TCZ68" s="2"/>
      <c r="TDA68" s="2"/>
      <c r="TDB68" s="2"/>
      <c r="TDC68" s="2"/>
      <c r="TDD68" s="2"/>
      <c r="TDE68" s="2"/>
      <c r="TDF68" s="2"/>
      <c r="TDG68" s="2"/>
      <c r="TDH68" s="2"/>
      <c r="TDI68" s="2"/>
      <c r="TDJ68" s="2"/>
      <c r="TDK68" s="2"/>
      <c r="TDL68" s="2"/>
      <c r="TDM68" s="2"/>
      <c r="TDN68" s="2"/>
      <c r="TDO68" s="2"/>
      <c r="TDP68" s="2"/>
      <c r="TDQ68" s="2"/>
      <c r="TDR68" s="2"/>
      <c r="TDS68" s="2"/>
      <c r="TDT68" s="2"/>
      <c r="TDU68" s="2"/>
      <c r="TDV68" s="2"/>
      <c r="TDW68" s="2"/>
      <c r="TDX68" s="2"/>
      <c r="TDY68" s="2"/>
      <c r="TDZ68" s="2"/>
      <c r="TEA68" s="2"/>
      <c r="TEB68" s="2"/>
      <c r="TEC68" s="2"/>
      <c r="TED68" s="2"/>
      <c r="TEE68" s="2"/>
      <c r="TEF68" s="2"/>
      <c r="TEG68" s="2"/>
      <c r="TEH68" s="2"/>
      <c r="TEI68" s="2"/>
      <c r="TEJ68" s="2"/>
      <c r="TEK68" s="2"/>
      <c r="TEL68" s="2"/>
      <c r="TEM68" s="2"/>
      <c r="TEN68" s="2"/>
      <c r="TEO68" s="2"/>
      <c r="TEP68" s="2"/>
      <c r="TEQ68" s="2"/>
      <c r="TER68" s="2"/>
      <c r="TES68" s="2"/>
      <c r="TET68" s="2"/>
      <c r="TEU68" s="2"/>
      <c r="TEV68" s="2"/>
      <c r="TEW68" s="2"/>
      <c r="TEX68" s="2"/>
      <c r="TEY68" s="2"/>
      <c r="TEZ68" s="2"/>
      <c r="TFA68" s="2"/>
      <c r="TFB68" s="2"/>
      <c r="TFC68" s="2"/>
      <c r="TFD68" s="2"/>
      <c r="TFE68" s="2"/>
      <c r="TFF68" s="2"/>
      <c r="TFG68" s="2"/>
      <c r="TFH68" s="2"/>
      <c r="TFI68" s="2"/>
      <c r="TFJ68" s="2"/>
      <c r="TFK68" s="2"/>
      <c r="TFL68" s="2"/>
      <c r="TFM68" s="2"/>
      <c r="TFN68" s="2"/>
      <c r="TFO68" s="2"/>
      <c r="TFP68" s="2"/>
      <c r="TFQ68" s="2"/>
      <c r="TFR68" s="2"/>
      <c r="TFS68" s="2"/>
      <c r="TFT68" s="2"/>
      <c r="TFU68" s="2"/>
      <c r="TFV68" s="2"/>
      <c r="TFW68" s="2"/>
      <c r="TFX68" s="2"/>
      <c r="TFY68" s="2"/>
      <c r="TFZ68" s="2"/>
      <c r="TGA68" s="2"/>
      <c r="TGB68" s="2"/>
      <c r="TGC68" s="2"/>
      <c r="TGD68" s="2"/>
      <c r="TGE68" s="2"/>
      <c r="TGF68" s="2"/>
      <c r="TGG68" s="2"/>
      <c r="TGH68" s="2"/>
      <c r="TGI68" s="2"/>
      <c r="TGJ68" s="2"/>
      <c r="TGK68" s="2"/>
      <c r="TGL68" s="2"/>
      <c r="TGM68" s="2"/>
      <c r="TGN68" s="2"/>
      <c r="TGO68" s="2"/>
      <c r="TGP68" s="2"/>
      <c r="TGQ68" s="2"/>
      <c r="TGR68" s="2"/>
      <c r="TGS68" s="2"/>
      <c r="TGT68" s="2"/>
      <c r="TGU68" s="2"/>
      <c r="TGV68" s="2"/>
      <c r="TGW68" s="2"/>
      <c r="TGX68" s="2"/>
      <c r="TGY68" s="2"/>
      <c r="TGZ68" s="2"/>
      <c r="THA68" s="2"/>
      <c r="THB68" s="2"/>
      <c r="THC68" s="2"/>
      <c r="THD68" s="2"/>
      <c r="THE68" s="2"/>
      <c r="THF68" s="2"/>
      <c r="THG68" s="2"/>
      <c r="THH68" s="2"/>
      <c r="THI68" s="2"/>
      <c r="THJ68" s="2"/>
      <c r="THK68" s="2"/>
      <c r="THL68" s="2"/>
      <c r="THM68" s="2"/>
      <c r="THN68" s="2"/>
      <c r="THO68" s="2"/>
      <c r="THP68" s="2"/>
      <c r="THQ68" s="2"/>
      <c r="THR68" s="2"/>
      <c r="THS68" s="2"/>
      <c r="THT68" s="2"/>
      <c r="THU68" s="2"/>
      <c r="THV68" s="2"/>
      <c r="THW68" s="2"/>
      <c r="THX68" s="2"/>
      <c r="THY68" s="2"/>
      <c r="THZ68" s="2"/>
      <c r="TIA68" s="2"/>
      <c r="TIB68" s="2"/>
      <c r="TIC68" s="2"/>
      <c r="TID68" s="2"/>
      <c r="TIE68" s="2"/>
      <c r="TIF68" s="2"/>
      <c r="TIG68" s="2"/>
      <c r="TIH68" s="2"/>
      <c r="TII68" s="2"/>
      <c r="TIJ68" s="2"/>
      <c r="TIK68" s="2"/>
      <c r="TIL68" s="2"/>
      <c r="TIM68" s="2"/>
      <c r="TIN68" s="2"/>
      <c r="TIO68" s="2"/>
      <c r="TIP68" s="2"/>
      <c r="TIQ68" s="2"/>
      <c r="TIR68" s="2"/>
      <c r="TIS68" s="2"/>
      <c r="TIT68" s="2"/>
      <c r="TIU68" s="2"/>
      <c r="TIV68" s="2"/>
      <c r="TIW68" s="2"/>
      <c r="TIX68" s="2"/>
      <c r="TIY68" s="2"/>
      <c r="TIZ68" s="2"/>
      <c r="TJA68" s="2"/>
      <c r="TJB68" s="2"/>
      <c r="TJC68" s="2"/>
      <c r="TJD68" s="2"/>
      <c r="TJE68" s="2"/>
      <c r="TJF68" s="2"/>
      <c r="TJG68" s="2"/>
      <c r="TJH68" s="2"/>
      <c r="TJI68" s="2"/>
      <c r="TJJ68" s="2"/>
      <c r="TJK68" s="2"/>
      <c r="TJL68" s="2"/>
      <c r="TJM68" s="2"/>
      <c r="TJN68" s="2"/>
      <c r="TJO68" s="2"/>
      <c r="TJP68" s="2"/>
      <c r="TJQ68" s="2"/>
      <c r="TJR68" s="2"/>
      <c r="TJS68" s="2"/>
      <c r="TJT68" s="2"/>
      <c r="TJU68" s="2"/>
      <c r="TJV68" s="2"/>
      <c r="TJW68" s="2"/>
      <c r="TJX68" s="2"/>
      <c r="TJY68" s="2"/>
      <c r="TJZ68" s="2"/>
      <c r="TKA68" s="2"/>
      <c r="TKB68" s="2"/>
      <c r="TKC68" s="2"/>
      <c r="TKD68" s="2"/>
      <c r="TKE68" s="2"/>
      <c r="TKF68" s="2"/>
      <c r="TKG68" s="2"/>
      <c r="TKH68" s="2"/>
      <c r="TKI68" s="2"/>
      <c r="TKJ68" s="2"/>
      <c r="TKK68" s="2"/>
      <c r="TKL68" s="2"/>
      <c r="TKM68" s="2"/>
      <c r="TKN68" s="2"/>
      <c r="TKO68" s="2"/>
      <c r="TKP68" s="2"/>
      <c r="TKQ68" s="2"/>
      <c r="TKR68" s="2"/>
      <c r="TKS68" s="2"/>
      <c r="TKT68" s="2"/>
      <c r="TKU68" s="2"/>
      <c r="TKV68" s="2"/>
      <c r="TKW68" s="2"/>
      <c r="TKX68" s="2"/>
      <c r="TKY68" s="2"/>
      <c r="TKZ68" s="2"/>
      <c r="TLA68" s="2"/>
      <c r="TLB68" s="2"/>
      <c r="TLC68" s="2"/>
      <c r="TLD68" s="2"/>
      <c r="TLE68" s="2"/>
      <c r="TLF68" s="2"/>
      <c r="TLG68" s="2"/>
      <c r="TLH68" s="2"/>
      <c r="TLI68" s="2"/>
      <c r="TLJ68" s="2"/>
      <c r="TLK68" s="2"/>
      <c r="TLL68" s="2"/>
      <c r="TLM68" s="2"/>
      <c r="TLN68" s="2"/>
      <c r="TLO68" s="2"/>
      <c r="TLP68" s="2"/>
      <c r="TLQ68" s="2"/>
      <c r="TLR68" s="2"/>
      <c r="TLS68" s="2"/>
      <c r="TLT68" s="2"/>
      <c r="TLU68" s="2"/>
      <c r="TLV68" s="2"/>
      <c r="TLW68" s="2"/>
      <c r="TLX68" s="2"/>
      <c r="TLY68" s="2"/>
      <c r="TLZ68" s="2"/>
      <c r="TMA68" s="2"/>
      <c r="TMB68" s="2"/>
      <c r="TMC68" s="2"/>
      <c r="TMD68" s="2"/>
      <c r="TME68" s="2"/>
      <c r="TMF68" s="2"/>
      <c r="TMG68" s="2"/>
      <c r="TMH68" s="2"/>
      <c r="TMI68" s="2"/>
      <c r="TMJ68" s="2"/>
      <c r="TMK68" s="2"/>
      <c r="TML68" s="2"/>
      <c r="TMM68" s="2"/>
      <c r="TMN68" s="2"/>
      <c r="TMO68" s="2"/>
      <c r="TMP68" s="2"/>
      <c r="TMQ68" s="2"/>
      <c r="TMR68" s="2"/>
      <c r="TMS68" s="2"/>
      <c r="TMT68" s="2"/>
      <c r="TMU68" s="2"/>
      <c r="TMV68" s="2"/>
      <c r="TMW68" s="2"/>
      <c r="TMX68" s="2"/>
      <c r="TMY68" s="2"/>
      <c r="TMZ68" s="2"/>
      <c r="TNA68" s="2"/>
      <c r="TNB68" s="2"/>
      <c r="TNC68" s="2"/>
      <c r="TND68" s="2"/>
      <c r="TNE68" s="2"/>
      <c r="TNF68" s="2"/>
      <c r="TNG68" s="2"/>
      <c r="TNH68" s="2"/>
      <c r="TNI68" s="2"/>
      <c r="TNJ68" s="2"/>
      <c r="TNK68" s="2"/>
      <c r="TNL68" s="2"/>
      <c r="TNM68" s="2"/>
      <c r="TNN68" s="2"/>
      <c r="TNO68" s="2"/>
      <c r="TNP68" s="2"/>
      <c r="TNQ68" s="2"/>
      <c r="TNR68" s="2"/>
      <c r="TNS68" s="2"/>
      <c r="TNT68" s="2"/>
      <c r="TNU68" s="2"/>
      <c r="TNV68" s="2"/>
      <c r="TNW68" s="2"/>
      <c r="TNX68" s="2"/>
      <c r="TNY68" s="2"/>
      <c r="TNZ68" s="2"/>
      <c r="TOA68" s="2"/>
      <c r="TOB68" s="2"/>
      <c r="TOC68" s="2"/>
      <c r="TOD68" s="2"/>
      <c r="TOE68" s="2"/>
      <c r="TOF68" s="2"/>
      <c r="TOG68" s="2"/>
      <c r="TOH68" s="2"/>
      <c r="TOI68" s="2"/>
      <c r="TOJ68" s="2"/>
      <c r="TOK68" s="2"/>
      <c r="TOL68" s="2"/>
      <c r="TOM68" s="2"/>
      <c r="TON68" s="2"/>
      <c r="TOO68" s="2"/>
      <c r="TOP68" s="2"/>
      <c r="TOQ68" s="2"/>
      <c r="TOR68" s="2"/>
      <c r="TOS68" s="2"/>
      <c r="TOT68" s="2"/>
      <c r="TOU68" s="2"/>
      <c r="TOV68" s="2"/>
      <c r="TOW68" s="2"/>
      <c r="TOX68" s="2"/>
      <c r="TOY68" s="2"/>
      <c r="TOZ68" s="2"/>
      <c r="TPA68" s="2"/>
      <c r="TPB68" s="2"/>
      <c r="TPC68" s="2"/>
      <c r="TPD68" s="2"/>
      <c r="TPE68" s="2"/>
      <c r="TPF68" s="2"/>
      <c r="TPG68" s="2"/>
      <c r="TPH68" s="2"/>
      <c r="TPI68" s="2"/>
      <c r="TPJ68" s="2"/>
      <c r="TPK68" s="2"/>
      <c r="TPL68" s="2"/>
      <c r="TPM68" s="2"/>
      <c r="TPN68" s="2"/>
      <c r="TPO68" s="2"/>
      <c r="TPP68" s="2"/>
      <c r="TPQ68" s="2"/>
      <c r="TPR68" s="2"/>
      <c r="TPS68" s="2"/>
      <c r="TPT68" s="2"/>
      <c r="TPU68" s="2"/>
      <c r="TPV68" s="2"/>
      <c r="TPW68" s="2"/>
      <c r="TPX68" s="2"/>
      <c r="TPY68" s="2"/>
      <c r="TPZ68" s="2"/>
      <c r="TQA68" s="2"/>
      <c r="TQB68" s="2"/>
      <c r="TQC68" s="2"/>
      <c r="TQD68" s="2"/>
      <c r="TQE68" s="2"/>
      <c r="TQF68" s="2"/>
      <c r="TQG68" s="2"/>
      <c r="TQH68" s="2"/>
      <c r="TQI68" s="2"/>
      <c r="TQJ68" s="2"/>
      <c r="TQK68" s="2"/>
      <c r="TQL68" s="2"/>
      <c r="TQM68" s="2"/>
      <c r="TQN68" s="2"/>
      <c r="TQO68" s="2"/>
      <c r="TQP68" s="2"/>
      <c r="TQQ68" s="2"/>
      <c r="TQR68" s="2"/>
      <c r="TQS68" s="2"/>
      <c r="TQT68" s="2"/>
      <c r="TQU68" s="2"/>
      <c r="TQV68" s="2"/>
      <c r="TQW68" s="2"/>
      <c r="TQX68" s="2"/>
      <c r="TQY68" s="2"/>
      <c r="TQZ68" s="2"/>
      <c r="TRA68" s="2"/>
      <c r="TRB68" s="2"/>
      <c r="TRC68" s="2"/>
      <c r="TRD68" s="2"/>
      <c r="TRE68" s="2"/>
      <c r="TRF68" s="2"/>
      <c r="TRG68" s="2"/>
      <c r="TRH68" s="2"/>
      <c r="TRI68" s="2"/>
      <c r="TRJ68" s="2"/>
      <c r="TRK68" s="2"/>
      <c r="TRL68" s="2"/>
      <c r="TRM68" s="2"/>
      <c r="TRN68" s="2"/>
      <c r="TRO68" s="2"/>
      <c r="TRP68" s="2"/>
      <c r="TRQ68" s="2"/>
      <c r="TRR68" s="2"/>
      <c r="TRS68" s="2"/>
      <c r="TRT68" s="2"/>
      <c r="TRU68" s="2"/>
      <c r="TRV68" s="2"/>
      <c r="TRW68" s="2"/>
      <c r="TRX68" s="2"/>
      <c r="TRY68" s="2"/>
      <c r="TRZ68" s="2"/>
      <c r="TSA68" s="2"/>
      <c r="TSB68" s="2"/>
      <c r="TSC68" s="2"/>
      <c r="TSD68" s="2"/>
      <c r="TSE68" s="2"/>
      <c r="TSF68" s="2"/>
      <c r="TSG68" s="2"/>
      <c r="TSH68" s="2"/>
      <c r="TSI68" s="2"/>
      <c r="TSJ68" s="2"/>
      <c r="TSK68" s="2"/>
      <c r="TSL68" s="2"/>
      <c r="TSM68" s="2"/>
      <c r="TSN68" s="2"/>
      <c r="TSO68" s="2"/>
      <c r="TSP68" s="2"/>
      <c r="TSQ68" s="2"/>
      <c r="TSR68" s="2"/>
      <c r="TSS68" s="2"/>
      <c r="TST68" s="2"/>
      <c r="TSU68" s="2"/>
      <c r="TSV68" s="2"/>
      <c r="TSW68" s="2"/>
      <c r="TSX68" s="2"/>
      <c r="TSY68" s="2"/>
      <c r="TSZ68" s="2"/>
      <c r="TTA68" s="2"/>
      <c r="TTB68" s="2"/>
      <c r="TTC68" s="2"/>
      <c r="TTD68" s="2"/>
      <c r="TTE68" s="2"/>
      <c r="TTF68" s="2"/>
      <c r="TTG68" s="2"/>
      <c r="TTH68" s="2"/>
      <c r="TTI68" s="2"/>
      <c r="TTJ68" s="2"/>
      <c r="TTK68" s="2"/>
      <c r="TTL68" s="2"/>
      <c r="TTM68" s="2"/>
      <c r="TTN68" s="2"/>
      <c r="TTO68" s="2"/>
      <c r="TTP68" s="2"/>
      <c r="TTQ68" s="2"/>
      <c r="TTR68" s="2"/>
      <c r="TTS68" s="2"/>
      <c r="TTT68" s="2"/>
      <c r="TTU68" s="2"/>
      <c r="TTV68" s="2"/>
      <c r="TTW68" s="2"/>
      <c r="TTX68" s="2"/>
      <c r="TTY68" s="2"/>
      <c r="TTZ68" s="2"/>
      <c r="TUA68" s="2"/>
      <c r="TUB68" s="2"/>
      <c r="TUC68" s="2"/>
      <c r="TUD68" s="2"/>
      <c r="TUE68" s="2"/>
      <c r="TUF68" s="2"/>
      <c r="TUG68" s="2"/>
      <c r="TUH68" s="2"/>
      <c r="TUI68" s="2"/>
      <c r="TUJ68" s="2"/>
      <c r="TUK68" s="2"/>
      <c r="TUL68" s="2"/>
      <c r="TUM68" s="2"/>
      <c r="TUN68" s="2"/>
      <c r="TUO68" s="2"/>
      <c r="TUP68" s="2"/>
      <c r="TUQ68" s="2"/>
      <c r="TUR68" s="2"/>
      <c r="TUS68" s="2"/>
      <c r="TUT68" s="2"/>
      <c r="TUU68" s="2"/>
      <c r="TUV68" s="2"/>
      <c r="TUW68" s="2"/>
      <c r="TUX68" s="2"/>
      <c r="TUY68" s="2"/>
      <c r="TUZ68" s="2"/>
      <c r="TVA68" s="2"/>
      <c r="TVB68" s="2"/>
      <c r="TVC68" s="2"/>
      <c r="TVD68" s="2"/>
      <c r="TVE68" s="2"/>
      <c r="TVF68" s="2"/>
      <c r="TVG68" s="2"/>
      <c r="TVH68" s="2"/>
      <c r="TVI68" s="2"/>
      <c r="TVJ68" s="2"/>
      <c r="TVK68" s="2"/>
      <c r="TVL68" s="2"/>
      <c r="TVM68" s="2"/>
      <c r="TVN68" s="2"/>
      <c r="TVO68" s="2"/>
      <c r="TVP68" s="2"/>
      <c r="TVQ68" s="2"/>
      <c r="TVR68" s="2"/>
      <c r="TVS68" s="2"/>
      <c r="TVT68" s="2"/>
      <c r="TVU68" s="2"/>
      <c r="TVV68" s="2"/>
      <c r="TVW68" s="2"/>
      <c r="TVX68" s="2"/>
      <c r="TVY68" s="2"/>
      <c r="TVZ68" s="2"/>
      <c r="TWA68" s="2"/>
      <c r="TWB68" s="2"/>
      <c r="TWC68" s="2"/>
      <c r="TWD68" s="2"/>
      <c r="TWE68" s="2"/>
      <c r="TWF68" s="2"/>
      <c r="TWG68" s="2"/>
      <c r="TWH68" s="2"/>
      <c r="TWI68" s="2"/>
      <c r="TWJ68" s="2"/>
      <c r="TWK68" s="2"/>
      <c r="TWL68" s="2"/>
      <c r="TWM68" s="2"/>
      <c r="TWN68" s="2"/>
      <c r="TWO68" s="2"/>
      <c r="TWP68" s="2"/>
      <c r="TWQ68" s="2"/>
      <c r="TWR68" s="2"/>
      <c r="TWS68" s="2"/>
      <c r="TWT68" s="2"/>
      <c r="TWU68" s="2"/>
      <c r="TWV68" s="2"/>
      <c r="TWW68" s="2"/>
      <c r="TWX68" s="2"/>
      <c r="TWY68" s="2"/>
      <c r="TWZ68" s="2"/>
      <c r="TXA68" s="2"/>
      <c r="TXB68" s="2"/>
      <c r="TXC68" s="2"/>
      <c r="TXD68" s="2"/>
      <c r="TXE68" s="2"/>
      <c r="TXF68" s="2"/>
      <c r="TXG68" s="2"/>
      <c r="TXH68" s="2"/>
      <c r="TXI68" s="2"/>
      <c r="TXJ68" s="2"/>
      <c r="TXK68" s="2"/>
      <c r="TXL68" s="2"/>
      <c r="TXM68" s="2"/>
      <c r="TXN68" s="2"/>
      <c r="TXO68" s="2"/>
      <c r="TXP68" s="2"/>
      <c r="TXQ68" s="2"/>
      <c r="TXR68" s="2"/>
      <c r="TXS68" s="2"/>
      <c r="TXT68" s="2"/>
      <c r="TXU68" s="2"/>
      <c r="TXV68" s="2"/>
      <c r="TXW68" s="2"/>
      <c r="TXX68" s="2"/>
      <c r="TXY68" s="2"/>
      <c r="TXZ68" s="2"/>
      <c r="TYA68" s="2"/>
      <c r="TYB68" s="2"/>
      <c r="TYC68" s="2"/>
      <c r="TYD68" s="2"/>
      <c r="TYE68" s="2"/>
      <c r="TYF68" s="2"/>
      <c r="TYG68" s="2"/>
      <c r="TYH68" s="2"/>
      <c r="TYI68" s="2"/>
      <c r="TYJ68" s="2"/>
      <c r="TYK68" s="2"/>
      <c r="TYL68" s="2"/>
      <c r="TYM68" s="2"/>
      <c r="TYN68" s="2"/>
      <c r="TYO68" s="2"/>
      <c r="TYP68" s="2"/>
      <c r="TYQ68" s="2"/>
      <c r="TYR68" s="2"/>
      <c r="TYS68" s="2"/>
      <c r="TYT68" s="2"/>
      <c r="TYU68" s="2"/>
      <c r="TYV68" s="2"/>
      <c r="TYW68" s="2"/>
      <c r="TYX68" s="2"/>
      <c r="TYY68" s="2"/>
      <c r="TYZ68" s="2"/>
      <c r="TZA68" s="2"/>
      <c r="TZB68" s="2"/>
      <c r="TZC68" s="2"/>
      <c r="TZD68" s="2"/>
      <c r="TZE68" s="2"/>
      <c r="TZF68" s="2"/>
      <c r="TZG68" s="2"/>
      <c r="TZH68" s="2"/>
      <c r="TZI68" s="2"/>
      <c r="TZJ68" s="2"/>
      <c r="TZK68" s="2"/>
      <c r="TZL68" s="2"/>
      <c r="TZM68" s="2"/>
      <c r="TZN68" s="2"/>
      <c r="TZO68" s="2"/>
      <c r="TZP68" s="2"/>
      <c r="TZQ68" s="2"/>
      <c r="TZR68" s="2"/>
      <c r="TZS68" s="2"/>
      <c r="TZT68" s="2"/>
      <c r="TZU68" s="2"/>
      <c r="TZV68" s="2"/>
      <c r="TZW68" s="2"/>
      <c r="TZX68" s="2"/>
      <c r="TZY68" s="2"/>
      <c r="TZZ68" s="2"/>
      <c r="UAA68" s="2"/>
      <c r="UAB68" s="2"/>
      <c r="UAC68" s="2"/>
      <c r="UAD68" s="2"/>
      <c r="UAE68" s="2"/>
      <c r="UAF68" s="2"/>
      <c r="UAG68" s="2"/>
      <c r="UAH68" s="2"/>
      <c r="UAI68" s="2"/>
      <c r="UAJ68" s="2"/>
      <c r="UAK68" s="2"/>
      <c r="UAL68" s="2"/>
      <c r="UAM68" s="2"/>
      <c r="UAN68" s="2"/>
      <c r="UAO68" s="2"/>
      <c r="UAP68" s="2"/>
      <c r="UAQ68" s="2"/>
      <c r="UAR68" s="2"/>
      <c r="UAS68" s="2"/>
      <c r="UAT68" s="2"/>
      <c r="UAU68" s="2"/>
      <c r="UAV68" s="2"/>
      <c r="UAW68" s="2"/>
      <c r="UAX68" s="2"/>
      <c r="UAY68" s="2"/>
      <c r="UAZ68" s="2"/>
      <c r="UBA68" s="2"/>
      <c r="UBB68" s="2"/>
      <c r="UBC68" s="2"/>
      <c r="UBD68" s="2"/>
      <c r="UBE68" s="2"/>
      <c r="UBF68" s="2"/>
      <c r="UBG68" s="2"/>
      <c r="UBH68" s="2"/>
      <c r="UBI68" s="2"/>
      <c r="UBJ68" s="2"/>
      <c r="UBK68" s="2"/>
      <c r="UBL68" s="2"/>
      <c r="UBM68" s="2"/>
      <c r="UBN68" s="2"/>
      <c r="UBO68" s="2"/>
      <c r="UBP68" s="2"/>
      <c r="UBQ68" s="2"/>
      <c r="UBR68" s="2"/>
      <c r="UBS68" s="2"/>
      <c r="UBT68" s="2"/>
      <c r="UBU68" s="2"/>
      <c r="UBV68" s="2"/>
      <c r="UBW68" s="2"/>
      <c r="UBX68" s="2"/>
      <c r="UBY68" s="2"/>
      <c r="UBZ68" s="2"/>
      <c r="UCA68" s="2"/>
      <c r="UCB68" s="2"/>
      <c r="UCC68" s="2"/>
      <c r="UCD68" s="2"/>
      <c r="UCE68" s="2"/>
      <c r="UCF68" s="2"/>
      <c r="UCG68" s="2"/>
      <c r="UCH68" s="2"/>
      <c r="UCI68" s="2"/>
      <c r="UCJ68" s="2"/>
      <c r="UCK68" s="2"/>
      <c r="UCL68" s="2"/>
      <c r="UCM68" s="2"/>
      <c r="UCN68" s="2"/>
      <c r="UCO68" s="2"/>
      <c r="UCP68" s="2"/>
      <c r="UCQ68" s="2"/>
      <c r="UCR68" s="2"/>
      <c r="UCS68" s="2"/>
      <c r="UCT68" s="2"/>
      <c r="UCU68" s="2"/>
      <c r="UCV68" s="2"/>
      <c r="UCW68" s="2"/>
      <c r="UCX68" s="2"/>
      <c r="UCY68" s="2"/>
      <c r="UCZ68" s="2"/>
      <c r="UDA68" s="2"/>
      <c r="UDB68" s="2"/>
      <c r="UDC68" s="2"/>
      <c r="UDD68" s="2"/>
      <c r="UDE68" s="2"/>
      <c r="UDF68" s="2"/>
      <c r="UDG68" s="2"/>
      <c r="UDH68" s="2"/>
      <c r="UDI68" s="2"/>
      <c r="UDJ68" s="2"/>
      <c r="UDK68" s="2"/>
      <c r="UDL68" s="2"/>
      <c r="UDM68" s="2"/>
      <c r="UDN68" s="2"/>
      <c r="UDO68" s="2"/>
      <c r="UDP68" s="2"/>
      <c r="UDQ68" s="2"/>
      <c r="UDR68" s="2"/>
      <c r="UDS68" s="2"/>
      <c r="UDT68" s="2"/>
      <c r="UDU68" s="2"/>
      <c r="UDV68" s="2"/>
      <c r="UDW68" s="2"/>
      <c r="UDX68" s="2"/>
      <c r="UDY68" s="2"/>
      <c r="UDZ68" s="2"/>
      <c r="UEA68" s="2"/>
      <c r="UEB68" s="2"/>
      <c r="UEC68" s="2"/>
      <c r="UED68" s="2"/>
      <c r="UEE68" s="2"/>
      <c r="UEF68" s="2"/>
      <c r="UEG68" s="2"/>
      <c r="UEH68" s="2"/>
      <c r="UEI68" s="2"/>
      <c r="UEJ68" s="2"/>
      <c r="UEK68" s="2"/>
      <c r="UEL68" s="2"/>
      <c r="UEM68" s="2"/>
      <c r="UEN68" s="2"/>
      <c r="UEO68" s="2"/>
      <c r="UEP68" s="2"/>
      <c r="UEQ68" s="2"/>
      <c r="UER68" s="2"/>
      <c r="UES68" s="2"/>
      <c r="UET68" s="2"/>
      <c r="UEU68" s="2"/>
      <c r="UEV68" s="2"/>
      <c r="UEW68" s="2"/>
      <c r="UEX68" s="2"/>
      <c r="UEY68" s="2"/>
      <c r="UEZ68" s="2"/>
      <c r="UFA68" s="2"/>
      <c r="UFB68" s="2"/>
      <c r="UFC68" s="2"/>
      <c r="UFD68" s="2"/>
      <c r="UFE68" s="2"/>
      <c r="UFF68" s="2"/>
      <c r="UFG68" s="2"/>
      <c r="UFH68" s="2"/>
      <c r="UFI68" s="2"/>
      <c r="UFJ68" s="2"/>
      <c r="UFK68" s="2"/>
      <c r="UFL68" s="2"/>
      <c r="UFM68" s="2"/>
      <c r="UFN68" s="2"/>
      <c r="UFO68" s="2"/>
      <c r="UFP68" s="2"/>
      <c r="UFQ68" s="2"/>
      <c r="UFR68" s="2"/>
      <c r="UFS68" s="2"/>
      <c r="UFT68" s="2"/>
      <c r="UFU68" s="2"/>
      <c r="UFV68" s="2"/>
      <c r="UFW68" s="2"/>
      <c r="UFX68" s="2"/>
      <c r="UFY68" s="2"/>
      <c r="UFZ68" s="2"/>
      <c r="UGA68" s="2"/>
      <c r="UGB68" s="2"/>
      <c r="UGC68" s="2"/>
      <c r="UGD68" s="2"/>
      <c r="UGE68" s="2"/>
      <c r="UGF68" s="2"/>
      <c r="UGG68" s="2"/>
      <c r="UGH68" s="2"/>
      <c r="UGI68" s="2"/>
      <c r="UGJ68" s="2"/>
      <c r="UGK68" s="2"/>
      <c r="UGL68" s="2"/>
      <c r="UGM68" s="2"/>
      <c r="UGN68" s="2"/>
      <c r="UGO68" s="2"/>
      <c r="UGP68" s="2"/>
      <c r="UGQ68" s="2"/>
      <c r="UGR68" s="2"/>
      <c r="UGS68" s="2"/>
      <c r="UGT68" s="2"/>
      <c r="UGU68" s="2"/>
      <c r="UGV68" s="2"/>
      <c r="UGW68" s="2"/>
      <c r="UGX68" s="2"/>
      <c r="UGY68" s="2"/>
      <c r="UGZ68" s="2"/>
      <c r="UHA68" s="2"/>
      <c r="UHB68" s="2"/>
      <c r="UHC68" s="2"/>
      <c r="UHD68" s="2"/>
      <c r="UHE68" s="2"/>
      <c r="UHF68" s="2"/>
      <c r="UHG68" s="2"/>
      <c r="UHH68" s="2"/>
      <c r="UHI68" s="2"/>
      <c r="UHJ68" s="2"/>
      <c r="UHK68" s="2"/>
      <c r="UHL68" s="2"/>
      <c r="UHM68" s="2"/>
      <c r="UHN68" s="2"/>
      <c r="UHO68" s="2"/>
      <c r="UHP68" s="2"/>
      <c r="UHQ68" s="2"/>
      <c r="UHR68" s="2"/>
      <c r="UHS68" s="2"/>
      <c r="UHT68" s="2"/>
      <c r="UHU68" s="2"/>
      <c r="UHV68" s="2"/>
      <c r="UHW68" s="2"/>
      <c r="UHX68" s="2"/>
      <c r="UHY68" s="2"/>
      <c r="UHZ68" s="2"/>
      <c r="UIA68" s="2"/>
      <c r="UIB68" s="2"/>
      <c r="UIC68" s="2"/>
      <c r="UID68" s="2"/>
      <c r="UIE68" s="2"/>
      <c r="UIF68" s="2"/>
      <c r="UIG68" s="2"/>
      <c r="UIH68" s="2"/>
      <c r="UII68" s="2"/>
      <c r="UIJ68" s="2"/>
      <c r="UIK68" s="2"/>
      <c r="UIL68" s="2"/>
      <c r="UIM68" s="2"/>
      <c r="UIN68" s="2"/>
      <c r="UIO68" s="2"/>
      <c r="UIP68" s="2"/>
      <c r="UIQ68" s="2"/>
      <c r="UIR68" s="2"/>
      <c r="UIS68" s="2"/>
      <c r="UIT68" s="2"/>
      <c r="UIU68" s="2"/>
      <c r="UIV68" s="2"/>
      <c r="UIW68" s="2"/>
      <c r="UIX68" s="2"/>
      <c r="UIY68" s="2"/>
      <c r="UIZ68" s="2"/>
      <c r="UJA68" s="2"/>
      <c r="UJB68" s="2"/>
      <c r="UJC68" s="2"/>
      <c r="UJD68" s="2"/>
      <c r="UJE68" s="2"/>
      <c r="UJF68" s="2"/>
      <c r="UJG68" s="2"/>
      <c r="UJH68" s="2"/>
      <c r="UJI68" s="2"/>
      <c r="UJJ68" s="2"/>
      <c r="UJK68" s="2"/>
      <c r="UJL68" s="2"/>
      <c r="UJM68" s="2"/>
      <c r="UJN68" s="2"/>
      <c r="UJO68" s="2"/>
      <c r="UJP68" s="2"/>
      <c r="UJQ68" s="2"/>
      <c r="UJR68" s="2"/>
      <c r="UJS68" s="2"/>
      <c r="UJT68" s="2"/>
      <c r="UJU68" s="2"/>
      <c r="UJV68" s="2"/>
      <c r="UJW68" s="2"/>
      <c r="UJX68" s="2"/>
      <c r="UJY68" s="2"/>
      <c r="UJZ68" s="2"/>
      <c r="UKA68" s="2"/>
      <c r="UKB68" s="2"/>
      <c r="UKC68" s="2"/>
      <c r="UKD68" s="2"/>
      <c r="UKE68" s="2"/>
      <c r="UKF68" s="2"/>
      <c r="UKG68" s="2"/>
      <c r="UKH68" s="2"/>
      <c r="UKI68" s="2"/>
      <c r="UKJ68" s="2"/>
      <c r="UKK68" s="2"/>
      <c r="UKL68" s="2"/>
      <c r="UKM68" s="2"/>
      <c r="UKN68" s="2"/>
      <c r="UKO68" s="2"/>
      <c r="UKP68" s="2"/>
      <c r="UKQ68" s="2"/>
      <c r="UKR68" s="2"/>
      <c r="UKS68" s="2"/>
      <c r="UKT68" s="2"/>
      <c r="UKU68" s="2"/>
      <c r="UKV68" s="2"/>
      <c r="UKW68" s="2"/>
      <c r="UKX68" s="2"/>
      <c r="UKY68" s="2"/>
      <c r="UKZ68" s="2"/>
      <c r="ULA68" s="2"/>
      <c r="ULB68" s="2"/>
      <c r="ULC68" s="2"/>
      <c r="ULD68" s="2"/>
      <c r="ULE68" s="2"/>
      <c r="ULF68" s="2"/>
      <c r="ULG68" s="2"/>
      <c r="ULH68" s="2"/>
      <c r="ULI68" s="2"/>
      <c r="ULJ68" s="2"/>
      <c r="ULK68" s="2"/>
      <c r="ULL68" s="2"/>
      <c r="ULM68" s="2"/>
      <c r="ULN68" s="2"/>
      <c r="ULO68" s="2"/>
      <c r="ULP68" s="2"/>
      <c r="ULQ68" s="2"/>
      <c r="ULR68" s="2"/>
      <c r="ULS68" s="2"/>
      <c r="ULT68" s="2"/>
      <c r="ULU68" s="2"/>
      <c r="ULV68" s="2"/>
      <c r="ULW68" s="2"/>
      <c r="ULX68" s="2"/>
      <c r="ULY68" s="2"/>
      <c r="ULZ68" s="2"/>
      <c r="UMA68" s="2"/>
      <c r="UMB68" s="2"/>
      <c r="UMC68" s="2"/>
      <c r="UMD68" s="2"/>
      <c r="UME68" s="2"/>
      <c r="UMF68" s="2"/>
      <c r="UMG68" s="2"/>
      <c r="UMH68" s="2"/>
      <c r="UMI68" s="2"/>
      <c r="UMJ68" s="2"/>
      <c r="UMK68" s="2"/>
      <c r="UML68" s="2"/>
      <c r="UMM68" s="2"/>
      <c r="UMN68" s="2"/>
      <c r="UMO68" s="2"/>
      <c r="UMP68" s="2"/>
      <c r="UMQ68" s="2"/>
      <c r="UMR68" s="2"/>
      <c r="UMS68" s="2"/>
      <c r="UMT68" s="2"/>
      <c r="UMU68" s="2"/>
      <c r="UMV68" s="2"/>
      <c r="UMW68" s="2"/>
      <c r="UMX68" s="2"/>
      <c r="UMY68" s="2"/>
      <c r="UMZ68" s="2"/>
      <c r="UNA68" s="2"/>
      <c r="UNB68" s="2"/>
      <c r="UNC68" s="2"/>
      <c r="UND68" s="2"/>
      <c r="UNE68" s="2"/>
      <c r="UNF68" s="2"/>
      <c r="UNG68" s="2"/>
      <c r="UNH68" s="2"/>
      <c r="UNI68" s="2"/>
      <c r="UNJ68" s="2"/>
      <c r="UNK68" s="2"/>
      <c r="UNL68" s="2"/>
      <c r="UNM68" s="2"/>
      <c r="UNN68" s="2"/>
      <c r="UNO68" s="2"/>
      <c r="UNP68" s="2"/>
      <c r="UNQ68" s="2"/>
      <c r="UNR68" s="2"/>
      <c r="UNS68" s="2"/>
      <c r="UNT68" s="2"/>
      <c r="UNU68" s="2"/>
      <c r="UNV68" s="2"/>
      <c r="UNW68" s="2"/>
      <c r="UNX68" s="2"/>
      <c r="UNY68" s="2"/>
      <c r="UNZ68" s="2"/>
      <c r="UOA68" s="2"/>
      <c r="UOB68" s="2"/>
      <c r="UOC68" s="2"/>
      <c r="UOD68" s="2"/>
      <c r="UOE68" s="2"/>
      <c r="UOF68" s="2"/>
      <c r="UOG68" s="2"/>
      <c r="UOH68" s="2"/>
      <c r="UOI68" s="2"/>
      <c r="UOJ68" s="2"/>
      <c r="UOK68" s="2"/>
      <c r="UOL68" s="2"/>
      <c r="UOM68" s="2"/>
      <c r="UON68" s="2"/>
      <c r="UOO68" s="2"/>
      <c r="UOP68" s="2"/>
      <c r="UOQ68" s="2"/>
      <c r="UOR68" s="2"/>
      <c r="UOS68" s="2"/>
      <c r="UOT68" s="2"/>
      <c r="UOU68" s="2"/>
      <c r="UOV68" s="2"/>
      <c r="UOW68" s="2"/>
      <c r="UOX68" s="2"/>
      <c r="UOY68" s="2"/>
      <c r="UOZ68" s="2"/>
      <c r="UPA68" s="2"/>
      <c r="UPB68" s="2"/>
      <c r="UPC68" s="2"/>
      <c r="UPD68" s="2"/>
      <c r="UPE68" s="2"/>
      <c r="UPF68" s="2"/>
      <c r="UPG68" s="2"/>
      <c r="UPH68" s="2"/>
      <c r="UPI68" s="2"/>
      <c r="UPJ68" s="2"/>
      <c r="UPK68" s="2"/>
      <c r="UPL68" s="2"/>
      <c r="UPM68" s="2"/>
      <c r="UPN68" s="2"/>
      <c r="UPO68" s="2"/>
      <c r="UPP68" s="2"/>
      <c r="UPQ68" s="2"/>
      <c r="UPR68" s="2"/>
      <c r="UPS68" s="2"/>
      <c r="UPT68" s="2"/>
      <c r="UPU68" s="2"/>
      <c r="UPV68" s="2"/>
      <c r="UPW68" s="2"/>
      <c r="UPX68" s="2"/>
      <c r="UPY68" s="2"/>
      <c r="UPZ68" s="2"/>
      <c r="UQA68" s="2"/>
      <c r="UQB68" s="2"/>
      <c r="UQC68" s="2"/>
      <c r="UQD68" s="2"/>
      <c r="UQE68" s="2"/>
      <c r="UQF68" s="2"/>
      <c r="UQG68" s="2"/>
      <c r="UQH68" s="2"/>
      <c r="UQI68" s="2"/>
      <c r="UQJ68" s="2"/>
      <c r="UQK68" s="2"/>
      <c r="UQL68" s="2"/>
      <c r="UQM68" s="2"/>
      <c r="UQN68" s="2"/>
      <c r="UQO68" s="2"/>
      <c r="UQP68" s="2"/>
      <c r="UQQ68" s="2"/>
      <c r="UQR68" s="2"/>
      <c r="UQS68" s="2"/>
      <c r="UQT68" s="2"/>
      <c r="UQU68" s="2"/>
      <c r="UQV68" s="2"/>
      <c r="UQW68" s="2"/>
      <c r="UQX68" s="2"/>
      <c r="UQY68" s="2"/>
      <c r="UQZ68" s="2"/>
      <c r="URA68" s="2"/>
      <c r="URB68" s="2"/>
      <c r="URC68" s="2"/>
      <c r="URD68" s="2"/>
      <c r="URE68" s="2"/>
      <c r="URF68" s="2"/>
      <c r="URG68" s="2"/>
      <c r="URH68" s="2"/>
      <c r="URI68" s="2"/>
      <c r="URJ68" s="2"/>
      <c r="URK68" s="2"/>
      <c r="URL68" s="2"/>
      <c r="URM68" s="2"/>
      <c r="URN68" s="2"/>
      <c r="URO68" s="2"/>
      <c r="URP68" s="2"/>
      <c r="URQ68" s="2"/>
      <c r="URR68" s="2"/>
      <c r="URS68" s="2"/>
      <c r="URT68" s="2"/>
      <c r="URU68" s="2"/>
      <c r="URV68" s="2"/>
      <c r="URW68" s="2"/>
      <c r="URX68" s="2"/>
      <c r="URY68" s="2"/>
      <c r="URZ68" s="2"/>
      <c r="USA68" s="2"/>
      <c r="USB68" s="2"/>
      <c r="USC68" s="2"/>
      <c r="USD68" s="2"/>
      <c r="USE68" s="2"/>
      <c r="USF68" s="2"/>
      <c r="USG68" s="2"/>
      <c r="USH68" s="2"/>
      <c r="USI68" s="2"/>
      <c r="USJ68" s="2"/>
      <c r="USK68" s="2"/>
      <c r="USL68" s="2"/>
      <c r="USM68" s="2"/>
      <c r="USN68" s="2"/>
      <c r="USO68" s="2"/>
      <c r="USP68" s="2"/>
      <c r="USQ68" s="2"/>
      <c r="USR68" s="2"/>
      <c r="USS68" s="2"/>
      <c r="UST68" s="2"/>
      <c r="USU68" s="2"/>
      <c r="USV68" s="2"/>
      <c r="USW68" s="2"/>
      <c r="USX68" s="2"/>
      <c r="USY68" s="2"/>
      <c r="USZ68" s="2"/>
      <c r="UTA68" s="2"/>
      <c r="UTB68" s="2"/>
      <c r="UTC68" s="2"/>
      <c r="UTD68" s="2"/>
      <c r="UTE68" s="2"/>
      <c r="UTF68" s="2"/>
      <c r="UTG68" s="2"/>
      <c r="UTH68" s="2"/>
      <c r="UTI68" s="2"/>
      <c r="UTJ68" s="2"/>
      <c r="UTK68" s="2"/>
      <c r="UTL68" s="2"/>
      <c r="UTM68" s="2"/>
      <c r="UTN68" s="2"/>
      <c r="UTO68" s="2"/>
      <c r="UTP68" s="2"/>
      <c r="UTQ68" s="2"/>
      <c r="UTR68" s="2"/>
      <c r="UTS68" s="2"/>
      <c r="UTT68" s="2"/>
      <c r="UTU68" s="2"/>
      <c r="UTV68" s="2"/>
      <c r="UTW68" s="2"/>
      <c r="UTX68" s="2"/>
      <c r="UTY68" s="2"/>
      <c r="UTZ68" s="2"/>
      <c r="UUA68" s="2"/>
      <c r="UUB68" s="2"/>
      <c r="UUC68" s="2"/>
      <c r="UUD68" s="2"/>
      <c r="UUE68" s="2"/>
      <c r="UUF68" s="2"/>
      <c r="UUG68" s="2"/>
      <c r="UUH68" s="2"/>
      <c r="UUI68" s="2"/>
      <c r="UUJ68" s="2"/>
      <c r="UUK68" s="2"/>
      <c r="UUL68" s="2"/>
      <c r="UUM68" s="2"/>
      <c r="UUN68" s="2"/>
      <c r="UUO68" s="2"/>
      <c r="UUP68" s="2"/>
      <c r="UUQ68" s="2"/>
      <c r="UUR68" s="2"/>
      <c r="UUS68" s="2"/>
      <c r="UUT68" s="2"/>
      <c r="UUU68" s="2"/>
      <c r="UUV68" s="2"/>
      <c r="UUW68" s="2"/>
      <c r="UUX68" s="2"/>
      <c r="UUY68" s="2"/>
      <c r="UUZ68" s="2"/>
      <c r="UVA68" s="2"/>
      <c r="UVB68" s="2"/>
      <c r="UVC68" s="2"/>
      <c r="UVD68" s="2"/>
      <c r="UVE68" s="2"/>
      <c r="UVF68" s="2"/>
      <c r="UVG68" s="2"/>
      <c r="UVH68" s="2"/>
      <c r="UVI68" s="2"/>
      <c r="UVJ68" s="2"/>
      <c r="UVK68" s="2"/>
      <c r="UVL68" s="2"/>
      <c r="UVM68" s="2"/>
      <c r="UVN68" s="2"/>
      <c r="UVO68" s="2"/>
      <c r="UVP68" s="2"/>
      <c r="UVQ68" s="2"/>
      <c r="UVR68" s="2"/>
      <c r="UVS68" s="2"/>
      <c r="UVT68" s="2"/>
      <c r="UVU68" s="2"/>
      <c r="UVV68" s="2"/>
      <c r="UVW68" s="2"/>
      <c r="UVX68" s="2"/>
      <c r="UVY68" s="2"/>
      <c r="UVZ68" s="2"/>
      <c r="UWA68" s="2"/>
      <c r="UWB68" s="2"/>
      <c r="UWC68" s="2"/>
      <c r="UWD68" s="2"/>
      <c r="UWE68" s="2"/>
      <c r="UWF68" s="2"/>
      <c r="UWG68" s="2"/>
      <c r="UWH68" s="2"/>
      <c r="UWI68" s="2"/>
      <c r="UWJ68" s="2"/>
      <c r="UWK68" s="2"/>
      <c r="UWL68" s="2"/>
      <c r="UWM68" s="2"/>
      <c r="UWN68" s="2"/>
      <c r="UWO68" s="2"/>
      <c r="UWP68" s="2"/>
      <c r="UWQ68" s="2"/>
      <c r="UWR68" s="2"/>
      <c r="UWS68" s="2"/>
      <c r="UWT68" s="2"/>
      <c r="UWU68" s="2"/>
      <c r="UWV68" s="2"/>
      <c r="UWW68" s="2"/>
      <c r="UWX68" s="2"/>
      <c r="UWY68" s="2"/>
      <c r="UWZ68" s="2"/>
      <c r="UXA68" s="2"/>
      <c r="UXB68" s="2"/>
      <c r="UXC68" s="2"/>
      <c r="UXD68" s="2"/>
      <c r="UXE68" s="2"/>
      <c r="UXF68" s="2"/>
      <c r="UXG68" s="2"/>
      <c r="UXH68" s="2"/>
      <c r="UXI68" s="2"/>
      <c r="UXJ68" s="2"/>
      <c r="UXK68" s="2"/>
      <c r="UXL68" s="2"/>
      <c r="UXM68" s="2"/>
      <c r="UXN68" s="2"/>
      <c r="UXO68" s="2"/>
      <c r="UXP68" s="2"/>
      <c r="UXQ68" s="2"/>
      <c r="UXR68" s="2"/>
      <c r="UXS68" s="2"/>
      <c r="UXT68" s="2"/>
      <c r="UXU68" s="2"/>
      <c r="UXV68" s="2"/>
      <c r="UXW68" s="2"/>
      <c r="UXX68" s="2"/>
      <c r="UXY68" s="2"/>
      <c r="UXZ68" s="2"/>
      <c r="UYA68" s="2"/>
      <c r="UYB68" s="2"/>
      <c r="UYC68" s="2"/>
      <c r="UYD68" s="2"/>
      <c r="UYE68" s="2"/>
      <c r="UYF68" s="2"/>
      <c r="UYG68" s="2"/>
      <c r="UYH68" s="2"/>
      <c r="UYI68" s="2"/>
      <c r="UYJ68" s="2"/>
      <c r="UYK68" s="2"/>
      <c r="UYL68" s="2"/>
      <c r="UYM68" s="2"/>
      <c r="UYN68" s="2"/>
      <c r="UYO68" s="2"/>
      <c r="UYP68" s="2"/>
      <c r="UYQ68" s="2"/>
      <c r="UYR68" s="2"/>
      <c r="UYS68" s="2"/>
      <c r="UYT68" s="2"/>
      <c r="UYU68" s="2"/>
      <c r="UYV68" s="2"/>
      <c r="UYW68" s="2"/>
      <c r="UYX68" s="2"/>
      <c r="UYY68" s="2"/>
      <c r="UYZ68" s="2"/>
      <c r="UZA68" s="2"/>
      <c r="UZB68" s="2"/>
      <c r="UZC68" s="2"/>
      <c r="UZD68" s="2"/>
      <c r="UZE68" s="2"/>
      <c r="UZF68" s="2"/>
      <c r="UZG68" s="2"/>
      <c r="UZH68" s="2"/>
      <c r="UZI68" s="2"/>
      <c r="UZJ68" s="2"/>
      <c r="UZK68" s="2"/>
      <c r="UZL68" s="2"/>
      <c r="UZM68" s="2"/>
      <c r="UZN68" s="2"/>
      <c r="UZO68" s="2"/>
      <c r="UZP68" s="2"/>
      <c r="UZQ68" s="2"/>
      <c r="UZR68" s="2"/>
      <c r="UZS68" s="2"/>
      <c r="UZT68" s="2"/>
      <c r="UZU68" s="2"/>
      <c r="UZV68" s="2"/>
      <c r="UZW68" s="2"/>
      <c r="UZX68" s="2"/>
      <c r="UZY68" s="2"/>
      <c r="UZZ68" s="2"/>
      <c r="VAA68" s="2"/>
      <c r="VAB68" s="2"/>
      <c r="VAC68" s="2"/>
      <c r="VAD68" s="2"/>
      <c r="VAE68" s="2"/>
      <c r="VAF68" s="2"/>
      <c r="VAG68" s="2"/>
      <c r="VAH68" s="2"/>
      <c r="VAI68" s="2"/>
      <c r="VAJ68" s="2"/>
      <c r="VAK68" s="2"/>
      <c r="VAL68" s="2"/>
      <c r="VAM68" s="2"/>
      <c r="VAN68" s="2"/>
      <c r="VAO68" s="2"/>
      <c r="VAP68" s="2"/>
      <c r="VAQ68" s="2"/>
      <c r="VAR68" s="2"/>
      <c r="VAS68" s="2"/>
      <c r="VAT68" s="2"/>
      <c r="VAU68" s="2"/>
      <c r="VAV68" s="2"/>
      <c r="VAW68" s="2"/>
      <c r="VAX68" s="2"/>
      <c r="VAY68" s="2"/>
      <c r="VAZ68" s="2"/>
      <c r="VBA68" s="2"/>
      <c r="VBB68" s="2"/>
      <c r="VBC68" s="2"/>
      <c r="VBD68" s="2"/>
      <c r="VBE68" s="2"/>
      <c r="VBF68" s="2"/>
      <c r="VBG68" s="2"/>
      <c r="VBH68" s="2"/>
      <c r="VBI68" s="2"/>
      <c r="VBJ68" s="2"/>
      <c r="VBK68" s="2"/>
      <c r="VBL68" s="2"/>
      <c r="VBM68" s="2"/>
      <c r="VBN68" s="2"/>
      <c r="VBO68" s="2"/>
      <c r="VBP68" s="2"/>
      <c r="VBQ68" s="2"/>
      <c r="VBR68" s="2"/>
      <c r="VBS68" s="2"/>
      <c r="VBT68" s="2"/>
      <c r="VBU68" s="2"/>
      <c r="VBV68" s="2"/>
      <c r="VBW68" s="2"/>
      <c r="VBX68" s="2"/>
      <c r="VBY68" s="2"/>
      <c r="VBZ68" s="2"/>
      <c r="VCA68" s="2"/>
      <c r="VCB68" s="2"/>
      <c r="VCC68" s="2"/>
      <c r="VCD68" s="2"/>
      <c r="VCE68" s="2"/>
      <c r="VCF68" s="2"/>
      <c r="VCG68" s="2"/>
      <c r="VCH68" s="2"/>
      <c r="VCI68" s="2"/>
      <c r="VCJ68" s="2"/>
      <c r="VCK68" s="2"/>
      <c r="VCL68" s="2"/>
      <c r="VCM68" s="2"/>
      <c r="VCN68" s="2"/>
      <c r="VCO68" s="2"/>
      <c r="VCP68" s="2"/>
      <c r="VCQ68" s="2"/>
      <c r="VCR68" s="2"/>
      <c r="VCS68" s="2"/>
      <c r="VCT68" s="2"/>
      <c r="VCU68" s="2"/>
      <c r="VCV68" s="2"/>
      <c r="VCW68" s="2"/>
      <c r="VCX68" s="2"/>
      <c r="VCY68" s="2"/>
      <c r="VCZ68" s="2"/>
      <c r="VDA68" s="2"/>
      <c r="VDB68" s="2"/>
      <c r="VDC68" s="2"/>
      <c r="VDD68" s="2"/>
      <c r="VDE68" s="2"/>
      <c r="VDF68" s="2"/>
      <c r="VDG68" s="2"/>
      <c r="VDH68" s="2"/>
      <c r="VDI68" s="2"/>
      <c r="VDJ68" s="2"/>
      <c r="VDK68" s="2"/>
      <c r="VDL68" s="2"/>
      <c r="VDM68" s="2"/>
      <c r="VDN68" s="2"/>
      <c r="VDO68" s="2"/>
      <c r="VDP68" s="2"/>
      <c r="VDQ68" s="2"/>
      <c r="VDR68" s="2"/>
      <c r="VDS68" s="2"/>
      <c r="VDT68" s="2"/>
      <c r="VDU68" s="2"/>
      <c r="VDV68" s="2"/>
      <c r="VDW68" s="2"/>
      <c r="VDX68" s="2"/>
      <c r="VDY68" s="2"/>
      <c r="VDZ68" s="2"/>
      <c r="VEA68" s="2"/>
      <c r="VEB68" s="2"/>
      <c r="VEC68" s="2"/>
      <c r="VED68" s="2"/>
      <c r="VEE68" s="2"/>
      <c r="VEF68" s="2"/>
      <c r="VEG68" s="2"/>
      <c r="VEH68" s="2"/>
      <c r="VEI68" s="2"/>
      <c r="VEJ68" s="2"/>
      <c r="VEK68" s="2"/>
      <c r="VEL68" s="2"/>
      <c r="VEM68" s="2"/>
      <c r="VEN68" s="2"/>
      <c r="VEO68" s="2"/>
      <c r="VEP68" s="2"/>
      <c r="VEQ68" s="2"/>
      <c r="VER68" s="2"/>
      <c r="VES68" s="2"/>
      <c r="VET68" s="2"/>
      <c r="VEU68" s="2"/>
      <c r="VEV68" s="2"/>
      <c r="VEW68" s="2"/>
      <c r="VEX68" s="2"/>
      <c r="VEY68" s="2"/>
      <c r="VEZ68" s="2"/>
      <c r="VFA68" s="2"/>
      <c r="VFB68" s="2"/>
      <c r="VFC68" s="2"/>
      <c r="VFD68" s="2"/>
      <c r="VFE68" s="2"/>
      <c r="VFF68" s="2"/>
      <c r="VFG68" s="2"/>
      <c r="VFH68" s="2"/>
      <c r="VFI68" s="2"/>
      <c r="VFJ68" s="2"/>
      <c r="VFK68" s="2"/>
      <c r="VFL68" s="2"/>
      <c r="VFM68" s="2"/>
      <c r="VFN68" s="2"/>
      <c r="VFO68" s="2"/>
      <c r="VFP68" s="2"/>
      <c r="VFQ68" s="2"/>
      <c r="VFR68" s="2"/>
      <c r="VFS68" s="2"/>
      <c r="VFT68" s="2"/>
      <c r="VFU68" s="2"/>
      <c r="VFV68" s="2"/>
      <c r="VFW68" s="2"/>
      <c r="VFX68" s="2"/>
      <c r="VFY68" s="2"/>
      <c r="VFZ68" s="2"/>
      <c r="VGA68" s="2"/>
      <c r="VGB68" s="2"/>
      <c r="VGC68" s="2"/>
      <c r="VGD68" s="2"/>
      <c r="VGE68" s="2"/>
      <c r="VGF68" s="2"/>
      <c r="VGG68" s="2"/>
      <c r="VGH68" s="2"/>
      <c r="VGI68" s="2"/>
      <c r="VGJ68" s="2"/>
      <c r="VGK68" s="2"/>
      <c r="VGL68" s="2"/>
      <c r="VGM68" s="2"/>
      <c r="VGN68" s="2"/>
      <c r="VGO68" s="2"/>
      <c r="VGP68" s="2"/>
      <c r="VGQ68" s="2"/>
      <c r="VGR68" s="2"/>
      <c r="VGS68" s="2"/>
      <c r="VGT68" s="2"/>
      <c r="VGU68" s="2"/>
      <c r="VGV68" s="2"/>
      <c r="VGW68" s="2"/>
      <c r="VGX68" s="2"/>
      <c r="VGY68" s="2"/>
      <c r="VGZ68" s="2"/>
      <c r="VHA68" s="2"/>
      <c r="VHB68" s="2"/>
      <c r="VHC68" s="2"/>
      <c r="VHD68" s="2"/>
      <c r="VHE68" s="2"/>
      <c r="VHF68" s="2"/>
      <c r="VHG68" s="2"/>
      <c r="VHH68" s="2"/>
      <c r="VHI68" s="2"/>
      <c r="VHJ68" s="2"/>
      <c r="VHK68" s="2"/>
      <c r="VHL68" s="2"/>
      <c r="VHM68" s="2"/>
      <c r="VHN68" s="2"/>
      <c r="VHO68" s="2"/>
      <c r="VHP68" s="2"/>
      <c r="VHQ68" s="2"/>
      <c r="VHR68" s="2"/>
      <c r="VHS68" s="2"/>
      <c r="VHT68" s="2"/>
      <c r="VHU68" s="2"/>
      <c r="VHV68" s="2"/>
      <c r="VHW68" s="2"/>
      <c r="VHX68" s="2"/>
      <c r="VHY68" s="2"/>
      <c r="VHZ68" s="2"/>
      <c r="VIA68" s="2"/>
      <c r="VIB68" s="2"/>
      <c r="VIC68" s="2"/>
      <c r="VID68" s="2"/>
      <c r="VIE68" s="2"/>
      <c r="VIF68" s="2"/>
      <c r="VIG68" s="2"/>
      <c r="VIH68" s="2"/>
      <c r="VII68" s="2"/>
      <c r="VIJ68" s="2"/>
      <c r="VIK68" s="2"/>
      <c r="VIL68" s="2"/>
      <c r="VIM68" s="2"/>
      <c r="VIN68" s="2"/>
      <c r="VIO68" s="2"/>
      <c r="VIP68" s="2"/>
      <c r="VIQ68" s="2"/>
      <c r="VIR68" s="2"/>
      <c r="VIS68" s="2"/>
      <c r="VIT68" s="2"/>
      <c r="VIU68" s="2"/>
      <c r="VIV68" s="2"/>
      <c r="VIW68" s="2"/>
      <c r="VIX68" s="2"/>
      <c r="VIY68" s="2"/>
      <c r="VIZ68" s="2"/>
      <c r="VJA68" s="2"/>
      <c r="VJB68" s="2"/>
      <c r="VJC68" s="2"/>
      <c r="VJD68" s="2"/>
      <c r="VJE68" s="2"/>
      <c r="VJF68" s="2"/>
      <c r="VJG68" s="2"/>
      <c r="VJH68" s="2"/>
      <c r="VJI68" s="2"/>
      <c r="VJJ68" s="2"/>
      <c r="VJK68" s="2"/>
      <c r="VJL68" s="2"/>
      <c r="VJM68" s="2"/>
      <c r="VJN68" s="2"/>
      <c r="VJO68" s="2"/>
      <c r="VJP68" s="2"/>
      <c r="VJQ68" s="2"/>
      <c r="VJR68" s="2"/>
      <c r="VJS68" s="2"/>
      <c r="VJT68" s="2"/>
      <c r="VJU68" s="2"/>
      <c r="VJV68" s="2"/>
      <c r="VJW68" s="2"/>
      <c r="VJX68" s="2"/>
      <c r="VJY68" s="2"/>
      <c r="VJZ68" s="2"/>
      <c r="VKA68" s="2"/>
      <c r="VKB68" s="2"/>
      <c r="VKC68" s="2"/>
      <c r="VKD68" s="2"/>
      <c r="VKE68" s="2"/>
      <c r="VKF68" s="2"/>
      <c r="VKG68" s="2"/>
      <c r="VKH68" s="2"/>
      <c r="VKI68" s="2"/>
      <c r="VKJ68" s="2"/>
      <c r="VKK68" s="2"/>
      <c r="VKL68" s="2"/>
      <c r="VKM68" s="2"/>
      <c r="VKN68" s="2"/>
      <c r="VKO68" s="2"/>
      <c r="VKP68" s="2"/>
      <c r="VKQ68" s="2"/>
      <c r="VKR68" s="2"/>
      <c r="VKS68" s="2"/>
      <c r="VKT68" s="2"/>
      <c r="VKU68" s="2"/>
      <c r="VKV68" s="2"/>
      <c r="VKW68" s="2"/>
      <c r="VKX68" s="2"/>
      <c r="VKY68" s="2"/>
      <c r="VKZ68" s="2"/>
      <c r="VLA68" s="2"/>
      <c r="VLB68" s="2"/>
      <c r="VLC68" s="2"/>
      <c r="VLD68" s="2"/>
      <c r="VLE68" s="2"/>
      <c r="VLF68" s="2"/>
      <c r="VLG68" s="2"/>
      <c r="VLH68" s="2"/>
      <c r="VLI68" s="2"/>
      <c r="VLJ68" s="2"/>
      <c r="VLK68" s="2"/>
      <c r="VLL68" s="2"/>
      <c r="VLM68" s="2"/>
      <c r="VLN68" s="2"/>
      <c r="VLO68" s="2"/>
      <c r="VLP68" s="2"/>
      <c r="VLQ68" s="2"/>
      <c r="VLR68" s="2"/>
      <c r="VLS68" s="2"/>
      <c r="VLT68" s="2"/>
      <c r="VLU68" s="2"/>
      <c r="VLV68" s="2"/>
      <c r="VLW68" s="2"/>
      <c r="VLX68" s="2"/>
      <c r="VLY68" s="2"/>
      <c r="VLZ68" s="2"/>
      <c r="VMA68" s="2"/>
      <c r="VMB68" s="2"/>
      <c r="VMC68" s="2"/>
      <c r="VMD68" s="2"/>
      <c r="VME68" s="2"/>
      <c r="VMF68" s="2"/>
      <c r="VMG68" s="2"/>
      <c r="VMH68" s="2"/>
      <c r="VMI68" s="2"/>
      <c r="VMJ68" s="2"/>
      <c r="VMK68" s="2"/>
      <c r="VML68" s="2"/>
      <c r="VMM68" s="2"/>
      <c r="VMN68" s="2"/>
      <c r="VMO68" s="2"/>
      <c r="VMP68" s="2"/>
      <c r="VMQ68" s="2"/>
      <c r="VMR68" s="2"/>
      <c r="VMS68" s="2"/>
      <c r="VMT68" s="2"/>
      <c r="VMU68" s="2"/>
      <c r="VMV68" s="2"/>
      <c r="VMW68" s="2"/>
      <c r="VMX68" s="2"/>
      <c r="VMY68" s="2"/>
      <c r="VMZ68" s="2"/>
      <c r="VNA68" s="2"/>
      <c r="VNB68" s="2"/>
      <c r="VNC68" s="2"/>
      <c r="VND68" s="2"/>
      <c r="VNE68" s="2"/>
      <c r="VNF68" s="2"/>
      <c r="VNG68" s="2"/>
      <c r="VNH68" s="2"/>
      <c r="VNI68" s="2"/>
      <c r="VNJ68" s="2"/>
      <c r="VNK68" s="2"/>
      <c r="VNL68" s="2"/>
      <c r="VNM68" s="2"/>
      <c r="VNN68" s="2"/>
      <c r="VNO68" s="2"/>
      <c r="VNP68" s="2"/>
      <c r="VNQ68" s="2"/>
      <c r="VNR68" s="2"/>
      <c r="VNS68" s="2"/>
      <c r="VNT68" s="2"/>
      <c r="VNU68" s="2"/>
      <c r="VNV68" s="2"/>
      <c r="VNW68" s="2"/>
      <c r="VNX68" s="2"/>
      <c r="VNY68" s="2"/>
      <c r="VNZ68" s="2"/>
      <c r="VOA68" s="2"/>
      <c r="VOB68" s="2"/>
      <c r="VOC68" s="2"/>
      <c r="VOD68" s="2"/>
      <c r="VOE68" s="2"/>
      <c r="VOF68" s="2"/>
      <c r="VOG68" s="2"/>
      <c r="VOH68" s="2"/>
      <c r="VOI68" s="2"/>
      <c r="VOJ68" s="2"/>
      <c r="VOK68" s="2"/>
      <c r="VOL68" s="2"/>
      <c r="VOM68" s="2"/>
      <c r="VON68" s="2"/>
      <c r="VOO68" s="2"/>
      <c r="VOP68" s="2"/>
      <c r="VOQ68" s="2"/>
      <c r="VOR68" s="2"/>
      <c r="VOS68" s="2"/>
      <c r="VOT68" s="2"/>
      <c r="VOU68" s="2"/>
      <c r="VOV68" s="2"/>
      <c r="VOW68" s="2"/>
      <c r="VOX68" s="2"/>
      <c r="VOY68" s="2"/>
      <c r="VOZ68" s="2"/>
      <c r="VPA68" s="2"/>
      <c r="VPB68" s="2"/>
      <c r="VPC68" s="2"/>
      <c r="VPD68" s="2"/>
      <c r="VPE68" s="2"/>
      <c r="VPF68" s="2"/>
      <c r="VPG68" s="2"/>
      <c r="VPH68" s="2"/>
      <c r="VPI68" s="2"/>
      <c r="VPJ68" s="2"/>
      <c r="VPK68" s="2"/>
      <c r="VPL68" s="2"/>
      <c r="VPM68" s="2"/>
      <c r="VPN68" s="2"/>
      <c r="VPO68" s="2"/>
      <c r="VPP68" s="2"/>
      <c r="VPQ68" s="2"/>
      <c r="VPR68" s="2"/>
      <c r="VPS68" s="2"/>
      <c r="VPT68" s="2"/>
      <c r="VPU68" s="2"/>
      <c r="VPV68" s="2"/>
      <c r="VPW68" s="2"/>
      <c r="VPX68" s="2"/>
      <c r="VPY68" s="2"/>
      <c r="VPZ68" s="2"/>
      <c r="VQA68" s="2"/>
      <c r="VQB68" s="2"/>
      <c r="VQC68" s="2"/>
      <c r="VQD68" s="2"/>
      <c r="VQE68" s="2"/>
      <c r="VQF68" s="2"/>
      <c r="VQG68" s="2"/>
      <c r="VQH68" s="2"/>
      <c r="VQI68" s="2"/>
      <c r="VQJ68" s="2"/>
      <c r="VQK68" s="2"/>
      <c r="VQL68" s="2"/>
      <c r="VQM68" s="2"/>
      <c r="VQN68" s="2"/>
      <c r="VQO68" s="2"/>
      <c r="VQP68" s="2"/>
      <c r="VQQ68" s="2"/>
      <c r="VQR68" s="2"/>
      <c r="VQS68" s="2"/>
      <c r="VQT68" s="2"/>
      <c r="VQU68" s="2"/>
      <c r="VQV68" s="2"/>
      <c r="VQW68" s="2"/>
      <c r="VQX68" s="2"/>
      <c r="VQY68" s="2"/>
      <c r="VQZ68" s="2"/>
      <c r="VRA68" s="2"/>
      <c r="VRB68" s="2"/>
      <c r="VRC68" s="2"/>
      <c r="VRD68" s="2"/>
      <c r="VRE68" s="2"/>
      <c r="VRF68" s="2"/>
      <c r="VRG68" s="2"/>
      <c r="VRH68" s="2"/>
      <c r="VRI68" s="2"/>
      <c r="VRJ68" s="2"/>
      <c r="VRK68" s="2"/>
      <c r="VRL68" s="2"/>
      <c r="VRM68" s="2"/>
      <c r="VRN68" s="2"/>
      <c r="VRO68" s="2"/>
      <c r="VRP68" s="2"/>
      <c r="VRQ68" s="2"/>
      <c r="VRR68" s="2"/>
      <c r="VRS68" s="2"/>
      <c r="VRT68" s="2"/>
      <c r="VRU68" s="2"/>
      <c r="VRV68" s="2"/>
      <c r="VRW68" s="2"/>
      <c r="VRX68" s="2"/>
      <c r="VRY68" s="2"/>
      <c r="VRZ68" s="2"/>
      <c r="VSA68" s="2"/>
      <c r="VSB68" s="2"/>
      <c r="VSC68" s="2"/>
      <c r="VSD68" s="2"/>
      <c r="VSE68" s="2"/>
      <c r="VSF68" s="2"/>
      <c r="VSG68" s="2"/>
      <c r="VSH68" s="2"/>
      <c r="VSI68" s="2"/>
      <c r="VSJ68" s="2"/>
      <c r="VSK68" s="2"/>
      <c r="VSL68" s="2"/>
      <c r="VSM68" s="2"/>
      <c r="VSN68" s="2"/>
      <c r="VSO68" s="2"/>
      <c r="VSP68" s="2"/>
      <c r="VSQ68" s="2"/>
      <c r="VSR68" s="2"/>
      <c r="VSS68" s="2"/>
      <c r="VST68" s="2"/>
      <c r="VSU68" s="2"/>
      <c r="VSV68" s="2"/>
      <c r="VSW68" s="2"/>
      <c r="VSX68" s="2"/>
      <c r="VSY68" s="2"/>
      <c r="VSZ68" s="2"/>
      <c r="VTA68" s="2"/>
      <c r="VTB68" s="2"/>
      <c r="VTC68" s="2"/>
      <c r="VTD68" s="2"/>
      <c r="VTE68" s="2"/>
      <c r="VTF68" s="2"/>
      <c r="VTG68" s="2"/>
      <c r="VTH68" s="2"/>
      <c r="VTI68" s="2"/>
      <c r="VTJ68" s="2"/>
      <c r="VTK68" s="2"/>
      <c r="VTL68" s="2"/>
      <c r="VTM68" s="2"/>
      <c r="VTN68" s="2"/>
      <c r="VTO68" s="2"/>
      <c r="VTP68" s="2"/>
      <c r="VTQ68" s="2"/>
      <c r="VTR68" s="2"/>
      <c r="VTS68" s="2"/>
      <c r="VTT68" s="2"/>
      <c r="VTU68" s="2"/>
      <c r="VTV68" s="2"/>
      <c r="VTW68" s="2"/>
      <c r="VTX68" s="2"/>
      <c r="VTY68" s="2"/>
      <c r="VTZ68" s="2"/>
      <c r="VUA68" s="2"/>
      <c r="VUB68" s="2"/>
      <c r="VUC68" s="2"/>
      <c r="VUD68" s="2"/>
      <c r="VUE68" s="2"/>
      <c r="VUF68" s="2"/>
      <c r="VUG68" s="2"/>
      <c r="VUH68" s="2"/>
      <c r="VUI68" s="2"/>
      <c r="VUJ68" s="2"/>
      <c r="VUK68" s="2"/>
      <c r="VUL68" s="2"/>
      <c r="VUM68" s="2"/>
      <c r="VUN68" s="2"/>
      <c r="VUO68" s="2"/>
      <c r="VUP68" s="2"/>
      <c r="VUQ68" s="2"/>
      <c r="VUR68" s="2"/>
      <c r="VUS68" s="2"/>
      <c r="VUT68" s="2"/>
      <c r="VUU68" s="2"/>
      <c r="VUV68" s="2"/>
      <c r="VUW68" s="2"/>
      <c r="VUX68" s="2"/>
      <c r="VUY68" s="2"/>
      <c r="VUZ68" s="2"/>
      <c r="VVA68" s="2"/>
      <c r="VVB68" s="2"/>
      <c r="VVC68" s="2"/>
      <c r="VVD68" s="2"/>
      <c r="VVE68" s="2"/>
      <c r="VVF68" s="2"/>
      <c r="VVG68" s="2"/>
      <c r="VVH68" s="2"/>
      <c r="VVI68" s="2"/>
      <c r="VVJ68" s="2"/>
      <c r="VVK68" s="2"/>
      <c r="VVL68" s="2"/>
      <c r="VVM68" s="2"/>
      <c r="VVN68" s="2"/>
      <c r="VVO68" s="2"/>
      <c r="VVP68" s="2"/>
      <c r="VVQ68" s="2"/>
      <c r="VVR68" s="2"/>
      <c r="VVS68" s="2"/>
      <c r="VVT68" s="2"/>
      <c r="VVU68" s="2"/>
      <c r="VVV68" s="2"/>
      <c r="VVW68" s="2"/>
      <c r="VVX68" s="2"/>
      <c r="VVY68" s="2"/>
      <c r="VVZ68" s="2"/>
      <c r="VWA68" s="2"/>
      <c r="VWB68" s="2"/>
      <c r="VWC68" s="2"/>
      <c r="VWD68" s="2"/>
      <c r="VWE68" s="2"/>
      <c r="VWF68" s="2"/>
      <c r="VWG68" s="2"/>
      <c r="VWH68" s="2"/>
      <c r="VWI68" s="2"/>
      <c r="VWJ68" s="2"/>
      <c r="VWK68" s="2"/>
      <c r="VWL68" s="2"/>
      <c r="VWM68" s="2"/>
      <c r="VWN68" s="2"/>
      <c r="VWO68" s="2"/>
      <c r="VWP68" s="2"/>
      <c r="VWQ68" s="2"/>
      <c r="VWR68" s="2"/>
      <c r="VWS68" s="2"/>
      <c r="VWT68" s="2"/>
      <c r="VWU68" s="2"/>
      <c r="VWV68" s="2"/>
      <c r="VWW68" s="2"/>
      <c r="VWX68" s="2"/>
      <c r="VWY68" s="2"/>
      <c r="VWZ68" s="2"/>
      <c r="VXA68" s="2"/>
      <c r="VXB68" s="2"/>
      <c r="VXC68" s="2"/>
      <c r="VXD68" s="2"/>
      <c r="VXE68" s="2"/>
      <c r="VXF68" s="2"/>
      <c r="VXG68" s="2"/>
      <c r="VXH68" s="2"/>
      <c r="VXI68" s="2"/>
      <c r="VXJ68" s="2"/>
      <c r="VXK68" s="2"/>
      <c r="VXL68" s="2"/>
      <c r="VXM68" s="2"/>
      <c r="VXN68" s="2"/>
      <c r="VXO68" s="2"/>
      <c r="VXP68" s="2"/>
      <c r="VXQ68" s="2"/>
      <c r="VXR68" s="2"/>
      <c r="VXS68" s="2"/>
      <c r="VXT68" s="2"/>
      <c r="VXU68" s="2"/>
      <c r="VXV68" s="2"/>
      <c r="VXW68" s="2"/>
      <c r="VXX68" s="2"/>
      <c r="VXY68" s="2"/>
      <c r="VXZ68" s="2"/>
      <c r="VYA68" s="2"/>
      <c r="VYB68" s="2"/>
      <c r="VYC68" s="2"/>
      <c r="VYD68" s="2"/>
      <c r="VYE68" s="2"/>
      <c r="VYF68" s="2"/>
      <c r="VYG68" s="2"/>
      <c r="VYH68" s="2"/>
      <c r="VYI68" s="2"/>
      <c r="VYJ68" s="2"/>
      <c r="VYK68" s="2"/>
      <c r="VYL68" s="2"/>
      <c r="VYM68" s="2"/>
      <c r="VYN68" s="2"/>
      <c r="VYO68" s="2"/>
      <c r="VYP68" s="2"/>
      <c r="VYQ68" s="2"/>
      <c r="VYR68" s="2"/>
      <c r="VYS68" s="2"/>
      <c r="VYT68" s="2"/>
      <c r="VYU68" s="2"/>
      <c r="VYV68" s="2"/>
      <c r="VYW68" s="2"/>
      <c r="VYX68" s="2"/>
      <c r="VYY68" s="2"/>
      <c r="VYZ68" s="2"/>
      <c r="VZA68" s="2"/>
      <c r="VZB68" s="2"/>
      <c r="VZC68" s="2"/>
      <c r="VZD68" s="2"/>
      <c r="VZE68" s="2"/>
      <c r="VZF68" s="2"/>
      <c r="VZG68" s="2"/>
      <c r="VZH68" s="2"/>
      <c r="VZI68" s="2"/>
      <c r="VZJ68" s="2"/>
      <c r="VZK68" s="2"/>
      <c r="VZL68" s="2"/>
      <c r="VZM68" s="2"/>
      <c r="VZN68" s="2"/>
      <c r="VZO68" s="2"/>
      <c r="VZP68" s="2"/>
      <c r="VZQ68" s="2"/>
      <c r="VZR68" s="2"/>
      <c r="VZS68" s="2"/>
      <c r="VZT68" s="2"/>
      <c r="VZU68" s="2"/>
      <c r="VZV68" s="2"/>
      <c r="VZW68" s="2"/>
      <c r="VZX68" s="2"/>
      <c r="VZY68" s="2"/>
      <c r="VZZ68" s="2"/>
      <c r="WAA68" s="2"/>
      <c r="WAB68" s="2"/>
      <c r="WAC68" s="2"/>
      <c r="WAD68" s="2"/>
      <c r="WAE68" s="2"/>
      <c r="WAF68" s="2"/>
      <c r="WAG68" s="2"/>
      <c r="WAH68" s="2"/>
      <c r="WAI68" s="2"/>
      <c r="WAJ68" s="2"/>
      <c r="WAK68" s="2"/>
      <c r="WAL68" s="2"/>
      <c r="WAM68" s="2"/>
      <c r="WAN68" s="2"/>
      <c r="WAO68" s="2"/>
      <c r="WAP68" s="2"/>
      <c r="WAQ68" s="2"/>
      <c r="WAR68" s="2"/>
      <c r="WAS68" s="2"/>
      <c r="WAT68" s="2"/>
      <c r="WAU68" s="2"/>
      <c r="WAV68" s="2"/>
      <c r="WAW68" s="2"/>
      <c r="WAX68" s="2"/>
      <c r="WAY68" s="2"/>
      <c r="WAZ68" s="2"/>
      <c r="WBA68" s="2"/>
      <c r="WBB68" s="2"/>
      <c r="WBC68" s="2"/>
      <c r="WBD68" s="2"/>
      <c r="WBE68" s="2"/>
      <c r="WBF68" s="2"/>
      <c r="WBG68" s="2"/>
      <c r="WBH68" s="2"/>
      <c r="WBI68" s="2"/>
      <c r="WBJ68" s="2"/>
      <c r="WBK68" s="2"/>
      <c r="WBL68" s="2"/>
      <c r="WBM68" s="2"/>
      <c r="WBN68" s="2"/>
      <c r="WBO68" s="2"/>
      <c r="WBP68" s="2"/>
      <c r="WBQ68" s="2"/>
      <c r="WBR68" s="2"/>
      <c r="WBS68" s="2"/>
      <c r="WBT68" s="2"/>
      <c r="WBU68" s="2"/>
      <c r="WBV68" s="2"/>
      <c r="WBW68" s="2"/>
      <c r="WBX68" s="2"/>
      <c r="WBY68" s="2"/>
      <c r="WBZ68" s="2"/>
      <c r="WCA68" s="2"/>
      <c r="WCB68" s="2"/>
      <c r="WCC68" s="2"/>
      <c r="WCD68" s="2"/>
      <c r="WCE68" s="2"/>
      <c r="WCF68" s="2"/>
      <c r="WCG68" s="2"/>
      <c r="WCH68" s="2"/>
      <c r="WCI68" s="2"/>
      <c r="WCJ68" s="2"/>
      <c r="WCK68" s="2"/>
      <c r="WCL68" s="2"/>
      <c r="WCM68" s="2"/>
      <c r="WCN68" s="2"/>
      <c r="WCO68" s="2"/>
      <c r="WCP68" s="2"/>
      <c r="WCQ68" s="2"/>
      <c r="WCR68" s="2"/>
      <c r="WCS68" s="2"/>
      <c r="WCT68" s="2"/>
      <c r="WCU68" s="2"/>
      <c r="WCV68" s="2"/>
      <c r="WCW68" s="2"/>
      <c r="WCX68" s="2"/>
      <c r="WCY68" s="2"/>
      <c r="WCZ68" s="2"/>
      <c r="WDA68" s="2"/>
      <c r="WDB68" s="2"/>
      <c r="WDC68" s="2"/>
      <c r="WDD68" s="2"/>
      <c r="WDE68" s="2"/>
      <c r="WDF68" s="2"/>
      <c r="WDG68" s="2"/>
      <c r="WDH68" s="2"/>
      <c r="WDI68" s="2"/>
      <c r="WDJ68" s="2"/>
      <c r="WDK68" s="2"/>
      <c r="WDL68" s="2"/>
      <c r="WDM68" s="2"/>
      <c r="WDN68" s="2"/>
      <c r="WDO68" s="2"/>
      <c r="WDP68" s="2"/>
      <c r="WDQ68" s="2"/>
      <c r="WDR68" s="2"/>
      <c r="WDS68" s="2"/>
      <c r="WDT68" s="2"/>
      <c r="WDU68" s="2"/>
      <c r="WDV68" s="2"/>
      <c r="WDW68" s="2"/>
      <c r="WDX68" s="2"/>
      <c r="WDY68" s="2"/>
      <c r="WDZ68" s="2"/>
      <c r="WEA68" s="2"/>
      <c r="WEB68" s="2"/>
      <c r="WEC68" s="2"/>
      <c r="WED68" s="2"/>
      <c r="WEE68" s="2"/>
      <c r="WEF68" s="2"/>
      <c r="WEG68" s="2"/>
      <c r="WEH68" s="2"/>
      <c r="WEI68" s="2"/>
      <c r="WEJ68" s="2"/>
      <c r="WEK68" s="2"/>
      <c r="WEL68" s="2"/>
      <c r="WEM68" s="2"/>
      <c r="WEN68" s="2"/>
      <c r="WEO68" s="2"/>
      <c r="WEP68" s="2"/>
      <c r="WEQ68" s="2"/>
      <c r="WER68" s="2"/>
      <c r="WES68" s="2"/>
      <c r="WET68" s="2"/>
      <c r="WEU68" s="2"/>
      <c r="WEV68" s="2"/>
      <c r="WEW68" s="2"/>
      <c r="WEX68" s="2"/>
      <c r="WEY68" s="2"/>
      <c r="WEZ68" s="2"/>
      <c r="WFA68" s="2"/>
      <c r="WFB68" s="2"/>
      <c r="WFC68" s="2"/>
      <c r="WFD68" s="2"/>
      <c r="WFE68" s="2"/>
      <c r="WFF68" s="2"/>
      <c r="WFG68" s="2"/>
      <c r="WFH68" s="2"/>
      <c r="WFI68" s="2"/>
      <c r="WFJ68" s="2"/>
      <c r="WFK68" s="2"/>
      <c r="WFL68" s="2"/>
      <c r="WFM68" s="2"/>
      <c r="WFN68" s="2"/>
      <c r="WFO68" s="2"/>
      <c r="WFP68" s="2"/>
      <c r="WFQ68" s="2"/>
      <c r="WFR68" s="2"/>
      <c r="WFS68" s="2"/>
      <c r="WFT68" s="2"/>
      <c r="WFU68" s="2"/>
      <c r="WFV68" s="2"/>
      <c r="WFW68" s="2"/>
      <c r="WFX68" s="2"/>
      <c r="WFY68" s="2"/>
      <c r="WFZ68" s="2"/>
      <c r="WGA68" s="2"/>
      <c r="WGB68" s="2"/>
      <c r="WGC68" s="2"/>
      <c r="WGD68" s="2"/>
      <c r="WGE68" s="2"/>
      <c r="WGF68" s="2"/>
      <c r="WGG68" s="2"/>
      <c r="WGH68" s="2"/>
      <c r="WGI68" s="2"/>
      <c r="WGJ68" s="2"/>
      <c r="WGK68" s="2"/>
      <c r="WGL68" s="2"/>
      <c r="WGM68" s="2"/>
      <c r="WGN68" s="2"/>
      <c r="WGO68" s="2"/>
      <c r="WGP68" s="2"/>
      <c r="WGQ68" s="2"/>
      <c r="WGR68" s="2"/>
      <c r="WGS68" s="2"/>
      <c r="WGT68" s="2"/>
      <c r="WGU68" s="2"/>
      <c r="WGV68" s="2"/>
      <c r="WGW68" s="2"/>
      <c r="WGX68" s="2"/>
      <c r="WGY68" s="2"/>
      <c r="WGZ68" s="2"/>
      <c r="WHA68" s="2"/>
      <c r="WHB68" s="2"/>
      <c r="WHC68" s="2"/>
      <c r="WHD68" s="2"/>
      <c r="WHE68" s="2"/>
      <c r="WHF68" s="2"/>
      <c r="WHG68" s="2"/>
      <c r="WHH68" s="2"/>
      <c r="WHI68" s="2"/>
      <c r="WHJ68" s="2"/>
      <c r="WHK68" s="2"/>
      <c r="WHL68" s="2"/>
      <c r="WHM68" s="2"/>
      <c r="WHN68" s="2"/>
      <c r="WHO68" s="2"/>
      <c r="WHP68" s="2"/>
      <c r="WHQ68" s="2"/>
      <c r="WHR68" s="2"/>
      <c r="WHS68" s="2"/>
      <c r="WHT68" s="2"/>
      <c r="WHU68" s="2"/>
      <c r="WHV68" s="2"/>
      <c r="WHW68" s="2"/>
      <c r="WHX68" s="2"/>
      <c r="WHY68" s="2"/>
      <c r="WHZ68" s="2"/>
      <c r="WIA68" s="2"/>
      <c r="WIB68" s="2"/>
      <c r="WIC68" s="2"/>
      <c r="WID68" s="2"/>
      <c r="WIE68" s="2"/>
      <c r="WIF68" s="2"/>
      <c r="WIG68" s="2"/>
      <c r="WIH68" s="2"/>
      <c r="WII68" s="2"/>
      <c r="WIJ68" s="2"/>
      <c r="WIK68" s="2"/>
      <c r="WIL68" s="2"/>
      <c r="WIM68" s="2"/>
      <c r="WIN68" s="2"/>
      <c r="WIO68" s="2"/>
      <c r="WIP68" s="2"/>
      <c r="WIQ68" s="2"/>
      <c r="WIR68" s="2"/>
      <c r="WIS68" s="2"/>
      <c r="WIT68" s="2"/>
      <c r="WIU68" s="2"/>
      <c r="WIV68" s="2"/>
      <c r="WIW68" s="2"/>
      <c r="WIX68" s="2"/>
      <c r="WIY68" s="2"/>
      <c r="WIZ68" s="2"/>
      <c r="WJA68" s="2"/>
      <c r="WJB68" s="2"/>
      <c r="WJC68" s="2"/>
      <c r="WJD68" s="2"/>
      <c r="WJE68" s="2"/>
      <c r="WJF68" s="2"/>
      <c r="WJG68" s="2"/>
      <c r="WJH68" s="2"/>
      <c r="WJI68" s="2"/>
      <c r="WJJ68" s="2"/>
      <c r="WJK68" s="2"/>
      <c r="WJL68" s="2"/>
      <c r="WJM68" s="2"/>
      <c r="WJN68" s="2"/>
      <c r="WJO68" s="2"/>
      <c r="WJP68" s="2"/>
      <c r="WJQ68" s="2"/>
      <c r="WJR68" s="2"/>
      <c r="WJS68" s="2"/>
      <c r="WJT68" s="2"/>
      <c r="WJU68" s="2"/>
      <c r="WJV68" s="2"/>
      <c r="WJW68" s="2"/>
      <c r="WJX68" s="2"/>
      <c r="WJY68" s="2"/>
      <c r="WJZ68" s="2"/>
      <c r="WKA68" s="2"/>
      <c r="WKB68" s="2"/>
      <c r="WKC68" s="2"/>
      <c r="WKD68" s="2"/>
      <c r="WKE68" s="2"/>
      <c r="WKF68" s="2"/>
      <c r="WKG68" s="2"/>
      <c r="WKH68" s="2"/>
      <c r="WKI68" s="2"/>
      <c r="WKJ68" s="2"/>
      <c r="WKK68" s="2"/>
      <c r="WKL68" s="2"/>
      <c r="WKM68" s="2"/>
      <c r="WKN68" s="2"/>
      <c r="WKO68" s="2"/>
      <c r="WKP68" s="2"/>
      <c r="WKQ68" s="2"/>
      <c r="WKR68" s="2"/>
      <c r="WKS68" s="2"/>
      <c r="WKT68" s="2"/>
      <c r="WKU68" s="2"/>
      <c r="WKV68" s="2"/>
      <c r="WKW68" s="2"/>
      <c r="WKX68" s="2"/>
      <c r="WKY68" s="2"/>
      <c r="WKZ68" s="2"/>
      <c r="WLA68" s="2"/>
      <c r="WLB68" s="2"/>
      <c r="WLC68" s="2"/>
      <c r="WLD68" s="2"/>
      <c r="WLE68" s="2"/>
      <c r="WLF68" s="2"/>
      <c r="WLG68" s="2"/>
      <c r="WLH68" s="2"/>
      <c r="WLI68" s="2"/>
      <c r="WLJ68" s="2"/>
      <c r="WLK68" s="2"/>
      <c r="WLL68" s="2"/>
      <c r="WLM68" s="2"/>
      <c r="WLN68" s="2"/>
      <c r="WLO68" s="2"/>
      <c r="WLP68" s="2"/>
      <c r="WLQ68" s="2"/>
      <c r="WLR68" s="2"/>
      <c r="WLS68" s="2"/>
      <c r="WLT68" s="2"/>
      <c r="WLU68" s="2"/>
      <c r="WLV68" s="2"/>
      <c r="WLW68" s="2"/>
      <c r="WLX68" s="2"/>
      <c r="WLY68" s="2"/>
      <c r="WLZ68" s="2"/>
      <c r="WMA68" s="2"/>
      <c r="WMB68" s="2"/>
      <c r="WMC68" s="2"/>
      <c r="WMD68" s="2"/>
      <c r="WME68" s="2"/>
      <c r="WMF68" s="2"/>
      <c r="WMG68" s="2"/>
      <c r="WMH68" s="2"/>
      <c r="WMI68" s="2"/>
      <c r="WMJ68" s="2"/>
      <c r="WMK68" s="2"/>
      <c r="WML68" s="2"/>
      <c r="WMM68" s="2"/>
      <c r="WMN68" s="2"/>
      <c r="WMO68" s="2"/>
      <c r="WMP68" s="2"/>
      <c r="WMQ68" s="2"/>
      <c r="WMR68" s="2"/>
      <c r="WMS68" s="2"/>
      <c r="WMT68" s="2"/>
      <c r="WMU68" s="2"/>
      <c r="WMV68" s="2"/>
      <c r="WMW68" s="2"/>
      <c r="WMX68" s="2"/>
      <c r="WMY68" s="2"/>
      <c r="WMZ68" s="2"/>
      <c r="WNA68" s="2"/>
      <c r="WNB68" s="2"/>
      <c r="WNC68" s="2"/>
      <c r="WND68" s="2"/>
      <c r="WNE68" s="2"/>
      <c r="WNF68" s="2"/>
      <c r="WNG68" s="2"/>
      <c r="WNH68" s="2"/>
      <c r="WNI68" s="2"/>
      <c r="WNJ68" s="2"/>
      <c r="WNK68" s="2"/>
      <c r="WNL68" s="2"/>
      <c r="WNM68" s="2"/>
      <c r="WNN68" s="2"/>
      <c r="WNO68" s="2"/>
      <c r="WNP68" s="2"/>
      <c r="WNQ68" s="2"/>
      <c r="WNR68" s="2"/>
      <c r="WNS68" s="2"/>
      <c r="WNT68" s="2"/>
      <c r="WNU68" s="2"/>
      <c r="WNV68" s="2"/>
      <c r="WNW68" s="2"/>
      <c r="WNX68" s="2"/>
      <c r="WNY68" s="2"/>
      <c r="WNZ68" s="2"/>
      <c r="WOA68" s="2"/>
      <c r="WOB68" s="2"/>
      <c r="WOC68" s="2"/>
      <c r="WOD68" s="2"/>
      <c r="WOE68" s="2"/>
      <c r="WOF68" s="2"/>
      <c r="WOG68" s="2"/>
      <c r="WOH68" s="2"/>
      <c r="WOI68" s="2"/>
      <c r="WOJ68" s="2"/>
      <c r="WOK68" s="2"/>
      <c r="WOL68" s="2"/>
      <c r="WOM68" s="2"/>
      <c r="WON68" s="2"/>
      <c r="WOO68" s="2"/>
      <c r="WOP68" s="2"/>
      <c r="WOQ68" s="2"/>
      <c r="WOR68" s="2"/>
      <c r="WOS68" s="2"/>
      <c r="WOT68" s="2"/>
      <c r="WOU68" s="2"/>
      <c r="WOV68" s="2"/>
      <c r="WOW68" s="2"/>
      <c r="WOX68" s="2"/>
      <c r="WOY68" s="2"/>
      <c r="WOZ68" s="2"/>
      <c r="WPA68" s="2"/>
      <c r="WPB68" s="2"/>
      <c r="WPC68" s="2"/>
      <c r="WPD68" s="2"/>
      <c r="WPE68" s="2"/>
      <c r="WPF68" s="2"/>
      <c r="WPG68" s="2"/>
      <c r="WPH68" s="2"/>
      <c r="WPI68" s="2"/>
      <c r="WPJ68" s="2"/>
      <c r="WPK68" s="2"/>
      <c r="WPL68" s="2"/>
      <c r="WPM68" s="2"/>
      <c r="WPN68" s="2"/>
      <c r="WPO68" s="2"/>
      <c r="WPP68" s="2"/>
      <c r="WPQ68" s="2"/>
      <c r="WPR68" s="2"/>
      <c r="WPS68" s="2"/>
      <c r="WPT68" s="2"/>
      <c r="WPU68" s="2"/>
      <c r="WPV68" s="2"/>
      <c r="WPW68" s="2"/>
      <c r="WPX68" s="2"/>
      <c r="WPY68" s="2"/>
      <c r="WPZ68" s="2"/>
      <c r="WQA68" s="2"/>
      <c r="WQB68" s="2"/>
      <c r="WQC68" s="2"/>
      <c r="WQD68" s="2"/>
      <c r="WQE68" s="2"/>
      <c r="WQF68" s="2"/>
      <c r="WQG68" s="2"/>
      <c r="WQH68" s="2"/>
      <c r="WQI68" s="2"/>
      <c r="WQJ68" s="2"/>
      <c r="WQK68" s="2"/>
      <c r="WQL68" s="2"/>
      <c r="WQM68" s="2"/>
      <c r="WQN68" s="2"/>
      <c r="WQO68" s="2"/>
      <c r="WQP68" s="2"/>
      <c r="WQQ68" s="2"/>
      <c r="WQR68" s="2"/>
      <c r="WQS68" s="2"/>
      <c r="WQT68" s="2"/>
      <c r="WQU68" s="2"/>
      <c r="WQV68" s="2"/>
      <c r="WQW68" s="2"/>
      <c r="WQX68" s="2"/>
      <c r="WQY68" s="2"/>
      <c r="WQZ68" s="2"/>
      <c r="WRA68" s="2"/>
      <c r="WRB68" s="2"/>
      <c r="WRC68" s="2"/>
      <c r="WRD68" s="2"/>
      <c r="WRE68" s="2"/>
      <c r="WRF68" s="2"/>
      <c r="WRG68" s="2"/>
      <c r="WRH68" s="2"/>
      <c r="WRI68" s="2"/>
      <c r="WRJ68" s="2"/>
      <c r="WRK68" s="2"/>
      <c r="WRL68" s="2"/>
      <c r="WRM68" s="2"/>
      <c r="WRN68" s="2"/>
      <c r="WRO68" s="2"/>
      <c r="WRP68" s="2"/>
      <c r="WRQ68" s="2"/>
      <c r="WRR68" s="2"/>
      <c r="WRS68" s="2"/>
      <c r="WRT68" s="2"/>
      <c r="WRU68" s="2"/>
      <c r="WRV68" s="2"/>
      <c r="WRW68" s="2"/>
      <c r="WRX68" s="2"/>
      <c r="WRY68" s="2"/>
      <c r="WRZ68" s="2"/>
      <c r="WSA68" s="2"/>
      <c r="WSB68" s="2"/>
      <c r="WSC68" s="2"/>
      <c r="WSD68" s="2"/>
      <c r="WSE68" s="2"/>
      <c r="WSF68" s="2"/>
      <c r="WSG68" s="2"/>
      <c r="WSH68" s="2"/>
      <c r="WSI68" s="2"/>
      <c r="WSJ68" s="2"/>
      <c r="WSK68" s="2"/>
      <c r="WSL68" s="2"/>
      <c r="WSM68" s="2"/>
      <c r="WSN68" s="2"/>
      <c r="WSO68" s="2"/>
      <c r="WSP68" s="2"/>
      <c r="WSQ68" s="2"/>
      <c r="WSR68" s="2"/>
      <c r="WSS68" s="2"/>
      <c r="WST68" s="2"/>
      <c r="WSU68" s="2"/>
      <c r="WSV68" s="2"/>
      <c r="WSW68" s="2"/>
      <c r="WSX68" s="2"/>
      <c r="WSY68" s="2"/>
      <c r="WSZ68" s="2"/>
      <c r="WTA68" s="2"/>
      <c r="WTB68" s="2"/>
      <c r="WTC68" s="2"/>
      <c r="WTD68" s="2"/>
      <c r="WTE68" s="2"/>
      <c r="WTF68" s="2"/>
      <c r="WTG68" s="2"/>
      <c r="WTH68" s="2"/>
      <c r="WTI68" s="2"/>
      <c r="WTJ68" s="2"/>
      <c r="WTK68" s="2"/>
      <c r="WTL68" s="2"/>
      <c r="WTM68" s="2"/>
      <c r="WTN68" s="2"/>
      <c r="WTO68" s="2"/>
      <c r="WTP68" s="2"/>
      <c r="WTQ68" s="2"/>
      <c r="WTR68" s="2"/>
      <c r="WTS68" s="2"/>
      <c r="WTT68" s="2"/>
      <c r="WTU68" s="2"/>
      <c r="WTV68" s="2"/>
      <c r="WTW68" s="2"/>
      <c r="WTX68" s="2"/>
      <c r="WTY68" s="2"/>
      <c r="WTZ68" s="2"/>
      <c r="WUA68" s="2"/>
      <c r="WUB68" s="2"/>
      <c r="WUC68" s="2"/>
      <c r="WUD68" s="2"/>
      <c r="WUE68" s="2"/>
      <c r="WUF68" s="2"/>
      <c r="WUG68" s="2"/>
      <c r="WUH68" s="2"/>
      <c r="WUI68" s="2"/>
      <c r="WUJ68" s="2"/>
      <c r="WUK68" s="2"/>
      <c r="WUL68" s="2"/>
      <c r="WUM68" s="2"/>
      <c r="WUN68" s="2"/>
      <c r="WUO68" s="2"/>
      <c r="WUP68" s="2"/>
      <c r="WUQ68" s="2"/>
      <c r="WUR68" s="2"/>
      <c r="WUS68" s="2"/>
      <c r="WUT68" s="2"/>
      <c r="WUU68" s="2"/>
      <c r="WUV68" s="2"/>
      <c r="WUW68" s="2"/>
      <c r="WUX68" s="2"/>
      <c r="WUY68" s="2"/>
      <c r="WUZ68" s="2"/>
      <c r="WVA68" s="2"/>
      <c r="WVB68" s="2"/>
      <c r="WVC68" s="2"/>
      <c r="WVD68" s="2"/>
      <c r="WVE68" s="2"/>
      <c r="WVF68" s="2"/>
      <c r="WVG68" s="2"/>
      <c r="WVH68" s="2"/>
      <c r="WVI68" s="2"/>
      <c r="WVJ68" s="2"/>
      <c r="WVK68" s="2"/>
      <c r="WVL68" s="2"/>
      <c r="WVM68" s="2"/>
      <c r="WVN68" s="2"/>
      <c r="WVO68" s="2"/>
      <c r="WVP68" s="2"/>
      <c r="WVQ68" s="2"/>
      <c r="WVR68" s="2"/>
      <c r="WVS68" s="2"/>
      <c r="WVT68" s="2"/>
      <c r="WVU68" s="2"/>
      <c r="WVV68" s="2"/>
      <c r="WVW68" s="2"/>
      <c r="WVX68" s="2"/>
      <c r="WVY68" s="2"/>
      <c r="WVZ68" s="2"/>
      <c r="WWA68" s="2"/>
      <c r="WWB68" s="2"/>
      <c r="WWC68" s="2"/>
      <c r="WWD68" s="2"/>
      <c r="WWE68" s="2"/>
      <c r="WWF68" s="2"/>
      <c r="WWG68" s="2"/>
      <c r="WWH68" s="2"/>
      <c r="WWI68" s="2"/>
      <c r="WWJ68" s="2"/>
      <c r="WWK68" s="2"/>
      <c r="WWL68" s="2"/>
      <c r="WWM68" s="2"/>
      <c r="WWN68" s="2"/>
      <c r="WWO68" s="2"/>
      <c r="WWP68" s="2"/>
      <c r="WWQ68" s="2"/>
      <c r="WWR68" s="2"/>
      <c r="WWS68" s="2"/>
      <c r="WWT68" s="2"/>
      <c r="WWU68" s="2"/>
      <c r="WWV68" s="2"/>
      <c r="WWW68" s="2"/>
      <c r="WWX68" s="2"/>
      <c r="WWY68" s="2"/>
      <c r="WWZ68" s="2"/>
      <c r="WXA68" s="2"/>
      <c r="WXB68" s="2"/>
      <c r="WXC68" s="2"/>
      <c r="WXD68" s="2"/>
      <c r="WXE68" s="2"/>
      <c r="WXF68" s="2"/>
      <c r="WXG68" s="2"/>
      <c r="WXH68" s="2"/>
      <c r="WXI68" s="2"/>
      <c r="WXJ68" s="2"/>
      <c r="WXK68" s="2"/>
      <c r="WXL68" s="2"/>
      <c r="WXM68" s="2"/>
      <c r="WXN68" s="2"/>
      <c r="WXO68" s="2"/>
      <c r="WXP68" s="2"/>
      <c r="WXQ68" s="2"/>
      <c r="WXR68" s="2"/>
      <c r="WXS68" s="2"/>
      <c r="WXT68" s="2"/>
      <c r="WXU68" s="2"/>
      <c r="WXV68" s="2"/>
      <c r="WXW68" s="2"/>
      <c r="WXX68" s="2"/>
      <c r="WXY68" s="2"/>
      <c r="WXZ68" s="2"/>
      <c r="WYA68" s="2"/>
      <c r="WYB68" s="2"/>
      <c r="WYC68" s="2"/>
      <c r="WYD68" s="2"/>
      <c r="WYE68" s="2"/>
      <c r="WYF68" s="2"/>
      <c r="WYG68" s="2"/>
      <c r="WYH68" s="2"/>
      <c r="WYI68" s="2"/>
      <c r="WYJ68" s="2"/>
      <c r="WYK68" s="2"/>
      <c r="WYL68" s="2"/>
      <c r="WYM68" s="2"/>
      <c r="WYN68" s="2"/>
      <c r="WYO68" s="2"/>
      <c r="WYP68" s="2"/>
      <c r="WYQ68" s="2"/>
      <c r="WYR68" s="2"/>
      <c r="WYS68" s="2"/>
      <c r="WYT68" s="2"/>
      <c r="WYU68" s="2"/>
      <c r="WYV68" s="2"/>
      <c r="WYW68" s="2"/>
      <c r="WYX68" s="2"/>
      <c r="WYY68" s="2"/>
      <c r="WYZ68" s="2"/>
      <c r="WZA68" s="2"/>
      <c r="WZB68" s="2"/>
      <c r="WZC68" s="2"/>
      <c r="WZD68" s="2"/>
      <c r="WZE68" s="2"/>
      <c r="WZF68" s="2"/>
      <c r="WZG68" s="2"/>
      <c r="WZH68" s="2"/>
      <c r="WZI68" s="2"/>
      <c r="WZJ68" s="2"/>
      <c r="WZK68" s="2"/>
      <c r="WZL68" s="2"/>
      <c r="WZM68" s="2"/>
      <c r="WZN68" s="2"/>
      <c r="WZO68" s="2"/>
      <c r="WZP68" s="2"/>
      <c r="WZQ68" s="2"/>
      <c r="WZR68" s="2"/>
      <c r="WZS68" s="2"/>
      <c r="WZT68" s="2"/>
      <c r="WZU68" s="2"/>
      <c r="WZV68" s="2"/>
      <c r="WZW68" s="2"/>
      <c r="WZX68" s="2"/>
      <c r="WZY68" s="2"/>
      <c r="WZZ68" s="2"/>
      <c r="XAA68" s="2"/>
      <c r="XAB68" s="2"/>
      <c r="XAC68" s="2"/>
      <c r="XAD68" s="2"/>
      <c r="XAE68" s="2"/>
      <c r="XAF68" s="2"/>
      <c r="XAG68" s="2"/>
      <c r="XAH68" s="2"/>
      <c r="XAI68" s="2"/>
      <c r="XAJ68" s="2"/>
      <c r="XAK68" s="2"/>
      <c r="XAL68" s="2"/>
      <c r="XAM68" s="2"/>
      <c r="XAN68" s="2"/>
      <c r="XAO68" s="2"/>
      <c r="XAP68" s="2"/>
      <c r="XAQ68" s="2"/>
      <c r="XAR68" s="2"/>
      <c r="XAS68" s="2"/>
      <c r="XAT68" s="2"/>
      <c r="XAU68" s="2"/>
      <c r="XAV68" s="2"/>
      <c r="XAW68" s="2"/>
      <c r="XAX68" s="2"/>
      <c r="XAY68" s="2"/>
      <c r="XAZ68" s="2"/>
      <c r="XBA68" s="2"/>
      <c r="XBB68" s="2"/>
      <c r="XBC68" s="2"/>
      <c r="XBD68" s="2"/>
      <c r="XBE68" s="2"/>
      <c r="XBF68" s="2"/>
      <c r="XBG68" s="2"/>
      <c r="XBH68" s="2"/>
      <c r="XBI68" s="2"/>
      <c r="XBJ68" s="2"/>
      <c r="XBK68" s="2"/>
      <c r="XBL68" s="2"/>
      <c r="XBM68" s="2"/>
      <c r="XBN68" s="2"/>
      <c r="XBO68" s="2"/>
      <c r="XBP68" s="2"/>
      <c r="XBQ68" s="2"/>
      <c r="XBR68" s="2"/>
      <c r="XBS68" s="2"/>
      <c r="XBT68" s="2"/>
      <c r="XBU68" s="2"/>
      <c r="XBV68" s="2"/>
      <c r="XBW68" s="2"/>
      <c r="XBX68" s="2"/>
      <c r="XBY68" s="2"/>
      <c r="XBZ68" s="2"/>
      <c r="XCA68" s="2"/>
      <c r="XCB68" s="2"/>
      <c r="XCC68" s="2"/>
      <c r="XCD68" s="2"/>
      <c r="XCE68" s="2"/>
      <c r="XCF68" s="2"/>
      <c r="XCG68" s="2"/>
      <c r="XCH68" s="2"/>
      <c r="XCI68" s="2"/>
      <c r="XCJ68" s="2"/>
      <c r="XCK68" s="2"/>
      <c r="XCL68" s="2"/>
      <c r="XCM68" s="2"/>
      <c r="XCN68" s="2"/>
      <c r="XCO68" s="2"/>
      <c r="XCP68" s="2"/>
      <c r="XCQ68" s="2"/>
      <c r="XCR68" s="2"/>
      <c r="XCS68" s="2"/>
      <c r="XCT68" s="2"/>
      <c r="XCU68" s="2"/>
      <c r="XCV68" s="2"/>
      <c r="XCW68" s="2"/>
      <c r="XCX68" s="2"/>
      <c r="XCY68" s="2"/>
      <c r="XCZ68" s="2"/>
      <c r="XDA68" s="2"/>
      <c r="XDB68" s="2"/>
      <c r="XDC68" s="2"/>
      <c r="XDD68" s="2"/>
      <c r="XDE68" s="2"/>
      <c r="XDF68" s="2"/>
      <c r="XDG68" s="2"/>
      <c r="XDH68" s="2"/>
      <c r="XDI68" s="2"/>
      <c r="XDJ68" s="2"/>
      <c r="XDK68" s="2"/>
      <c r="XDL68" s="2"/>
      <c r="XDM68" s="2"/>
      <c r="XDN68" s="2"/>
      <c r="XDO68" s="2"/>
      <c r="XDP68" s="2"/>
      <c r="XDQ68" s="2"/>
      <c r="XDR68" s="2"/>
      <c r="XDS68" s="2"/>
      <c r="XDT68" s="2"/>
      <c r="XDU68" s="2"/>
      <c r="XDV68" s="2"/>
      <c r="XDW68" s="2"/>
      <c r="XDX68" s="2"/>
      <c r="XDY68" s="2"/>
      <c r="XDZ68" s="2"/>
      <c r="XEA68" s="2"/>
      <c r="XEB68" s="2"/>
      <c r="XEC68" s="2"/>
      <c r="XED68" s="2"/>
      <c r="XEE68" s="2"/>
      <c r="XEF68" s="2"/>
      <c r="XEG68" s="2"/>
      <c r="XEH68" s="2"/>
      <c r="XEI68" s="2"/>
      <c r="XEJ68" s="2"/>
      <c r="XEK68" s="2"/>
      <c r="XEL68" s="2"/>
      <c r="XEM68" s="2"/>
      <c r="XEN68" s="2"/>
      <c r="XEO68" s="2"/>
      <c r="XEP68" s="2"/>
      <c r="XEQ68" s="2"/>
      <c r="XER68" s="2"/>
      <c r="XES68" s="2"/>
      <c r="XET68" s="2"/>
      <c r="XEU68" s="2"/>
      <c r="XEV68" s="2"/>
      <c r="XEW68" s="2"/>
      <c r="XEX68" s="2"/>
      <c r="XEY68" s="2"/>
      <c r="XEZ68" s="2"/>
      <c r="XFA68" s="2"/>
      <c r="XFB68" s="2"/>
      <c r="XFC68" s="2"/>
    </row>
    <row r="69" spans="1:16383" x14ac:dyDescent="0.35">
      <c r="A69" s="5" t="s">
        <v>212</v>
      </c>
      <c r="I69" s="22">
        <f>I66+I67-I68</f>
        <v>233964643736.21796</v>
      </c>
      <c r="O69" s="22"/>
    </row>
    <row r="70" spans="1:16383" ht="15" thickBot="1" x14ac:dyDescent="0.4">
      <c r="A70" s="2" t="s">
        <v>213</v>
      </c>
      <c r="B70" s="2"/>
      <c r="C70" s="2"/>
      <c r="D70" s="2"/>
      <c r="E70" s="2"/>
      <c r="F70" s="28">
        <f>'NESN.SW_Balance Sheet'!B6</f>
        <v>2620000000</v>
      </c>
      <c r="G70" s="2"/>
      <c r="H70" s="2"/>
      <c r="I70" s="28"/>
      <c r="J70" s="2"/>
      <c r="K70" s="2"/>
      <c r="L70" s="2"/>
      <c r="M70" s="2"/>
      <c r="N70" s="2"/>
      <c r="O70" s="29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  <c r="DP70" s="2"/>
      <c r="DQ70" s="2"/>
      <c r="DR70" s="2"/>
      <c r="DS70" s="2"/>
      <c r="DT70" s="2"/>
      <c r="DU70" s="2"/>
      <c r="DV70" s="2"/>
      <c r="DW70" s="2"/>
      <c r="DX70" s="2"/>
      <c r="DY70" s="2"/>
      <c r="DZ70" s="2"/>
      <c r="EA70" s="2"/>
      <c r="EB70" s="2"/>
      <c r="EC70" s="2"/>
      <c r="ED70" s="2"/>
      <c r="EE70" s="2"/>
      <c r="EF70" s="2"/>
      <c r="EG70" s="2"/>
      <c r="EH70" s="2"/>
      <c r="EI70" s="2"/>
      <c r="EJ70" s="2"/>
      <c r="EK70" s="2"/>
      <c r="EL70" s="2"/>
      <c r="EM70" s="2"/>
      <c r="EN70" s="2"/>
      <c r="EO70" s="2"/>
      <c r="EP70" s="2"/>
      <c r="EQ70" s="2"/>
      <c r="ER70" s="2"/>
      <c r="ES70" s="2"/>
      <c r="ET70" s="2"/>
      <c r="EU70" s="2"/>
      <c r="EV70" s="2"/>
      <c r="EW70" s="2"/>
      <c r="EX70" s="2"/>
      <c r="EY70" s="2"/>
      <c r="EZ70" s="2"/>
      <c r="FA70" s="2"/>
      <c r="FB70" s="2"/>
      <c r="FC70" s="2"/>
      <c r="FD70" s="2"/>
      <c r="FE70" s="2"/>
      <c r="FF70" s="2"/>
      <c r="FG70" s="2"/>
      <c r="FH70" s="2"/>
      <c r="FI70" s="2"/>
      <c r="FJ70" s="2"/>
      <c r="FK70" s="2"/>
      <c r="FL70" s="2"/>
      <c r="FM70" s="2"/>
      <c r="FN70" s="2"/>
      <c r="FO70" s="2"/>
      <c r="FP70" s="2"/>
      <c r="FQ70" s="2"/>
      <c r="FR70" s="2"/>
      <c r="FS70" s="2"/>
      <c r="FT70" s="2"/>
      <c r="FU70" s="2"/>
      <c r="FV70" s="2"/>
      <c r="FW70" s="2"/>
      <c r="FX70" s="2"/>
      <c r="FY70" s="2"/>
      <c r="FZ70" s="2"/>
      <c r="GA70" s="2"/>
      <c r="GB70" s="2"/>
      <c r="GC70" s="2"/>
      <c r="GD70" s="2"/>
      <c r="GE70" s="2"/>
      <c r="GF70" s="2"/>
      <c r="GG70" s="2"/>
      <c r="GH70" s="2"/>
      <c r="GI70" s="2"/>
      <c r="GJ70" s="2"/>
      <c r="GK70" s="2"/>
      <c r="GL70" s="2"/>
      <c r="GM70" s="2"/>
      <c r="GN70" s="2"/>
      <c r="GO70" s="2"/>
      <c r="GP70" s="2"/>
      <c r="GQ70" s="2"/>
      <c r="GR70" s="2"/>
      <c r="GS70" s="2"/>
      <c r="GT70" s="2"/>
      <c r="GU70" s="2"/>
      <c r="GV70" s="2"/>
      <c r="GW70" s="2"/>
      <c r="GX70" s="2"/>
      <c r="GY70" s="2"/>
      <c r="GZ70" s="2"/>
      <c r="HA70" s="2"/>
      <c r="HB70" s="2"/>
      <c r="HC70" s="2"/>
      <c r="HD70" s="2"/>
      <c r="HE70" s="2"/>
      <c r="HF70" s="2"/>
      <c r="HG70" s="2"/>
      <c r="HH70" s="2"/>
      <c r="HI70" s="2"/>
      <c r="HJ70" s="2"/>
      <c r="HK70" s="2"/>
      <c r="HL70" s="2"/>
      <c r="HM70" s="2"/>
      <c r="HN70" s="2"/>
      <c r="HO70" s="2"/>
      <c r="HP70" s="2"/>
      <c r="HQ70" s="2"/>
      <c r="HR70" s="2"/>
      <c r="HS70" s="2"/>
      <c r="HT70" s="2"/>
      <c r="HU70" s="2"/>
      <c r="HV70" s="2"/>
      <c r="HW70" s="2"/>
      <c r="HX70" s="2"/>
      <c r="HY70" s="2"/>
      <c r="HZ70" s="2"/>
      <c r="IA70" s="2"/>
      <c r="IB70" s="2"/>
      <c r="IC70" s="2"/>
      <c r="ID70" s="2"/>
      <c r="IE70" s="2"/>
      <c r="IF70" s="2"/>
      <c r="IG70" s="2"/>
      <c r="IH70" s="2"/>
      <c r="II70" s="2"/>
      <c r="IJ70" s="2"/>
      <c r="IK70" s="2"/>
      <c r="IL70" s="2"/>
      <c r="IM70" s="2"/>
      <c r="IN70" s="2"/>
      <c r="IO70" s="2"/>
      <c r="IP70" s="2"/>
      <c r="IQ70" s="2"/>
      <c r="IR70" s="2"/>
      <c r="IS70" s="2"/>
      <c r="IT70" s="2"/>
      <c r="IU70" s="2"/>
      <c r="IV70" s="2"/>
      <c r="IW70" s="2"/>
      <c r="IX70" s="2"/>
      <c r="IY70" s="2"/>
      <c r="IZ70" s="2"/>
      <c r="JA70" s="2"/>
      <c r="JB70" s="2"/>
      <c r="JC70" s="2"/>
      <c r="JD70" s="2"/>
      <c r="JE70" s="2"/>
      <c r="JF70" s="2"/>
      <c r="JG70" s="2"/>
      <c r="JH70" s="2"/>
      <c r="JI70" s="2"/>
      <c r="JJ70" s="2"/>
      <c r="JK70" s="2"/>
      <c r="JL70" s="2"/>
      <c r="JM70" s="2"/>
      <c r="JN70" s="2"/>
      <c r="JO70" s="2"/>
      <c r="JP70" s="2"/>
      <c r="JQ70" s="2"/>
      <c r="JR70" s="2"/>
      <c r="JS70" s="2"/>
      <c r="JT70" s="2"/>
      <c r="JU70" s="2"/>
      <c r="JV70" s="2"/>
      <c r="JW70" s="2"/>
      <c r="JX70" s="2"/>
      <c r="JY70" s="2"/>
      <c r="JZ70" s="2"/>
      <c r="KA70" s="2"/>
      <c r="KB70" s="2"/>
      <c r="KC70" s="2"/>
      <c r="KD70" s="2"/>
      <c r="KE70" s="2"/>
      <c r="KF70" s="2"/>
      <c r="KG70" s="2"/>
      <c r="KH70" s="2"/>
      <c r="KI70" s="2"/>
      <c r="KJ70" s="2"/>
      <c r="KK70" s="2"/>
      <c r="KL70" s="2"/>
      <c r="KM70" s="2"/>
      <c r="KN70" s="2"/>
      <c r="KO70" s="2"/>
      <c r="KP70" s="2"/>
      <c r="KQ70" s="2"/>
      <c r="KR70" s="2"/>
      <c r="KS70" s="2"/>
      <c r="KT70" s="2"/>
      <c r="KU70" s="2"/>
      <c r="KV70" s="2"/>
      <c r="KW70" s="2"/>
      <c r="KX70" s="2"/>
      <c r="KY70" s="2"/>
      <c r="KZ70" s="2"/>
      <c r="LA70" s="2"/>
      <c r="LB70" s="2"/>
      <c r="LC70" s="2"/>
      <c r="LD70" s="2"/>
      <c r="LE70" s="2"/>
      <c r="LF70" s="2"/>
      <c r="LG70" s="2"/>
      <c r="LH70" s="2"/>
      <c r="LI70" s="2"/>
      <c r="LJ70" s="2"/>
      <c r="LK70" s="2"/>
      <c r="LL70" s="2"/>
      <c r="LM70" s="2"/>
      <c r="LN70" s="2"/>
      <c r="LO70" s="2"/>
      <c r="LP70" s="2"/>
      <c r="LQ70" s="2"/>
      <c r="LR70" s="2"/>
      <c r="LS70" s="2"/>
      <c r="LT70" s="2"/>
      <c r="LU70" s="2"/>
      <c r="LV70" s="2"/>
      <c r="LW70" s="2"/>
      <c r="LX70" s="2"/>
      <c r="LY70" s="2"/>
      <c r="LZ70" s="2"/>
      <c r="MA70" s="2"/>
      <c r="MB70" s="2"/>
      <c r="MC70" s="2"/>
      <c r="MD70" s="2"/>
      <c r="ME70" s="2"/>
      <c r="MF70" s="2"/>
      <c r="MG70" s="2"/>
      <c r="MH70" s="2"/>
      <c r="MI70" s="2"/>
      <c r="MJ70" s="2"/>
      <c r="MK70" s="2"/>
      <c r="ML70" s="2"/>
      <c r="MM70" s="2"/>
      <c r="MN70" s="2"/>
      <c r="MO70" s="2"/>
      <c r="MP70" s="2"/>
      <c r="MQ70" s="2"/>
      <c r="MR70" s="2"/>
      <c r="MS70" s="2"/>
      <c r="MT70" s="2"/>
      <c r="MU70" s="2"/>
      <c r="MV70" s="2"/>
      <c r="MW70" s="2"/>
      <c r="MX70" s="2"/>
      <c r="MY70" s="2"/>
      <c r="MZ70" s="2"/>
      <c r="NA70" s="2"/>
      <c r="NB70" s="2"/>
      <c r="NC70" s="2"/>
      <c r="ND70" s="2"/>
      <c r="NE70" s="2"/>
      <c r="NF70" s="2"/>
      <c r="NG70" s="2"/>
      <c r="NH70" s="2"/>
      <c r="NI70" s="2"/>
      <c r="NJ70" s="2"/>
      <c r="NK70" s="2"/>
      <c r="NL70" s="2"/>
      <c r="NM70" s="2"/>
      <c r="NN70" s="2"/>
      <c r="NO70" s="2"/>
      <c r="NP70" s="2"/>
      <c r="NQ70" s="2"/>
      <c r="NR70" s="2"/>
      <c r="NS70" s="2"/>
      <c r="NT70" s="2"/>
      <c r="NU70" s="2"/>
      <c r="NV70" s="2"/>
      <c r="NW70" s="2"/>
      <c r="NX70" s="2"/>
      <c r="NY70" s="2"/>
      <c r="NZ70" s="2"/>
      <c r="OA70" s="2"/>
      <c r="OB70" s="2"/>
      <c r="OC70" s="2"/>
      <c r="OD70" s="2"/>
      <c r="OE70" s="2"/>
      <c r="OF70" s="2"/>
      <c r="OG70" s="2"/>
      <c r="OH70" s="2"/>
      <c r="OI70" s="2"/>
      <c r="OJ70" s="2"/>
      <c r="OK70" s="2"/>
      <c r="OL70" s="2"/>
      <c r="OM70" s="2"/>
      <c r="ON70" s="2"/>
      <c r="OO70" s="2"/>
      <c r="OP70" s="2"/>
      <c r="OQ70" s="2"/>
      <c r="OR70" s="2"/>
      <c r="OS70" s="2"/>
      <c r="OT70" s="2"/>
      <c r="OU70" s="2"/>
      <c r="OV70" s="2"/>
      <c r="OW70" s="2"/>
      <c r="OX70" s="2"/>
      <c r="OY70" s="2"/>
      <c r="OZ70" s="2"/>
      <c r="PA70" s="2"/>
      <c r="PB70" s="2"/>
      <c r="PC70" s="2"/>
      <c r="PD70" s="2"/>
      <c r="PE70" s="2"/>
      <c r="PF70" s="2"/>
      <c r="PG70" s="2"/>
      <c r="PH70" s="2"/>
      <c r="PI70" s="2"/>
      <c r="PJ70" s="2"/>
      <c r="PK70" s="2"/>
      <c r="PL70" s="2"/>
      <c r="PM70" s="2"/>
      <c r="PN70" s="2"/>
      <c r="PO70" s="2"/>
      <c r="PP70" s="2"/>
      <c r="PQ70" s="2"/>
      <c r="PR70" s="2"/>
      <c r="PS70" s="2"/>
      <c r="PT70" s="2"/>
      <c r="PU70" s="2"/>
      <c r="PV70" s="2"/>
      <c r="PW70" s="2"/>
      <c r="PX70" s="2"/>
      <c r="PY70" s="2"/>
      <c r="PZ70" s="2"/>
      <c r="QA70" s="2"/>
      <c r="QB70" s="2"/>
      <c r="QC70" s="2"/>
      <c r="QD70" s="2"/>
      <c r="QE70" s="2"/>
      <c r="QF70" s="2"/>
      <c r="QG70" s="2"/>
      <c r="QH70" s="2"/>
      <c r="QI70" s="2"/>
      <c r="QJ70" s="2"/>
      <c r="QK70" s="2"/>
      <c r="QL70" s="2"/>
      <c r="QM70" s="2"/>
      <c r="QN70" s="2"/>
      <c r="QO70" s="2"/>
      <c r="QP70" s="2"/>
      <c r="QQ70" s="2"/>
      <c r="QR70" s="2"/>
      <c r="QS70" s="2"/>
      <c r="QT70" s="2"/>
      <c r="QU70" s="2"/>
      <c r="QV70" s="2"/>
      <c r="QW70" s="2"/>
      <c r="QX70" s="2"/>
      <c r="QY70" s="2"/>
      <c r="QZ70" s="2"/>
      <c r="RA70" s="2"/>
      <c r="RB70" s="2"/>
      <c r="RC70" s="2"/>
      <c r="RD70" s="2"/>
      <c r="RE70" s="2"/>
      <c r="RF70" s="2"/>
      <c r="RG70" s="2"/>
      <c r="RH70" s="2"/>
      <c r="RI70" s="2"/>
      <c r="RJ70" s="2"/>
      <c r="RK70" s="2"/>
      <c r="RL70" s="2"/>
      <c r="RM70" s="2"/>
      <c r="RN70" s="2"/>
      <c r="RO70" s="2"/>
      <c r="RP70" s="2"/>
      <c r="RQ70" s="2"/>
      <c r="RR70" s="2"/>
      <c r="RS70" s="2"/>
      <c r="RT70" s="2"/>
      <c r="RU70" s="2"/>
      <c r="RV70" s="2"/>
      <c r="RW70" s="2"/>
      <c r="RX70" s="2"/>
      <c r="RY70" s="2"/>
      <c r="RZ70" s="2"/>
      <c r="SA70" s="2"/>
      <c r="SB70" s="2"/>
      <c r="SC70" s="2"/>
      <c r="SD70" s="2"/>
      <c r="SE70" s="2"/>
      <c r="SF70" s="2"/>
      <c r="SG70" s="2"/>
      <c r="SH70" s="2"/>
      <c r="SI70" s="2"/>
      <c r="SJ70" s="2"/>
      <c r="SK70" s="2"/>
      <c r="SL70" s="2"/>
      <c r="SM70" s="2"/>
      <c r="SN70" s="2"/>
      <c r="SO70" s="2"/>
      <c r="SP70" s="2"/>
      <c r="SQ70" s="2"/>
      <c r="SR70" s="2"/>
      <c r="SS70" s="2"/>
      <c r="ST70" s="2"/>
      <c r="SU70" s="2"/>
      <c r="SV70" s="2"/>
      <c r="SW70" s="2"/>
      <c r="SX70" s="2"/>
      <c r="SY70" s="2"/>
      <c r="SZ70" s="2"/>
      <c r="TA70" s="2"/>
      <c r="TB70" s="2"/>
      <c r="TC70" s="2"/>
      <c r="TD70" s="2"/>
      <c r="TE70" s="2"/>
      <c r="TF70" s="2"/>
      <c r="TG70" s="2"/>
      <c r="TH70" s="2"/>
      <c r="TI70" s="2"/>
      <c r="TJ70" s="2"/>
      <c r="TK70" s="2"/>
      <c r="TL70" s="2"/>
      <c r="TM70" s="2"/>
      <c r="TN70" s="2"/>
      <c r="TO70" s="2"/>
      <c r="TP70" s="2"/>
      <c r="TQ70" s="2"/>
      <c r="TR70" s="2"/>
      <c r="TS70" s="2"/>
      <c r="TT70" s="2"/>
      <c r="TU70" s="2"/>
      <c r="TV70" s="2"/>
      <c r="TW70" s="2"/>
      <c r="TX70" s="2"/>
      <c r="TY70" s="2"/>
      <c r="TZ70" s="2"/>
      <c r="UA70" s="2"/>
      <c r="UB70" s="2"/>
      <c r="UC70" s="2"/>
      <c r="UD70" s="2"/>
      <c r="UE70" s="2"/>
      <c r="UF70" s="2"/>
      <c r="UG70" s="2"/>
      <c r="UH70" s="2"/>
      <c r="UI70" s="2"/>
      <c r="UJ70" s="2"/>
      <c r="UK70" s="2"/>
      <c r="UL70" s="2"/>
      <c r="UM70" s="2"/>
      <c r="UN70" s="2"/>
      <c r="UO70" s="2"/>
      <c r="UP70" s="2"/>
      <c r="UQ70" s="2"/>
      <c r="UR70" s="2"/>
      <c r="US70" s="2"/>
      <c r="UT70" s="2"/>
      <c r="UU70" s="2"/>
      <c r="UV70" s="2"/>
      <c r="UW70" s="2"/>
      <c r="UX70" s="2"/>
      <c r="UY70" s="2"/>
      <c r="UZ70" s="2"/>
      <c r="VA70" s="2"/>
      <c r="VB70" s="2"/>
      <c r="VC70" s="2"/>
      <c r="VD70" s="2"/>
      <c r="VE70" s="2"/>
      <c r="VF70" s="2"/>
      <c r="VG70" s="2"/>
      <c r="VH70" s="2"/>
      <c r="VI70" s="2"/>
      <c r="VJ70" s="2"/>
      <c r="VK70" s="2"/>
      <c r="VL70" s="2"/>
      <c r="VM70" s="2"/>
      <c r="VN70" s="2"/>
      <c r="VO70" s="2"/>
      <c r="VP70" s="2"/>
      <c r="VQ70" s="2"/>
      <c r="VR70" s="2"/>
      <c r="VS70" s="2"/>
      <c r="VT70" s="2"/>
      <c r="VU70" s="2"/>
      <c r="VV70" s="2"/>
      <c r="VW70" s="2"/>
      <c r="VX70" s="2"/>
      <c r="VY70" s="2"/>
      <c r="VZ70" s="2"/>
      <c r="WA70" s="2"/>
      <c r="WB70" s="2"/>
      <c r="WC70" s="2"/>
      <c r="WD70" s="2"/>
      <c r="WE70" s="2"/>
      <c r="WF70" s="2"/>
      <c r="WG70" s="2"/>
      <c r="WH70" s="2"/>
      <c r="WI70" s="2"/>
      <c r="WJ70" s="2"/>
      <c r="WK70" s="2"/>
      <c r="WL70" s="2"/>
      <c r="WM70" s="2"/>
      <c r="WN70" s="2"/>
      <c r="WO70" s="2"/>
      <c r="WP70" s="2"/>
      <c r="WQ70" s="2"/>
      <c r="WR70" s="2"/>
      <c r="WS70" s="2"/>
      <c r="WT70" s="2"/>
      <c r="WU70" s="2"/>
      <c r="WV70" s="2"/>
      <c r="WW70" s="2"/>
      <c r="WX70" s="2"/>
      <c r="WY70" s="2"/>
      <c r="WZ70" s="2"/>
      <c r="XA70" s="2"/>
      <c r="XB70" s="2"/>
      <c r="XC70" s="2"/>
      <c r="XD70" s="2"/>
      <c r="XE70" s="2"/>
      <c r="XF70" s="2"/>
      <c r="XG70" s="2"/>
      <c r="XH70" s="2"/>
      <c r="XI70" s="2"/>
      <c r="XJ70" s="2"/>
      <c r="XK70" s="2"/>
      <c r="XL70" s="2"/>
      <c r="XM70" s="2"/>
      <c r="XN70" s="2"/>
      <c r="XO70" s="2"/>
      <c r="XP70" s="2"/>
      <c r="XQ70" s="2"/>
      <c r="XR70" s="2"/>
      <c r="XS70" s="2"/>
      <c r="XT70" s="2"/>
      <c r="XU70" s="2"/>
      <c r="XV70" s="2"/>
      <c r="XW70" s="2"/>
      <c r="XX70" s="2"/>
      <c r="XY70" s="2"/>
      <c r="XZ70" s="2"/>
      <c r="YA70" s="2"/>
      <c r="YB70" s="2"/>
      <c r="YC70" s="2"/>
      <c r="YD70" s="2"/>
      <c r="YE70" s="2"/>
      <c r="YF70" s="2"/>
      <c r="YG70" s="2"/>
      <c r="YH70" s="2"/>
      <c r="YI70" s="2"/>
      <c r="YJ70" s="2"/>
      <c r="YK70" s="2"/>
      <c r="YL70" s="2"/>
      <c r="YM70" s="2"/>
      <c r="YN70" s="2"/>
      <c r="YO70" s="2"/>
      <c r="YP70" s="2"/>
      <c r="YQ70" s="2"/>
      <c r="YR70" s="2"/>
      <c r="YS70" s="2"/>
      <c r="YT70" s="2"/>
      <c r="YU70" s="2"/>
      <c r="YV70" s="2"/>
      <c r="YW70" s="2"/>
      <c r="YX70" s="2"/>
      <c r="YY70" s="2"/>
      <c r="YZ70" s="2"/>
      <c r="ZA70" s="2"/>
      <c r="ZB70" s="2"/>
      <c r="ZC70" s="2"/>
      <c r="ZD70" s="2"/>
      <c r="ZE70" s="2"/>
      <c r="ZF70" s="2"/>
      <c r="ZG70" s="2"/>
      <c r="ZH70" s="2"/>
      <c r="ZI70" s="2"/>
      <c r="ZJ70" s="2"/>
      <c r="ZK70" s="2"/>
      <c r="ZL70" s="2"/>
      <c r="ZM70" s="2"/>
      <c r="ZN70" s="2"/>
      <c r="ZO70" s="2"/>
      <c r="ZP70" s="2"/>
      <c r="ZQ70" s="2"/>
      <c r="ZR70" s="2"/>
      <c r="ZS70" s="2"/>
      <c r="ZT70" s="2"/>
      <c r="ZU70" s="2"/>
      <c r="ZV70" s="2"/>
      <c r="ZW70" s="2"/>
      <c r="ZX70" s="2"/>
      <c r="ZY70" s="2"/>
      <c r="ZZ70" s="2"/>
      <c r="AAA70" s="2"/>
      <c r="AAB70" s="2"/>
      <c r="AAC70" s="2"/>
      <c r="AAD70" s="2"/>
      <c r="AAE70" s="2"/>
      <c r="AAF70" s="2"/>
      <c r="AAG70" s="2"/>
      <c r="AAH70" s="2"/>
      <c r="AAI70" s="2"/>
      <c r="AAJ70" s="2"/>
      <c r="AAK70" s="2"/>
      <c r="AAL70" s="2"/>
      <c r="AAM70" s="2"/>
      <c r="AAN70" s="2"/>
      <c r="AAO70" s="2"/>
      <c r="AAP70" s="2"/>
      <c r="AAQ70" s="2"/>
      <c r="AAR70" s="2"/>
      <c r="AAS70" s="2"/>
      <c r="AAT70" s="2"/>
      <c r="AAU70" s="2"/>
      <c r="AAV70" s="2"/>
      <c r="AAW70" s="2"/>
      <c r="AAX70" s="2"/>
      <c r="AAY70" s="2"/>
      <c r="AAZ70" s="2"/>
      <c r="ABA70" s="2"/>
      <c r="ABB70" s="2"/>
      <c r="ABC70" s="2"/>
      <c r="ABD70" s="2"/>
      <c r="ABE70" s="2"/>
      <c r="ABF70" s="2"/>
      <c r="ABG70" s="2"/>
      <c r="ABH70" s="2"/>
      <c r="ABI70" s="2"/>
      <c r="ABJ70" s="2"/>
      <c r="ABK70" s="2"/>
      <c r="ABL70" s="2"/>
      <c r="ABM70" s="2"/>
      <c r="ABN70" s="2"/>
      <c r="ABO70" s="2"/>
      <c r="ABP70" s="2"/>
      <c r="ABQ70" s="2"/>
      <c r="ABR70" s="2"/>
      <c r="ABS70" s="2"/>
      <c r="ABT70" s="2"/>
      <c r="ABU70" s="2"/>
      <c r="ABV70" s="2"/>
      <c r="ABW70" s="2"/>
      <c r="ABX70" s="2"/>
      <c r="ABY70" s="2"/>
      <c r="ABZ70" s="2"/>
      <c r="ACA70" s="2"/>
      <c r="ACB70" s="2"/>
      <c r="ACC70" s="2"/>
      <c r="ACD70" s="2"/>
      <c r="ACE70" s="2"/>
      <c r="ACF70" s="2"/>
      <c r="ACG70" s="2"/>
      <c r="ACH70" s="2"/>
      <c r="ACI70" s="2"/>
      <c r="ACJ70" s="2"/>
      <c r="ACK70" s="2"/>
      <c r="ACL70" s="2"/>
      <c r="ACM70" s="2"/>
      <c r="ACN70" s="2"/>
      <c r="ACO70" s="2"/>
      <c r="ACP70" s="2"/>
      <c r="ACQ70" s="2"/>
      <c r="ACR70" s="2"/>
      <c r="ACS70" s="2"/>
      <c r="ACT70" s="2"/>
      <c r="ACU70" s="2"/>
      <c r="ACV70" s="2"/>
      <c r="ACW70" s="2"/>
      <c r="ACX70" s="2"/>
      <c r="ACY70" s="2"/>
      <c r="ACZ70" s="2"/>
      <c r="ADA70" s="2"/>
      <c r="ADB70" s="2"/>
      <c r="ADC70" s="2"/>
      <c r="ADD70" s="2"/>
      <c r="ADE70" s="2"/>
      <c r="ADF70" s="2"/>
      <c r="ADG70" s="2"/>
      <c r="ADH70" s="2"/>
      <c r="ADI70" s="2"/>
      <c r="ADJ70" s="2"/>
      <c r="ADK70" s="2"/>
      <c r="ADL70" s="2"/>
      <c r="ADM70" s="2"/>
      <c r="ADN70" s="2"/>
      <c r="ADO70" s="2"/>
      <c r="ADP70" s="2"/>
      <c r="ADQ70" s="2"/>
      <c r="ADR70" s="2"/>
      <c r="ADS70" s="2"/>
      <c r="ADT70" s="2"/>
      <c r="ADU70" s="2"/>
      <c r="ADV70" s="2"/>
      <c r="ADW70" s="2"/>
      <c r="ADX70" s="2"/>
      <c r="ADY70" s="2"/>
      <c r="ADZ70" s="2"/>
      <c r="AEA70" s="2"/>
      <c r="AEB70" s="2"/>
      <c r="AEC70" s="2"/>
      <c r="AED70" s="2"/>
      <c r="AEE70" s="2"/>
      <c r="AEF70" s="2"/>
      <c r="AEG70" s="2"/>
      <c r="AEH70" s="2"/>
      <c r="AEI70" s="2"/>
      <c r="AEJ70" s="2"/>
      <c r="AEK70" s="2"/>
      <c r="AEL70" s="2"/>
      <c r="AEM70" s="2"/>
      <c r="AEN70" s="2"/>
      <c r="AEO70" s="2"/>
      <c r="AEP70" s="2"/>
      <c r="AEQ70" s="2"/>
      <c r="AER70" s="2"/>
      <c r="AES70" s="2"/>
      <c r="AET70" s="2"/>
      <c r="AEU70" s="2"/>
      <c r="AEV70" s="2"/>
      <c r="AEW70" s="2"/>
      <c r="AEX70" s="2"/>
      <c r="AEY70" s="2"/>
      <c r="AEZ70" s="2"/>
      <c r="AFA70" s="2"/>
      <c r="AFB70" s="2"/>
      <c r="AFC70" s="2"/>
      <c r="AFD70" s="2"/>
      <c r="AFE70" s="2"/>
      <c r="AFF70" s="2"/>
      <c r="AFG70" s="2"/>
      <c r="AFH70" s="2"/>
      <c r="AFI70" s="2"/>
      <c r="AFJ70" s="2"/>
      <c r="AFK70" s="2"/>
      <c r="AFL70" s="2"/>
      <c r="AFM70" s="2"/>
      <c r="AFN70" s="2"/>
      <c r="AFO70" s="2"/>
      <c r="AFP70" s="2"/>
      <c r="AFQ70" s="2"/>
      <c r="AFR70" s="2"/>
      <c r="AFS70" s="2"/>
      <c r="AFT70" s="2"/>
      <c r="AFU70" s="2"/>
      <c r="AFV70" s="2"/>
      <c r="AFW70" s="2"/>
      <c r="AFX70" s="2"/>
      <c r="AFY70" s="2"/>
      <c r="AFZ70" s="2"/>
      <c r="AGA70" s="2"/>
      <c r="AGB70" s="2"/>
      <c r="AGC70" s="2"/>
      <c r="AGD70" s="2"/>
      <c r="AGE70" s="2"/>
      <c r="AGF70" s="2"/>
      <c r="AGG70" s="2"/>
      <c r="AGH70" s="2"/>
      <c r="AGI70" s="2"/>
      <c r="AGJ70" s="2"/>
      <c r="AGK70" s="2"/>
      <c r="AGL70" s="2"/>
      <c r="AGM70" s="2"/>
      <c r="AGN70" s="2"/>
      <c r="AGO70" s="2"/>
      <c r="AGP70" s="2"/>
      <c r="AGQ70" s="2"/>
      <c r="AGR70" s="2"/>
      <c r="AGS70" s="2"/>
      <c r="AGT70" s="2"/>
      <c r="AGU70" s="2"/>
      <c r="AGV70" s="2"/>
      <c r="AGW70" s="2"/>
      <c r="AGX70" s="2"/>
      <c r="AGY70" s="2"/>
      <c r="AGZ70" s="2"/>
      <c r="AHA70" s="2"/>
      <c r="AHB70" s="2"/>
      <c r="AHC70" s="2"/>
      <c r="AHD70" s="2"/>
      <c r="AHE70" s="2"/>
      <c r="AHF70" s="2"/>
      <c r="AHG70" s="2"/>
      <c r="AHH70" s="2"/>
      <c r="AHI70" s="2"/>
      <c r="AHJ70" s="2"/>
      <c r="AHK70" s="2"/>
      <c r="AHL70" s="2"/>
      <c r="AHM70" s="2"/>
      <c r="AHN70" s="2"/>
      <c r="AHO70" s="2"/>
      <c r="AHP70" s="2"/>
      <c r="AHQ70" s="2"/>
      <c r="AHR70" s="2"/>
      <c r="AHS70" s="2"/>
      <c r="AHT70" s="2"/>
      <c r="AHU70" s="2"/>
      <c r="AHV70" s="2"/>
      <c r="AHW70" s="2"/>
      <c r="AHX70" s="2"/>
      <c r="AHY70" s="2"/>
      <c r="AHZ70" s="2"/>
      <c r="AIA70" s="2"/>
      <c r="AIB70" s="2"/>
      <c r="AIC70" s="2"/>
      <c r="AID70" s="2"/>
      <c r="AIE70" s="2"/>
      <c r="AIF70" s="2"/>
      <c r="AIG70" s="2"/>
      <c r="AIH70" s="2"/>
      <c r="AII70" s="2"/>
      <c r="AIJ70" s="2"/>
      <c r="AIK70" s="2"/>
      <c r="AIL70" s="2"/>
      <c r="AIM70" s="2"/>
      <c r="AIN70" s="2"/>
      <c r="AIO70" s="2"/>
      <c r="AIP70" s="2"/>
      <c r="AIQ70" s="2"/>
      <c r="AIR70" s="2"/>
      <c r="AIS70" s="2"/>
      <c r="AIT70" s="2"/>
      <c r="AIU70" s="2"/>
      <c r="AIV70" s="2"/>
      <c r="AIW70" s="2"/>
      <c r="AIX70" s="2"/>
      <c r="AIY70" s="2"/>
      <c r="AIZ70" s="2"/>
      <c r="AJA70" s="2"/>
      <c r="AJB70" s="2"/>
      <c r="AJC70" s="2"/>
      <c r="AJD70" s="2"/>
      <c r="AJE70" s="2"/>
      <c r="AJF70" s="2"/>
      <c r="AJG70" s="2"/>
      <c r="AJH70" s="2"/>
      <c r="AJI70" s="2"/>
      <c r="AJJ70" s="2"/>
      <c r="AJK70" s="2"/>
      <c r="AJL70" s="2"/>
      <c r="AJM70" s="2"/>
      <c r="AJN70" s="2"/>
      <c r="AJO70" s="2"/>
      <c r="AJP70" s="2"/>
      <c r="AJQ70" s="2"/>
      <c r="AJR70" s="2"/>
      <c r="AJS70" s="2"/>
      <c r="AJT70" s="2"/>
      <c r="AJU70" s="2"/>
      <c r="AJV70" s="2"/>
      <c r="AJW70" s="2"/>
      <c r="AJX70" s="2"/>
      <c r="AJY70" s="2"/>
      <c r="AJZ70" s="2"/>
      <c r="AKA70" s="2"/>
      <c r="AKB70" s="2"/>
      <c r="AKC70" s="2"/>
      <c r="AKD70" s="2"/>
      <c r="AKE70" s="2"/>
      <c r="AKF70" s="2"/>
      <c r="AKG70" s="2"/>
      <c r="AKH70" s="2"/>
      <c r="AKI70" s="2"/>
      <c r="AKJ70" s="2"/>
      <c r="AKK70" s="2"/>
      <c r="AKL70" s="2"/>
      <c r="AKM70" s="2"/>
      <c r="AKN70" s="2"/>
      <c r="AKO70" s="2"/>
      <c r="AKP70" s="2"/>
      <c r="AKQ70" s="2"/>
      <c r="AKR70" s="2"/>
      <c r="AKS70" s="2"/>
      <c r="AKT70" s="2"/>
      <c r="AKU70" s="2"/>
      <c r="AKV70" s="2"/>
      <c r="AKW70" s="2"/>
      <c r="AKX70" s="2"/>
      <c r="AKY70" s="2"/>
      <c r="AKZ70" s="2"/>
      <c r="ALA70" s="2"/>
      <c r="ALB70" s="2"/>
      <c r="ALC70" s="2"/>
      <c r="ALD70" s="2"/>
      <c r="ALE70" s="2"/>
      <c r="ALF70" s="2"/>
      <c r="ALG70" s="2"/>
      <c r="ALH70" s="2"/>
      <c r="ALI70" s="2"/>
      <c r="ALJ70" s="2"/>
      <c r="ALK70" s="2"/>
      <c r="ALL70" s="2"/>
      <c r="ALM70" s="2"/>
      <c r="ALN70" s="2"/>
      <c r="ALO70" s="2"/>
      <c r="ALP70" s="2"/>
      <c r="ALQ70" s="2"/>
      <c r="ALR70" s="2"/>
      <c r="ALS70" s="2"/>
      <c r="ALT70" s="2"/>
      <c r="ALU70" s="2"/>
      <c r="ALV70" s="2"/>
      <c r="ALW70" s="2"/>
      <c r="ALX70" s="2"/>
      <c r="ALY70" s="2"/>
      <c r="ALZ70" s="2"/>
      <c r="AMA70" s="2"/>
      <c r="AMB70" s="2"/>
      <c r="AMC70" s="2"/>
      <c r="AMD70" s="2"/>
      <c r="AME70" s="2"/>
      <c r="AMF70" s="2"/>
      <c r="AMG70" s="2"/>
      <c r="AMH70" s="2"/>
      <c r="AMI70" s="2"/>
      <c r="AMJ70" s="2"/>
      <c r="AMK70" s="2"/>
      <c r="AML70" s="2"/>
      <c r="AMM70" s="2"/>
      <c r="AMN70" s="2"/>
      <c r="AMO70" s="2"/>
      <c r="AMP70" s="2"/>
      <c r="AMQ70" s="2"/>
      <c r="AMR70" s="2"/>
      <c r="AMS70" s="2"/>
      <c r="AMT70" s="2"/>
      <c r="AMU70" s="2"/>
      <c r="AMV70" s="2"/>
      <c r="AMW70" s="2"/>
      <c r="AMX70" s="2"/>
      <c r="AMY70" s="2"/>
      <c r="AMZ70" s="2"/>
      <c r="ANA70" s="2"/>
      <c r="ANB70" s="2"/>
      <c r="ANC70" s="2"/>
      <c r="AND70" s="2"/>
      <c r="ANE70" s="2"/>
      <c r="ANF70" s="2"/>
      <c r="ANG70" s="2"/>
      <c r="ANH70" s="2"/>
      <c r="ANI70" s="2"/>
      <c r="ANJ70" s="2"/>
      <c r="ANK70" s="2"/>
      <c r="ANL70" s="2"/>
      <c r="ANM70" s="2"/>
      <c r="ANN70" s="2"/>
      <c r="ANO70" s="2"/>
      <c r="ANP70" s="2"/>
      <c r="ANQ70" s="2"/>
      <c r="ANR70" s="2"/>
      <c r="ANS70" s="2"/>
      <c r="ANT70" s="2"/>
      <c r="ANU70" s="2"/>
      <c r="ANV70" s="2"/>
      <c r="ANW70" s="2"/>
      <c r="ANX70" s="2"/>
      <c r="ANY70" s="2"/>
      <c r="ANZ70" s="2"/>
      <c r="AOA70" s="2"/>
      <c r="AOB70" s="2"/>
      <c r="AOC70" s="2"/>
      <c r="AOD70" s="2"/>
      <c r="AOE70" s="2"/>
      <c r="AOF70" s="2"/>
      <c r="AOG70" s="2"/>
      <c r="AOH70" s="2"/>
      <c r="AOI70" s="2"/>
      <c r="AOJ70" s="2"/>
      <c r="AOK70" s="2"/>
      <c r="AOL70" s="2"/>
      <c r="AOM70" s="2"/>
      <c r="AON70" s="2"/>
      <c r="AOO70" s="2"/>
      <c r="AOP70" s="2"/>
      <c r="AOQ70" s="2"/>
      <c r="AOR70" s="2"/>
      <c r="AOS70" s="2"/>
      <c r="AOT70" s="2"/>
      <c r="AOU70" s="2"/>
      <c r="AOV70" s="2"/>
      <c r="AOW70" s="2"/>
      <c r="AOX70" s="2"/>
      <c r="AOY70" s="2"/>
      <c r="AOZ70" s="2"/>
      <c r="APA70" s="2"/>
      <c r="APB70" s="2"/>
      <c r="APC70" s="2"/>
      <c r="APD70" s="2"/>
      <c r="APE70" s="2"/>
      <c r="APF70" s="2"/>
      <c r="APG70" s="2"/>
      <c r="APH70" s="2"/>
      <c r="API70" s="2"/>
      <c r="APJ70" s="2"/>
      <c r="APK70" s="2"/>
      <c r="APL70" s="2"/>
      <c r="APM70" s="2"/>
      <c r="APN70" s="2"/>
      <c r="APO70" s="2"/>
      <c r="APP70" s="2"/>
      <c r="APQ70" s="2"/>
      <c r="APR70" s="2"/>
      <c r="APS70" s="2"/>
      <c r="APT70" s="2"/>
      <c r="APU70" s="2"/>
      <c r="APV70" s="2"/>
      <c r="APW70" s="2"/>
      <c r="APX70" s="2"/>
      <c r="APY70" s="2"/>
      <c r="APZ70" s="2"/>
      <c r="AQA70" s="2"/>
      <c r="AQB70" s="2"/>
      <c r="AQC70" s="2"/>
      <c r="AQD70" s="2"/>
      <c r="AQE70" s="2"/>
      <c r="AQF70" s="2"/>
      <c r="AQG70" s="2"/>
      <c r="AQH70" s="2"/>
      <c r="AQI70" s="2"/>
      <c r="AQJ70" s="2"/>
      <c r="AQK70" s="2"/>
      <c r="AQL70" s="2"/>
      <c r="AQM70" s="2"/>
      <c r="AQN70" s="2"/>
      <c r="AQO70" s="2"/>
      <c r="AQP70" s="2"/>
      <c r="AQQ70" s="2"/>
      <c r="AQR70" s="2"/>
      <c r="AQS70" s="2"/>
      <c r="AQT70" s="2"/>
      <c r="AQU70" s="2"/>
      <c r="AQV70" s="2"/>
      <c r="AQW70" s="2"/>
      <c r="AQX70" s="2"/>
      <c r="AQY70" s="2"/>
      <c r="AQZ70" s="2"/>
      <c r="ARA70" s="2"/>
      <c r="ARB70" s="2"/>
      <c r="ARC70" s="2"/>
      <c r="ARD70" s="2"/>
      <c r="ARE70" s="2"/>
      <c r="ARF70" s="2"/>
      <c r="ARG70" s="2"/>
      <c r="ARH70" s="2"/>
      <c r="ARI70" s="2"/>
      <c r="ARJ70" s="2"/>
      <c r="ARK70" s="2"/>
      <c r="ARL70" s="2"/>
      <c r="ARM70" s="2"/>
      <c r="ARN70" s="2"/>
      <c r="ARO70" s="2"/>
      <c r="ARP70" s="2"/>
      <c r="ARQ70" s="2"/>
      <c r="ARR70" s="2"/>
      <c r="ARS70" s="2"/>
      <c r="ART70" s="2"/>
      <c r="ARU70" s="2"/>
      <c r="ARV70" s="2"/>
      <c r="ARW70" s="2"/>
      <c r="ARX70" s="2"/>
      <c r="ARY70" s="2"/>
      <c r="ARZ70" s="2"/>
      <c r="ASA70" s="2"/>
      <c r="ASB70" s="2"/>
      <c r="ASC70" s="2"/>
      <c r="ASD70" s="2"/>
      <c r="ASE70" s="2"/>
      <c r="ASF70" s="2"/>
      <c r="ASG70" s="2"/>
      <c r="ASH70" s="2"/>
      <c r="ASI70" s="2"/>
      <c r="ASJ70" s="2"/>
      <c r="ASK70" s="2"/>
      <c r="ASL70" s="2"/>
      <c r="ASM70" s="2"/>
      <c r="ASN70" s="2"/>
      <c r="ASO70" s="2"/>
      <c r="ASP70" s="2"/>
      <c r="ASQ70" s="2"/>
      <c r="ASR70" s="2"/>
      <c r="ASS70" s="2"/>
      <c r="AST70" s="2"/>
      <c r="ASU70" s="2"/>
      <c r="ASV70" s="2"/>
      <c r="ASW70" s="2"/>
      <c r="ASX70" s="2"/>
      <c r="ASY70" s="2"/>
      <c r="ASZ70" s="2"/>
      <c r="ATA70" s="2"/>
      <c r="ATB70" s="2"/>
      <c r="ATC70" s="2"/>
      <c r="ATD70" s="2"/>
      <c r="ATE70" s="2"/>
      <c r="ATF70" s="2"/>
      <c r="ATG70" s="2"/>
      <c r="ATH70" s="2"/>
      <c r="ATI70" s="2"/>
      <c r="ATJ70" s="2"/>
      <c r="ATK70" s="2"/>
      <c r="ATL70" s="2"/>
      <c r="ATM70" s="2"/>
      <c r="ATN70" s="2"/>
      <c r="ATO70" s="2"/>
      <c r="ATP70" s="2"/>
      <c r="ATQ70" s="2"/>
      <c r="ATR70" s="2"/>
      <c r="ATS70" s="2"/>
      <c r="ATT70" s="2"/>
      <c r="ATU70" s="2"/>
      <c r="ATV70" s="2"/>
      <c r="ATW70" s="2"/>
      <c r="ATX70" s="2"/>
      <c r="ATY70" s="2"/>
      <c r="ATZ70" s="2"/>
      <c r="AUA70" s="2"/>
      <c r="AUB70" s="2"/>
      <c r="AUC70" s="2"/>
      <c r="AUD70" s="2"/>
      <c r="AUE70" s="2"/>
      <c r="AUF70" s="2"/>
      <c r="AUG70" s="2"/>
      <c r="AUH70" s="2"/>
      <c r="AUI70" s="2"/>
      <c r="AUJ70" s="2"/>
      <c r="AUK70" s="2"/>
      <c r="AUL70" s="2"/>
      <c r="AUM70" s="2"/>
      <c r="AUN70" s="2"/>
      <c r="AUO70" s="2"/>
      <c r="AUP70" s="2"/>
      <c r="AUQ70" s="2"/>
      <c r="AUR70" s="2"/>
      <c r="AUS70" s="2"/>
      <c r="AUT70" s="2"/>
      <c r="AUU70" s="2"/>
      <c r="AUV70" s="2"/>
      <c r="AUW70" s="2"/>
      <c r="AUX70" s="2"/>
      <c r="AUY70" s="2"/>
      <c r="AUZ70" s="2"/>
      <c r="AVA70" s="2"/>
      <c r="AVB70" s="2"/>
      <c r="AVC70" s="2"/>
      <c r="AVD70" s="2"/>
      <c r="AVE70" s="2"/>
      <c r="AVF70" s="2"/>
      <c r="AVG70" s="2"/>
      <c r="AVH70" s="2"/>
      <c r="AVI70" s="2"/>
      <c r="AVJ70" s="2"/>
      <c r="AVK70" s="2"/>
      <c r="AVL70" s="2"/>
      <c r="AVM70" s="2"/>
      <c r="AVN70" s="2"/>
      <c r="AVO70" s="2"/>
      <c r="AVP70" s="2"/>
      <c r="AVQ70" s="2"/>
      <c r="AVR70" s="2"/>
      <c r="AVS70" s="2"/>
      <c r="AVT70" s="2"/>
      <c r="AVU70" s="2"/>
      <c r="AVV70" s="2"/>
      <c r="AVW70" s="2"/>
      <c r="AVX70" s="2"/>
      <c r="AVY70" s="2"/>
      <c r="AVZ70" s="2"/>
      <c r="AWA70" s="2"/>
      <c r="AWB70" s="2"/>
      <c r="AWC70" s="2"/>
      <c r="AWD70" s="2"/>
      <c r="AWE70" s="2"/>
      <c r="AWF70" s="2"/>
      <c r="AWG70" s="2"/>
      <c r="AWH70" s="2"/>
      <c r="AWI70" s="2"/>
      <c r="AWJ70" s="2"/>
      <c r="AWK70" s="2"/>
      <c r="AWL70" s="2"/>
      <c r="AWM70" s="2"/>
      <c r="AWN70" s="2"/>
      <c r="AWO70" s="2"/>
      <c r="AWP70" s="2"/>
      <c r="AWQ70" s="2"/>
      <c r="AWR70" s="2"/>
      <c r="AWS70" s="2"/>
      <c r="AWT70" s="2"/>
      <c r="AWU70" s="2"/>
      <c r="AWV70" s="2"/>
      <c r="AWW70" s="2"/>
      <c r="AWX70" s="2"/>
      <c r="AWY70" s="2"/>
      <c r="AWZ70" s="2"/>
      <c r="AXA70" s="2"/>
      <c r="AXB70" s="2"/>
      <c r="AXC70" s="2"/>
      <c r="AXD70" s="2"/>
      <c r="AXE70" s="2"/>
      <c r="AXF70" s="2"/>
      <c r="AXG70" s="2"/>
      <c r="AXH70" s="2"/>
      <c r="AXI70" s="2"/>
      <c r="AXJ70" s="2"/>
      <c r="AXK70" s="2"/>
      <c r="AXL70" s="2"/>
      <c r="AXM70" s="2"/>
      <c r="AXN70" s="2"/>
      <c r="AXO70" s="2"/>
      <c r="AXP70" s="2"/>
      <c r="AXQ70" s="2"/>
      <c r="AXR70" s="2"/>
      <c r="AXS70" s="2"/>
      <c r="AXT70" s="2"/>
      <c r="AXU70" s="2"/>
      <c r="AXV70" s="2"/>
      <c r="AXW70" s="2"/>
      <c r="AXX70" s="2"/>
      <c r="AXY70" s="2"/>
      <c r="AXZ70" s="2"/>
      <c r="AYA70" s="2"/>
      <c r="AYB70" s="2"/>
      <c r="AYC70" s="2"/>
      <c r="AYD70" s="2"/>
      <c r="AYE70" s="2"/>
      <c r="AYF70" s="2"/>
      <c r="AYG70" s="2"/>
      <c r="AYH70" s="2"/>
      <c r="AYI70" s="2"/>
      <c r="AYJ70" s="2"/>
      <c r="AYK70" s="2"/>
      <c r="AYL70" s="2"/>
      <c r="AYM70" s="2"/>
      <c r="AYN70" s="2"/>
      <c r="AYO70" s="2"/>
      <c r="AYP70" s="2"/>
      <c r="AYQ70" s="2"/>
      <c r="AYR70" s="2"/>
      <c r="AYS70" s="2"/>
      <c r="AYT70" s="2"/>
      <c r="AYU70" s="2"/>
      <c r="AYV70" s="2"/>
      <c r="AYW70" s="2"/>
      <c r="AYX70" s="2"/>
      <c r="AYY70" s="2"/>
      <c r="AYZ70" s="2"/>
      <c r="AZA70" s="2"/>
      <c r="AZB70" s="2"/>
      <c r="AZC70" s="2"/>
      <c r="AZD70" s="2"/>
      <c r="AZE70" s="2"/>
      <c r="AZF70" s="2"/>
      <c r="AZG70" s="2"/>
      <c r="AZH70" s="2"/>
      <c r="AZI70" s="2"/>
      <c r="AZJ70" s="2"/>
      <c r="AZK70" s="2"/>
      <c r="AZL70" s="2"/>
      <c r="AZM70" s="2"/>
      <c r="AZN70" s="2"/>
      <c r="AZO70" s="2"/>
      <c r="AZP70" s="2"/>
      <c r="AZQ70" s="2"/>
      <c r="AZR70" s="2"/>
      <c r="AZS70" s="2"/>
      <c r="AZT70" s="2"/>
      <c r="AZU70" s="2"/>
      <c r="AZV70" s="2"/>
      <c r="AZW70" s="2"/>
      <c r="AZX70" s="2"/>
      <c r="AZY70" s="2"/>
      <c r="AZZ70" s="2"/>
      <c r="BAA70" s="2"/>
      <c r="BAB70" s="2"/>
      <c r="BAC70" s="2"/>
      <c r="BAD70" s="2"/>
      <c r="BAE70" s="2"/>
      <c r="BAF70" s="2"/>
      <c r="BAG70" s="2"/>
      <c r="BAH70" s="2"/>
      <c r="BAI70" s="2"/>
      <c r="BAJ70" s="2"/>
      <c r="BAK70" s="2"/>
      <c r="BAL70" s="2"/>
      <c r="BAM70" s="2"/>
      <c r="BAN70" s="2"/>
      <c r="BAO70" s="2"/>
      <c r="BAP70" s="2"/>
      <c r="BAQ70" s="2"/>
      <c r="BAR70" s="2"/>
      <c r="BAS70" s="2"/>
      <c r="BAT70" s="2"/>
      <c r="BAU70" s="2"/>
      <c r="BAV70" s="2"/>
      <c r="BAW70" s="2"/>
      <c r="BAX70" s="2"/>
      <c r="BAY70" s="2"/>
      <c r="BAZ70" s="2"/>
      <c r="BBA70" s="2"/>
      <c r="BBB70" s="2"/>
      <c r="BBC70" s="2"/>
      <c r="BBD70" s="2"/>
      <c r="BBE70" s="2"/>
      <c r="BBF70" s="2"/>
      <c r="BBG70" s="2"/>
      <c r="BBH70" s="2"/>
      <c r="BBI70" s="2"/>
      <c r="BBJ70" s="2"/>
      <c r="BBK70" s="2"/>
      <c r="BBL70" s="2"/>
      <c r="BBM70" s="2"/>
      <c r="BBN70" s="2"/>
      <c r="BBO70" s="2"/>
      <c r="BBP70" s="2"/>
      <c r="BBQ70" s="2"/>
      <c r="BBR70" s="2"/>
      <c r="BBS70" s="2"/>
      <c r="BBT70" s="2"/>
      <c r="BBU70" s="2"/>
      <c r="BBV70" s="2"/>
      <c r="BBW70" s="2"/>
      <c r="BBX70" s="2"/>
      <c r="BBY70" s="2"/>
      <c r="BBZ70" s="2"/>
      <c r="BCA70" s="2"/>
      <c r="BCB70" s="2"/>
      <c r="BCC70" s="2"/>
      <c r="BCD70" s="2"/>
      <c r="BCE70" s="2"/>
      <c r="BCF70" s="2"/>
      <c r="BCG70" s="2"/>
      <c r="BCH70" s="2"/>
      <c r="BCI70" s="2"/>
      <c r="BCJ70" s="2"/>
      <c r="BCK70" s="2"/>
      <c r="BCL70" s="2"/>
      <c r="BCM70" s="2"/>
      <c r="BCN70" s="2"/>
      <c r="BCO70" s="2"/>
      <c r="BCP70" s="2"/>
      <c r="BCQ70" s="2"/>
      <c r="BCR70" s="2"/>
      <c r="BCS70" s="2"/>
      <c r="BCT70" s="2"/>
      <c r="BCU70" s="2"/>
      <c r="BCV70" s="2"/>
      <c r="BCW70" s="2"/>
      <c r="BCX70" s="2"/>
      <c r="BCY70" s="2"/>
      <c r="BCZ70" s="2"/>
      <c r="BDA70" s="2"/>
      <c r="BDB70" s="2"/>
      <c r="BDC70" s="2"/>
      <c r="BDD70" s="2"/>
      <c r="BDE70" s="2"/>
      <c r="BDF70" s="2"/>
      <c r="BDG70" s="2"/>
      <c r="BDH70" s="2"/>
      <c r="BDI70" s="2"/>
      <c r="BDJ70" s="2"/>
      <c r="BDK70" s="2"/>
      <c r="BDL70" s="2"/>
      <c r="BDM70" s="2"/>
      <c r="BDN70" s="2"/>
      <c r="BDO70" s="2"/>
      <c r="BDP70" s="2"/>
      <c r="BDQ70" s="2"/>
      <c r="BDR70" s="2"/>
      <c r="BDS70" s="2"/>
      <c r="BDT70" s="2"/>
      <c r="BDU70" s="2"/>
      <c r="BDV70" s="2"/>
      <c r="BDW70" s="2"/>
      <c r="BDX70" s="2"/>
      <c r="BDY70" s="2"/>
      <c r="BDZ70" s="2"/>
      <c r="BEA70" s="2"/>
      <c r="BEB70" s="2"/>
      <c r="BEC70" s="2"/>
      <c r="BED70" s="2"/>
      <c r="BEE70" s="2"/>
      <c r="BEF70" s="2"/>
      <c r="BEG70" s="2"/>
      <c r="BEH70" s="2"/>
      <c r="BEI70" s="2"/>
      <c r="BEJ70" s="2"/>
      <c r="BEK70" s="2"/>
      <c r="BEL70" s="2"/>
      <c r="BEM70" s="2"/>
      <c r="BEN70" s="2"/>
      <c r="BEO70" s="2"/>
      <c r="BEP70" s="2"/>
      <c r="BEQ70" s="2"/>
      <c r="BER70" s="2"/>
      <c r="BES70" s="2"/>
      <c r="BET70" s="2"/>
      <c r="BEU70" s="2"/>
      <c r="BEV70" s="2"/>
      <c r="BEW70" s="2"/>
      <c r="BEX70" s="2"/>
      <c r="BEY70" s="2"/>
      <c r="BEZ70" s="2"/>
      <c r="BFA70" s="2"/>
      <c r="BFB70" s="2"/>
      <c r="BFC70" s="2"/>
      <c r="BFD70" s="2"/>
      <c r="BFE70" s="2"/>
      <c r="BFF70" s="2"/>
      <c r="BFG70" s="2"/>
      <c r="BFH70" s="2"/>
      <c r="BFI70" s="2"/>
      <c r="BFJ70" s="2"/>
      <c r="BFK70" s="2"/>
      <c r="BFL70" s="2"/>
      <c r="BFM70" s="2"/>
      <c r="BFN70" s="2"/>
      <c r="BFO70" s="2"/>
      <c r="BFP70" s="2"/>
      <c r="BFQ70" s="2"/>
      <c r="BFR70" s="2"/>
      <c r="BFS70" s="2"/>
      <c r="BFT70" s="2"/>
      <c r="BFU70" s="2"/>
      <c r="BFV70" s="2"/>
      <c r="BFW70" s="2"/>
      <c r="BFX70" s="2"/>
      <c r="BFY70" s="2"/>
      <c r="BFZ70" s="2"/>
      <c r="BGA70" s="2"/>
      <c r="BGB70" s="2"/>
      <c r="BGC70" s="2"/>
      <c r="BGD70" s="2"/>
      <c r="BGE70" s="2"/>
      <c r="BGF70" s="2"/>
      <c r="BGG70" s="2"/>
      <c r="BGH70" s="2"/>
      <c r="BGI70" s="2"/>
      <c r="BGJ70" s="2"/>
      <c r="BGK70" s="2"/>
      <c r="BGL70" s="2"/>
      <c r="BGM70" s="2"/>
      <c r="BGN70" s="2"/>
      <c r="BGO70" s="2"/>
      <c r="BGP70" s="2"/>
      <c r="BGQ70" s="2"/>
      <c r="BGR70" s="2"/>
      <c r="BGS70" s="2"/>
      <c r="BGT70" s="2"/>
      <c r="BGU70" s="2"/>
      <c r="BGV70" s="2"/>
      <c r="BGW70" s="2"/>
      <c r="BGX70" s="2"/>
      <c r="BGY70" s="2"/>
      <c r="BGZ70" s="2"/>
      <c r="BHA70" s="2"/>
      <c r="BHB70" s="2"/>
      <c r="BHC70" s="2"/>
      <c r="BHD70" s="2"/>
      <c r="BHE70" s="2"/>
      <c r="BHF70" s="2"/>
      <c r="BHG70" s="2"/>
      <c r="BHH70" s="2"/>
      <c r="BHI70" s="2"/>
      <c r="BHJ70" s="2"/>
      <c r="BHK70" s="2"/>
      <c r="BHL70" s="2"/>
      <c r="BHM70" s="2"/>
      <c r="BHN70" s="2"/>
      <c r="BHO70" s="2"/>
      <c r="BHP70" s="2"/>
      <c r="BHQ70" s="2"/>
      <c r="BHR70" s="2"/>
      <c r="BHS70" s="2"/>
      <c r="BHT70" s="2"/>
      <c r="BHU70" s="2"/>
      <c r="BHV70" s="2"/>
      <c r="BHW70" s="2"/>
      <c r="BHX70" s="2"/>
      <c r="BHY70" s="2"/>
      <c r="BHZ70" s="2"/>
      <c r="BIA70" s="2"/>
      <c r="BIB70" s="2"/>
      <c r="BIC70" s="2"/>
      <c r="BID70" s="2"/>
      <c r="BIE70" s="2"/>
      <c r="BIF70" s="2"/>
      <c r="BIG70" s="2"/>
      <c r="BIH70" s="2"/>
      <c r="BII70" s="2"/>
      <c r="BIJ70" s="2"/>
      <c r="BIK70" s="2"/>
      <c r="BIL70" s="2"/>
      <c r="BIM70" s="2"/>
      <c r="BIN70" s="2"/>
      <c r="BIO70" s="2"/>
      <c r="BIP70" s="2"/>
      <c r="BIQ70" s="2"/>
      <c r="BIR70" s="2"/>
      <c r="BIS70" s="2"/>
      <c r="BIT70" s="2"/>
      <c r="BIU70" s="2"/>
      <c r="BIV70" s="2"/>
      <c r="BIW70" s="2"/>
      <c r="BIX70" s="2"/>
      <c r="BIY70" s="2"/>
      <c r="BIZ70" s="2"/>
      <c r="BJA70" s="2"/>
      <c r="BJB70" s="2"/>
      <c r="BJC70" s="2"/>
      <c r="BJD70" s="2"/>
      <c r="BJE70" s="2"/>
      <c r="BJF70" s="2"/>
      <c r="BJG70" s="2"/>
      <c r="BJH70" s="2"/>
      <c r="BJI70" s="2"/>
      <c r="BJJ70" s="2"/>
      <c r="BJK70" s="2"/>
      <c r="BJL70" s="2"/>
      <c r="BJM70" s="2"/>
      <c r="BJN70" s="2"/>
      <c r="BJO70" s="2"/>
      <c r="BJP70" s="2"/>
      <c r="BJQ70" s="2"/>
      <c r="BJR70" s="2"/>
      <c r="BJS70" s="2"/>
      <c r="BJT70" s="2"/>
      <c r="BJU70" s="2"/>
      <c r="BJV70" s="2"/>
      <c r="BJW70" s="2"/>
      <c r="BJX70" s="2"/>
      <c r="BJY70" s="2"/>
      <c r="BJZ70" s="2"/>
      <c r="BKA70" s="2"/>
      <c r="BKB70" s="2"/>
      <c r="BKC70" s="2"/>
      <c r="BKD70" s="2"/>
      <c r="BKE70" s="2"/>
      <c r="BKF70" s="2"/>
      <c r="BKG70" s="2"/>
      <c r="BKH70" s="2"/>
      <c r="BKI70" s="2"/>
      <c r="BKJ70" s="2"/>
      <c r="BKK70" s="2"/>
      <c r="BKL70" s="2"/>
      <c r="BKM70" s="2"/>
      <c r="BKN70" s="2"/>
      <c r="BKO70" s="2"/>
      <c r="BKP70" s="2"/>
      <c r="BKQ70" s="2"/>
      <c r="BKR70" s="2"/>
      <c r="BKS70" s="2"/>
      <c r="BKT70" s="2"/>
      <c r="BKU70" s="2"/>
      <c r="BKV70" s="2"/>
      <c r="BKW70" s="2"/>
      <c r="BKX70" s="2"/>
      <c r="BKY70" s="2"/>
      <c r="BKZ70" s="2"/>
      <c r="BLA70" s="2"/>
      <c r="BLB70" s="2"/>
      <c r="BLC70" s="2"/>
      <c r="BLD70" s="2"/>
      <c r="BLE70" s="2"/>
      <c r="BLF70" s="2"/>
      <c r="BLG70" s="2"/>
      <c r="BLH70" s="2"/>
      <c r="BLI70" s="2"/>
      <c r="BLJ70" s="2"/>
      <c r="BLK70" s="2"/>
      <c r="BLL70" s="2"/>
      <c r="BLM70" s="2"/>
      <c r="BLN70" s="2"/>
      <c r="BLO70" s="2"/>
      <c r="BLP70" s="2"/>
      <c r="BLQ70" s="2"/>
      <c r="BLR70" s="2"/>
      <c r="BLS70" s="2"/>
      <c r="BLT70" s="2"/>
      <c r="BLU70" s="2"/>
      <c r="BLV70" s="2"/>
      <c r="BLW70" s="2"/>
      <c r="BLX70" s="2"/>
      <c r="BLY70" s="2"/>
      <c r="BLZ70" s="2"/>
      <c r="BMA70" s="2"/>
      <c r="BMB70" s="2"/>
      <c r="BMC70" s="2"/>
      <c r="BMD70" s="2"/>
      <c r="BME70" s="2"/>
      <c r="BMF70" s="2"/>
      <c r="BMG70" s="2"/>
      <c r="BMH70" s="2"/>
      <c r="BMI70" s="2"/>
      <c r="BMJ70" s="2"/>
      <c r="BMK70" s="2"/>
      <c r="BML70" s="2"/>
      <c r="BMM70" s="2"/>
      <c r="BMN70" s="2"/>
      <c r="BMO70" s="2"/>
      <c r="BMP70" s="2"/>
      <c r="BMQ70" s="2"/>
      <c r="BMR70" s="2"/>
      <c r="BMS70" s="2"/>
      <c r="BMT70" s="2"/>
      <c r="BMU70" s="2"/>
      <c r="BMV70" s="2"/>
      <c r="BMW70" s="2"/>
      <c r="BMX70" s="2"/>
      <c r="BMY70" s="2"/>
      <c r="BMZ70" s="2"/>
      <c r="BNA70" s="2"/>
      <c r="BNB70" s="2"/>
      <c r="BNC70" s="2"/>
      <c r="BND70" s="2"/>
      <c r="BNE70" s="2"/>
      <c r="BNF70" s="2"/>
      <c r="BNG70" s="2"/>
      <c r="BNH70" s="2"/>
      <c r="BNI70" s="2"/>
      <c r="BNJ70" s="2"/>
      <c r="BNK70" s="2"/>
      <c r="BNL70" s="2"/>
      <c r="BNM70" s="2"/>
      <c r="BNN70" s="2"/>
      <c r="BNO70" s="2"/>
      <c r="BNP70" s="2"/>
      <c r="BNQ70" s="2"/>
      <c r="BNR70" s="2"/>
      <c r="BNS70" s="2"/>
      <c r="BNT70" s="2"/>
      <c r="BNU70" s="2"/>
      <c r="BNV70" s="2"/>
      <c r="BNW70" s="2"/>
      <c r="BNX70" s="2"/>
      <c r="BNY70" s="2"/>
      <c r="BNZ70" s="2"/>
      <c r="BOA70" s="2"/>
      <c r="BOB70" s="2"/>
      <c r="BOC70" s="2"/>
      <c r="BOD70" s="2"/>
      <c r="BOE70" s="2"/>
      <c r="BOF70" s="2"/>
      <c r="BOG70" s="2"/>
      <c r="BOH70" s="2"/>
      <c r="BOI70" s="2"/>
      <c r="BOJ70" s="2"/>
      <c r="BOK70" s="2"/>
      <c r="BOL70" s="2"/>
      <c r="BOM70" s="2"/>
      <c r="BON70" s="2"/>
      <c r="BOO70" s="2"/>
      <c r="BOP70" s="2"/>
      <c r="BOQ70" s="2"/>
      <c r="BOR70" s="2"/>
      <c r="BOS70" s="2"/>
      <c r="BOT70" s="2"/>
      <c r="BOU70" s="2"/>
      <c r="BOV70" s="2"/>
      <c r="BOW70" s="2"/>
      <c r="BOX70" s="2"/>
      <c r="BOY70" s="2"/>
      <c r="BOZ70" s="2"/>
      <c r="BPA70" s="2"/>
      <c r="BPB70" s="2"/>
      <c r="BPC70" s="2"/>
      <c r="BPD70" s="2"/>
      <c r="BPE70" s="2"/>
      <c r="BPF70" s="2"/>
      <c r="BPG70" s="2"/>
      <c r="BPH70" s="2"/>
      <c r="BPI70" s="2"/>
      <c r="BPJ70" s="2"/>
      <c r="BPK70" s="2"/>
      <c r="BPL70" s="2"/>
      <c r="BPM70" s="2"/>
      <c r="BPN70" s="2"/>
      <c r="BPO70" s="2"/>
      <c r="BPP70" s="2"/>
      <c r="BPQ70" s="2"/>
      <c r="BPR70" s="2"/>
      <c r="BPS70" s="2"/>
      <c r="BPT70" s="2"/>
      <c r="BPU70" s="2"/>
      <c r="BPV70" s="2"/>
      <c r="BPW70" s="2"/>
      <c r="BPX70" s="2"/>
      <c r="BPY70" s="2"/>
      <c r="BPZ70" s="2"/>
      <c r="BQA70" s="2"/>
      <c r="BQB70" s="2"/>
      <c r="BQC70" s="2"/>
      <c r="BQD70" s="2"/>
      <c r="BQE70" s="2"/>
      <c r="BQF70" s="2"/>
      <c r="BQG70" s="2"/>
      <c r="BQH70" s="2"/>
      <c r="BQI70" s="2"/>
      <c r="BQJ70" s="2"/>
      <c r="BQK70" s="2"/>
      <c r="BQL70" s="2"/>
      <c r="BQM70" s="2"/>
      <c r="BQN70" s="2"/>
      <c r="BQO70" s="2"/>
      <c r="BQP70" s="2"/>
      <c r="BQQ70" s="2"/>
      <c r="BQR70" s="2"/>
      <c r="BQS70" s="2"/>
      <c r="BQT70" s="2"/>
      <c r="BQU70" s="2"/>
      <c r="BQV70" s="2"/>
      <c r="BQW70" s="2"/>
      <c r="BQX70" s="2"/>
      <c r="BQY70" s="2"/>
      <c r="BQZ70" s="2"/>
      <c r="BRA70" s="2"/>
      <c r="BRB70" s="2"/>
      <c r="BRC70" s="2"/>
      <c r="BRD70" s="2"/>
      <c r="BRE70" s="2"/>
      <c r="BRF70" s="2"/>
      <c r="BRG70" s="2"/>
      <c r="BRH70" s="2"/>
      <c r="BRI70" s="2"/>
      <c r="BRJ70" s="2"/>
      <c r="BRK70" s="2"/>
      <c r="BRL70" s="2"/>
      <c r="BRM70" s="2"/>
      <c r="BRN70" s="2"/>
      <c r="BRO70" s="2"/>
      <c r="BRP70" s="2"/>
      <c r="BRQ70" s="2"/>
      <c r="BRR70" s="2"/>
      <c r="BRS70" s="2"/>
      <c r="BRT70" s="2"/>
      <c r="BRU70" s="2"/>
      <c r="BRV70" s="2"/>
      <c r="BRW70" s="2"/>
      <c r="BRX70" s="2"/>
      <c r="BRY70" s="2"/>
      <c r="BRZ70" s="2"/>
      <c r="BSA70" s="2"/>
      <c r="BSB70" s="2"/>
      <c r="BSC70" s="2"/>
      <c r="BSD70" s="2"/>
      <c r="BSE70" s="2"/>
      <c r="BSF70" s="2"/>
      <c r="BSG70" s="2"/>
      <c r="BSH70" s="2"/>
      <c r="BSI70" s="2"/>
      <c r="BSJ70" s="2"/>
      <c r="BSK70" s="2"/>
      <c r="BSL70" s="2"/>
      <c r="BSM70" s="2"/>
      <c r="BSN70" s="2"/>
      <c r="BSO70" s="2"/>
      <c r="BSP70" s="2"/>
      <c r="BSQ70" s="2"/>
      <c r="BSR70" s="2"/>
      <c r="BSS70" s="2"/>
      <c r="BST70" s="2"/>
      <c r="BSU70" s="2"/>
      <c r="BSV70" s="2"/>
      <c r="BSW70" s="2"/>
      <c r="BSX70" s="2"/>
      <c r="BSY70" s="2"/>
      <c r="BSZ70" s="2"/>
      <c r="BTA70" s="2"/>
      <c r="BTB70" s="2"/>
      <c r="BTC70" s="2"/>
      <c r="BTD70" s="2"/>
      <c r="BTE70" s="2"/>
      <c r="BTF70" s="2"/>
      <c r="BTG70" s="2"/>
      <c r="BTH70" s="2"/>
      <c r="BTI70" s="2"/>
      <c r="BTJ70" s="2"/>
      <c r="BTK70" s="2"/>
      <c r="BTL70" s="2"/>
      <c r="BTM70" s="2"/>
      <c r="BTN70" s="2"/>
      <c r="BTO70" s="2"/>
      <c r="BTP70" s="2"/>
      <c r="BTQ70" s="2"/>
      <c r="BTR70" s="2"/>
      <c r="BTS70" s="2"/>
      <c r="BTT70" s="2"/>
      <c r="BTU70" s="2"/>
      <c r="BTV70" s="2"/>
      <c r="BTW70" s="2"/>
      <c r="BTX70" s="2"/>
      <c r="BTY70" s="2"/>
      <c r="BTZ70" s="2"/>
      <c r="BUA70" s="2"/>
      <c r="BUB70" s="2"/>
      <c r="BUC70" s="2"/>
      <c r="BUD70" s="2"/>
      <c r="BUE70" s="2"/>
      <c r="BUF70" s="2"/>
      <c r="BUG70" s="2"/>
      <c r="BUH70" s="2"/>
      <c r="BUI70" s="2"/>
      <c r="BUJ70" s="2"/>
      <c r="BUK70" s="2"/>
      <c r="BUL70" s="2"/>
      <c r="BUM70" s="2"/>
      <c r="BUN70" s="2"/>
      <c r="BUO70" s="2"/>
      <c r="BUP70" s="2"/>
      <c r="BUQ70" s="2"/>
      <c r="BUR70" s="2"/>
      <c r="BUS70" s="2"/>
      <c r="BUT70" s="2"/>
      <c r="BUU70" s="2"/>
      <c r="BUV70" s="2"/>
      <c r="BUW70" s="2"/>
      <c r="BUX70" s="2"/>
      <c r="BUY70" s="2"/>
      <c r="BUZ70" s="2"/>
      <c r="BVA70" s="2"/>
      <c r="BVB70" s="2"/>
      <c r="BVC70" s="2"/>
      <c r="BVD70" s="2"/>
      <c r="BVE70" s="2"/>
      <c r="BVF70" s="2"/>
      <c r="BVG70" s="2"/>
      <c r="BVH70" s="2"/>
      <c r="BVI70" s="2"/>
      <c r="BVJ70" s="2"/>
      <c r="BVK70" s="2"/>
      <c r="BVL70" s="2"/>
      <c r="BVM70" s="2"/>
      <c r="BVN70" s="2"/>
      <c r="BVO70" s="2"/>
      <c r="BVP70" s="2"/>
      <c r="BVQ70" s="2"/>
      <c r="BVR70" s="2"/>
      <c r="BVS70" s="2"/>
      <c r="BVT70" s="2"/>
      <c r="BVU70" s="2"/>
      <c r="BVV70" s="2"/>
      <c r="BVW70" s="2"/>
      <c r="BVX70" s="2"/>
      <c r="BVY70" s="2"/>
      <c r="BVZ70" s="2"/>
      <c r="BWA70" s="2"/>
      <c r="BWB70" s="2"/>
      <c r="BWC70" s="2"/>
      <c r="BWD70" s="2"/>
      <c r="BWE70" s="2"/>
      <c r="BWF70" s="2"/>
      <c r="BWG70" s="2"/>
      <c r="BWH70" s="2"/>
      <c r="BWI70" s="2"/>
      <c r="BWJ70" s="2"/>
      <c r="BWK70" s="2"/>
      <c r="BWL70" s="2"/>
      <c r="BWM70" s="2"/>
      <c r="BWN70" s="2"/>
      <c r="BWO70" s="2"/>
      <c r="BWP70" s="2"/>
      <c r="BWQ70" s="2"/>
      <c r="BWR70" s="2"/>
      <c r="BWS70" s="2"/>
      <c r="BWT70" s="2"/>
      <c r="BWU70" s="2"/>
      <c r="BWV70" s="2"/>
      <c r="BWW70" s="2"/>
      <c r="BWX70" s="2"/>
      <c r="BWY70" s="2"/>
      <c r="BWZ70" s="2"/>
      <c r="BXA70" s="2"/>
      <c r="BXB70" s="2"/>
      <c r="BXC70" s="2"/>
      <c r="BXD70" s="2"/>
      <c r="BXE70" s="2"/>
      <c r="BXF70" s="2"/>
      <c r="BXG70" s="2"/>
      <c r="BXH70" s="2"/>
      <c r="BXI70" s="2"/>
      <c r="BXJ70" s="2"/>
      <c r="BXK70" s="2"/>
      <c r="BXL70" s="2"/>
      <c r="BXM70" s="2"/>
      <c r="BXN70" s="2"/>
      <c r="BXO70" s="2"/>
      <c r="BXP70" s="2"/>
      <c r="BXQ70" s="2"/>
      <c r="BXR70" s="2"/>
      <c r="BXS70" s="2"/>
      <c r="BXT70" s="2"/>
      <c r="BXU70" s="2"/>
      <c r="BXV70" s="2"/>
      <c r="BXW70" s="2"/>
      <c r="BXX70" s="2"/>
      <c r="BXY70" s="2"/>
      <c r="BXZ70" s="2"/>
      <c r="BYA70" s="2"/>
      <c r="BYB70" s="2"/>
      <c r="BYC70" s="2"/>
      <c r="BYD70" s="2"/>
      <c r="BYE70" s="2"/>
      <c r="BYF70" s="2"/>
      <c r="BYG70" s="2"/>
      <c r="BYH70" s="2"/>
      <c r="BYI70" s="2"/>
      <c r="BYJ70" s="2"/>
      <c r="BYK70" s="2"/>
      <c r="BYL70" s="2"/>
      <c r="BYM70" s="2"/>
      <c r="BYN70" s="2"/>
      <c r="BYO70" s="2"/>
      <c r="BYP70" s="2"/>
      <c r="BYQ70" s="2"/>
      <c r="BYR70" s="2"/>
      <c r="BYS70" s="2"/>
      <c r="BYT70" s="2"/>
      <c r="BYU70" s="2"/>
      <c r="BYV70" s="2"/>
      <c r="BYW70" s="2"/>
      <c r="BYX70" s="2"/>
      <c r="BYY70" s="2"/>
      <c r="BYZ70" s="2"/>
      <c r="BZA70" s="2"/>
      <c r="BZB70" s="2"/>
      <c r="BZC70" s="2"/>
      <c r="BZD70" s="2"/>
      <c r="BZE70" s="2"/>
      <c r="BZF70" s="2"/>
      <c r="BZG70" s="2"/>
      <c r="BZH70" s="2"/>
      <c r="BZI70" s="2"/>
      <c r="BZJ70" s="2"/>
      <c r="BZK70" s="2"/>
      <c r="BZL70" s="2"/>
      <c r="BZM70" s="2"/>
      <c r="BZN70" s="2"/>
      <c r="BZO70" s="2"/>
      <c r="BZP70" s="2"/>
      <c r="BZQ70" s="2"/>
      <c r="BZR70" s="2"/>
      <c r="BZS70" s="2"/>
      <c r="BZT70" s="2"/>
      <c r="BZU70" s="2"/>
      <c r="BZV70" s="2"/>
      <c r="BZW70" s="2"/>
      <c r="BZX70" s="2"/>
      <c r="BZY70" s="2"/>
      <c r="BZZ70" s="2"/>
      <c r="CAA70" s="2"/>
      <c r="CAB70" s="2"/>
      <c r="CAC70" s="2"/>
      <c r="CAD70" s="2"/>
      <c r="CAE70" s="2"/>
      <c r="CAF70" s="2"/>
      <c r="CAG70" s="2"/>
      <c r="CAH70" s="2"/>
      <c r="CAI70" s="2"/>
      <c r="CAJ70" s="2"/>
      <c r="CAK70" s="2"/>
      <c r="CAL70" s="2"/>
      <c r="CAM70" s="2"/>
      <c r="CAN70" s="2"/>
      <c r="CAO70" s="2"/>
      <c r="CAP70" s="2"/>
      <c r="CAQ70" s="2"/>
      <c r="CAR70" s="2"/>
      <c r="CAS70" s="2"/>
      <c r="CAT70" s="2"/>
      <c r="CAU70" s="2"/>
      <c r="CAV70" s="2"/>
      <c r="CAW70" s="2"/>
      <c r="CAX70" s="2"/>
      <c r="CAY70" s="2"/>
      <c r="CAZ70" s="2"/>
      <c r="CBA70" s="2"/>
      <c r="CBB70" s="2"/>
      <c r="CBC70" s="2"/>
      <c r="CBD70" s="2"/>
      <c r="CBE70" s="2"/>
      <c r="CBF70" s="2"/>
      <c r="CBG70" s="2"/>
      <c r="CBH70" s="2"/>
      <c r="CBI70" s="2"/>
      <c r="CBJ70" s="2"/>
      <c r="CBK70" s="2"/>
      <c r="CBL70" s="2"/>
      <c r="CBM70" s="2"/>
      <c r="CBN70" s="2"/>
      <c r="CBO70" s="2"/>
      <c r="CBP70" s="2"/>
      <c r="CBQ70" s="2"/>
      <c r="CBR70" s="2"/>
      <c r="CBS70" s="2"/>
      <c r="CBT70" s="2"/>
      <c r="CBU70" s="2"/>
      <c r="CBV70" s="2"/>
      <c r="CBW70" s="2"/>
      <c r="CBX70" s="2"/>
      <c r="CBY70" s="2"/>
      <c r="CBZ70" s="2"/>
      <c r="CCA70" s="2"/>
      <c r="CCB70" s="2"/>
      <c r="CCC70" s="2"/>
      <c r="CCD70" s="2"/>
      <c r="CCE70" s="2"/>
      <c r="CCF70" s="2"/>
      <c r="CCG70" s="2"/>
      <c r="CCH70" s="2"/>
      <c r="CCI70" s="2"/>
      <c r="CCJ70" s="2"/>
      <c r="CCK70" s="2"/>
      <c r="CCL70" s="2"/>
      <c r="CCM70" s="2"/>
      <c r="CCN70" s="2"/>
      <c r="CCO70" s="2"/>
      <c r="CCP70" s="2"/>
      <c r="CCQ70" s="2"/>
      <c r="CCR70" s="2"/>
      <c r="CCS70" s="2"/>
      <c r="CCT70" s="2"/>
      <c r="CCU70" s="2"/>
      <c r="CCV70" s="2"/>
      <c r="CCW70" s="2"/>
      <c r="CCX70" s="2"/>
      <c r="CCY70" s="2"/>
      <c r="CCZ70" s="2"/>
      <c r="CDA70" s="2"/>
      <c r="CDB70" s="2"/>
      <c r="CDC70" s="2"/>
      <c r="CDD70" s="2"/>
      <c r="CDE70" s="2"/>
      <c r="CDF70" s="2"/>
      <c r="CDG70" s="2"/>
      <c r="CDH70" s="2"/>
      <c r="CDI70" s="2"/>
      <c r="CDJ70" s="2"/>
      <c r="CDK70" s="2"/>
      <c r="CDL70" s="2"/>
      <c r="CDM70" s="2"/>
      <c r="CDN70" s="2"/>
      <c r="CDO70" s="2"/>
      <c r="CDP70" s="2"/>
      <c r="CDQ70" s="2"/>
      <c r="CDR70" s="2"/>
      <c r="CDS70" s="2"/>
      <c r="CDT70" s="2"/>
      <c r="CDU70" s="2"/>
      <c r="CDV70" s="2"/>
      <c r="CDW70" s="2"/>
      <c r="CDX70" s="2"/>
      <c r="CDY70" s="2"/>
      <c r="CDZ70" s="2"/>
      <c r="CEA70" s="2"/>
      <c r="CEB70" s="2"/>
      <c r="CEC70" s="2"/>
      <c r="CED70" s="2"/>
      <c r="CEE70" s="2"/>
      <c r="CEF70" s="2"/>
      <c r="CEG70" s="2"/>
      <c r="CEH70" s="2"/>
      <c r="CEI70" s="2"/>
      <c r="CEJ70" s="2"/>
      <c r="CEK70" s="2"/>
      <c r="CEL70" s="2"/>
      <c r="CEM70" s="2"/>
      <c r="CEN70" s="2"/>
      <c r="CEO70" s="2"/>
      <c r="CEP70" s="2"/>
      <c r="CEQ70" s="2"/>
      <c r="CER70" s="2"/>
      <c r="CES70" s="2"/>
      <c r="CET70" s="2"/>
      <c r="CEU70" s="2"/>
      <c r="CEV70" s="2"/>
      <c r="CEW70" s="2"/>
      <c r="CEX70" s="2"/>
      <c r="CEY70" s="2"/>
      <c r="CEZ70" s="2"/>
      <c r="CFA70" s="2"/>
      <c r="CFB70" s="2"/>
      <c r="CFC70" s="2"/>
      <c r="CFD70" s="2"/>
      <c r="CFE70" s="2"/>
      <c r="CFF70" s="2"/>
      <c r="CFG70" s="2"/>
      <c r="CFH70" s="2"/>
      <c r="CFI70" s="2"/>
      <c r="CFJ70" s="2"/>
      <c r="CFK70" s="2"/>
      <c r="CFL70" s="2"/>
      <c r="CFM70" s="2"/>
      <c r="CFN70" s="2"/>
      <c r="CFO70" s="2"/>
      <c r="CFP70" s="2"/>
      <c r="CFQ70" s="2"/>
      <c r="CFR70" s="2"/>
      <c r="CFS70" s="2"/>
      <c r="CFT70" s="2"/>
      <c r="CFU70" s="2"/>
      <c r="CFV70" s="2"/>
      <c r="CFW70" s="2"/>
      <c r="CFX70" s="2"/>
      <c r="CFY70" s="2"/>
      <c r="CFZ70" s="2"/>
      <c r="CGA70" s="2"/>
      <c r="CGB70" s="2"/>
      <c r="CGC70" s="2"/>
      <c r="CGD70" s="2"/>
      <c r="CGE70" s="2"/>
      <c r="CGF70" s="2"/>
      <c r="CGG70" s="2"/>
      <c r="CGH70" s="2"/>
      <c r="CGI70" s="2"/>
      <c r="CGJ70" s="2"/>
      <c r="CGK70" s="2"/>
      <c r="CGL70" s="2"/>
      <c r="CGM70" s="2"/>
      <c r="CGN70" s="2"/>
      <c r="CGO70" s="2"/>
      <c r="CGP70" s="2"/>
      <c r="CGQ70" s="2"/>
      <c r="CGR70" s="2"/>
      <c r="CGS70" s="2"/>
      <c r="CGT70" s="2"/>
      <c r="CGU70" s="2"/>
      <c r="CGV70" s="2"/>
      <c r="CGW70" s="2"/>
      <c r="CGX70" s="2"/>
      <c r="CGY70" s="2"/>
      <c r="CGZ70" s="2"/>
      <c r="CHA70" s="2"/>
      <c r="CHB70" s="2"/>
      <c r="CHC70" s="2"/>
      <c r="CHD70" s="2"/>
      <c r="CHE70" s="2"/>
      <c r="CHF70" s="2"/>
      <c r="CHG70" s="2"/>
      <c r="CHH70" s="2"/>
      <c r="CHI70" s="2"/>
      <c r="CHJ70" s="2"/>
      <c r="CHK70" s="2"/>
      <c r="CHL70" s="2"/>
      <c r="CHM70" s="2"/>
      <c r="CHN70" s="2"/>
      <c r="CHO70" s="2"/>
      <c r="CHP70" s="2"/>
      <c r="CHQ70" s="2"/>
      <c r="CHR70" s="2"/>
      <c r="CHS70" s="2"/>
      <c r="CHT70" s="2"/>
      <c r="CHU70" s="2"/>
      <c r="CHV70" s="2"/>
      <c r="CHW70" s="2"/>
      <c r="CHX70" s="2"/>
      <c r="CHY70" s="2"/>
      <c r="CHZ70" s="2"/>
      <c r="CIA70" s="2"/>
      <c r="CIB70" s="2"/>
      <c r="CIC70" s="2"/>
      <c r="CID70" s="2"/>
      <c r="CIE70" s="2"/>
      <c r="CIF70" s="2"/>
      <c r="CIG70" s="2"/>
      <c r="CIH70" s="2"/>
      <c r="CII70" s="2"/>
      <c r="CIJ70" s="2"/>
      <c r="CIK70" s="2"/>
      <c r="CIL70" s="2"/>
      <c r="CIM70" s="2"/>
      <c r="CIN70" s="2"/>
      <c r="CIO70" s="2"/>
      <c r="CIP70" s="2"/>
      <c r="CIQ70" s="2"/>
      <c r="CIR70" s="2"/>
      <c r="CIS70" s="2"/>
      <c r="CIT70" s="2"/>
      <c r="CIU70" s="2"/>
      <c r="CIV70" s="2"/>
      <c r="CIW70" s="2"/>
      <c r="CIX70" s="2"/>
      <c r="CIY70" s="2"/>
      <c r="CIZ70" s="2"/>
      <c r="CJA70" s="2"/>
      <c r="CJB70" s="2"/>
      <c r="CJC70" s="2"/>
      <c r="CJD70" s="2"/>
      <c r="CJE70" s="2"/>
      <c r="CJF70" s="2"/>
      <c r="CJG70" s="2"/>
      <c r="CJH70" s="2"/>
      <c r="CJI70" s="2"/>
      <c r="CJJ70" s="2"/>
      <c r="CJK70" s="2"/>
      <c r="CJL70" s="2"/>
      <c r="CJM70" s="2"/>
      <c r="CJN70" s="2"/>
      <c r="CJO70" s="2"/>
      <c r="CJP70" s="2"/>
      <c r="CJQ70" s="2"/>
      <c r="CJR70" s="2"/>
      <c r="CJS70" s="2"/>
      <c r="CJT70" s="2"/>
      <c r="CJU70" s="2"/>
      <c r="CJV70" s="2"/>
      <c r="CJW70" s="2"/>
      <c r="CJX70" s="2"/>
      <c r="CJY70" s="2"/>
      <c r="CJZ70" s="2"/>
      <c r="CKA70" s="2"/>
      <c r="CKB70" s="2"/>
      <c r="CKC70" s="2"/>
      <c r="CKD70" s="2"/>
      <c r="CKE70" s="2"/>
      <c r="CKF70" s="2"/>
      <c r="CKG70" s="2"/>
      <c r="CKH70" s="2"/>
      <c r="CKI70" s="2"/>
      <c r="CKJ70" s="2"/>
      <c r="CKK70" s="2"/>
      <c r="CKL70" s="2"/>
      <c r="CKM70" s="2"/>
      <c r="CKN70" s="2"/>
      <c r="CKO70" s="2"/>
      <c r="CKP70" s="2"/>
      <c r="CKQ70" s="2"/>
      <c r="CKR70" s="2"/>
      <c r="CKS70" s="2"/>
      <c r="CKT70" s="2"/>
      <c r="CKU70" s="2"/>
      <c r="CKV70" s="2"/>
      <c r="CKW70" s="2"/>
      <c r="CKX70" s="2"/>
      <c r="CKY70" s="2"/>
      <c r="CKZ70" s="2"/>
      <c r="CLA70" s="2"/>
      <c r="CLB70" s="2"/>
      <c r="CLC70" s="2"/>
      <c r="CLD70" s="2"/>
      <c r="CLE70" s="2"/>
      <c r="CLF70" s="2"/>
      <c r="CLG70" s="2"/>
      <c r="CLH70" s="2"/>
      <c r="CLI70" s="2"/>
      <c r="CLJ70" s="2"/>
      <c r="CLK70" s="2"/>
      <c r="CLL70" s="2"/>
      <c r="CLM70" s="2"/>
      <c r="CLN70" s="2"/>
      <c r="CLO70" s="2"/>
      <c r="CLP70" s="2"/>
      <c r="CLQ70" s="2"/>
      <c r="CLR70" s="2"/>
      <c r="CLS70" s="2"/>
      <c r="CLT70" s="2"/>
      <c r="CLU70" s="2"/>
      <c r="CLV70" s="2"/>
      <c r="CLW70" s="2"/>
      <c r="CLX70" s="2"/>
      <c r="CLY70" s="2"/>
      <c r="CLZ70" s="2"/>
      <c r="CMA70" s="2"/>
      <c r="CMB70" s="2"/>
      <c r="CMC70" s="2"/>
      <c r="CMD70" s="2"/>
      <c r="CME70" s="2"/>
      <c r="CMF70" s="2"/>
      <c r="CMG70" s="2"/>
      <c r="CMH70" s="2"/>
      <c r="CMI70" s="2"/>
      <c r="CMJ70" s="2"/>
      <c r="CMK70" s="2"/>
      <c r="CML70" s="2"/>
      <c r="CMM70" s="2"/>
      <c r="CMN70" s="2"/>
      <c r="CMO70" s="2"/>
      <c r="CMP70" s="2"/>
      <c r="CMQ70" s="2"/>
      <c r="CMR70" s="2"/>
      <c r="CMS70" s="2"/>
      <c r="CMT70" s="2"/>
      <c r="CMU70" s="2"/>
      <c r="CMV70" s="2"/>
      <c r="CMW70" s="2"/>
      <c r="CMX70" s="2"/>
      <c r="CMY70" s="2"/>
      <c r="CMZ70" s="2"/>
      <c r="CNA70" s="2"/>
      <c r="CNB70" s="2"/>
      <c r="CNC70" s="2"/>
      <c r="CND70" s="2"/>
      <c r="CNE70" s="2"/>
      <c r="CNF70" s="2"/>
      <c r="CNG70" s="2"/>
      <c r="CNH70" s="2"/>
      <c r="CNI70" s="2"/>
      <c r="CNJ70" s="2"/>
      <c r="CNK70" s="2"/>
      <c r="CNL70" s="2"/>
      <c r="CNM70" s="2"/>
      <c r="CNN70" s="2"/>
      <c r="CNO70" s="2"/>
      <c r="CNP70" s="2"/>
      <c r="CNQ70" s="2"/>
      <c r="CNR70" s="2"/>
      <c r="CNS70" s="2"/>
      <c r="CNT70" s="2"/>
      <c r="CNU70" s="2"/>
      <c r="CNV70" s="2"/>
      <c r="CNW70" s="2"/>
      <c r="CNX70" s="2"/>
      <c r="CNY70" s="2"/>
      <c r="CNZ70" s="2"/>
      <c r="COA70" s="2"/>
      <c r="COB70" s="2"/>
      <c r="COC70" s="2"/>
      <c r="COD70" s="2"/>
      <c r="COE70" s="2"/>
      <c r="COF70" s="2"/>
      <c r="COG70" s="2"/>
      <c r="COH70" s="2"/>
      <c r="COI70" s="2"/>
      <c r="COJ70" s="2"/>
      <c r="COK70" s="2"/>
      <c r="COL70" s="2"/>
      <c r="COM70" s="2"/>
      <c r="CON70" s="2"/>
      <c r="COO70" s="2"/>
      <c r="COP70" s="2"/>
      <c r="COQ70" s="2"/>
      <c r="COR70" s="2"/>
      <c r="COS70" s="2"/>
      <c r="COT70" s="2"/>
      <c r="COU70" s="2"/>
      <c r="COV70" s="2"/>
      <c r="COW70" s="2"/>
      <c r="COX70" s="2"/>
      <c r="COY70" s="2"/>
      <c r="COZ70" s="2"/>
      <c r="CPA70" s="2"/>
      <c r="CPB70" s="2"/>
      <c r="CPC70" s="2"/>
      <c r="CPD70" s="2"/>
      <c r="CPE70" s="2"/>
      <c r="CPF70" s="2"/>
      <c r="CPG70" s="2"/>
      <c r="CPH70" s="2"/>
      <c r="CPI70" s="2"/>
      <c r="CPJ70" s="2"/>
      <c r="CPK70" s="2"/>
      <c r="CPL70" s="2"/>
      <c r="CPM70" s="2"/>
      <c r="CPN70" s="2"/>
      <c r="CPO70" s="2"/>
      <c r="CPP70" s="2"/>
      <c r="CPQ70" s="2"/>
      <c r="CPR70" s="2"/>
      <c r="CPS70" s="2"/>
      <c r="CPT70" s="2"/>
      <c r="CPU70" s="2"/>
      <c r="CPV70" s="2"/>
      <c r="CPW70" s="2"/>
      <c r="CPX70" s="2"/>
      <c r="CPY70" s="2"/>
      <c r="CPZ70" s="2"/>
      <c r="CQA70" s="2"/>
      <c r="CQB70" s="2"/>
      <c r="CQC70" s="2"/>
      <c r="CQD70" s="2"/>
      <c r="CQE70" s="2"/>
      <c r="CQF70" s="2"/>
      <c r="CQG70" s="2"/>
      <c r="CQH70" s="2"/>
      <c r="CQI70" s="2"/>
      <c r="CQJ70" s="2"/>
      <c r="CQK70" s="2"/>
      <c r="CQL70" s="2"/>
      <c r="CQM70" s="2"/>
      <c r="CQN70" s="2"/>
      <c r="CQO70" s="2"/>
      <c r="CQP70" s="2"/>
      <c r="CQQ70" s="2"/>
      <c r="CQR70" s="2"/>
      <c r="CQS70" s="2"/>
      <c r="CQT70" s="2"/>
      <c r="CQU70" s="2"/>
      <c r="CQV70" s="2"/>
      <c r="CQW70" s="2"/>
      <c r="CQX70" s="2"/>
      <c r="CQY70" s="2"/>
      <c r="CQZ70" s="2"/>
      <c r="CRA70" s="2"/>
      <c r="CRB70" s="2"/>
      <c r="CRC70" s="2"/>
      <c r="CRD70" s="2"/>
      <c r="CRE70" s="2"/>
      <c r="CRF70" s="2"/>
      <c r="CRG70" s="2"/>
      <c r="CRH70" s="2"/>
      <c r="CRI70" s="2"/>
      <c r="CRJ70" s="2"/>
      <c r="CRK70" s="2"/>
      <c r="CRL70" s="2"/>
      <c r="CRM70" s="2"/>
      <c r="CRN70" s="2"/>
      <c r="CRO70" s="2"/>
      <c r="CRP70" s="2"/>
      <c r="CRQ70" s="2"/>
      <c r="CRR70" s="2"/>
      <c r="CRS70" s="2"/>
      <c r="CRT70" s="2"/>
      <c r="CRU70" s="2"/>
      <c r="CRV70" s="2"/>
      <c r="CRW70" s="2"/>
      <c r="CRX70" s="2"/>
      <c r="CRY70" s="2"/>
      <c r="CRZ70" s="2"/>
      <c r="CSA70" s="2"/>
      <c r="CSB70" s="2"/>
      <c r="CSC70" s="2"/>
      <c r="CSD70" s="2"/>
      <c r="CSE70" s="2"/>
      <c r="CSF70" s="2"/>
      <c r="CSG70" s="2"/>
      <c r="CSH70" s="2"/>
      <c r="CSI70" s="2"/>
      <c r="CSJ70" s="2"/>
      <c r="CSK70" s="2"/>
      <c r="CSL70" s="2"/>
      <c r="CSM70" s="2"/>
      <c r="CSN70" s="2"/>
      <c r="CSO70" s="2"/>
      <c r="CSP70" s="2"/>
      <c r="CSQ70" s="2"/>
      <c r="CSR70" s="2"/>
      <c r="CSS70" s="2"/>
      <c r="CST70" s="2"/>
      <c r="CSU70" s="2"/>
      <c r="CSV70" s="2"/>
      <c r="CSW70" s="2"/>
      <c r="CSX70" s="2"/>
      <c r="CSY70" s="2"/>
      <c r="CSZ70" s="2"/>
      <c r="CTA70" s="2"/>
      <c r="CTB70" s="2"/>
      <c r="CTC70" s="2"/>
      <c r="CTD70" s="2"/>
      <c r="CTE70" s="2"/>
      <c r="CTF70" s="2"/>
      <c r="CTG70" s="2"/>
      <c r="CTH70" s="2"/>
      <c r="CTI70" s="2"/>
      <c r="CTJ70" s="2"/>
      <c r="CTK70" s="2"/>
      <c r="CTL70" s="2"/>
      <c r="CTM70" s="2"/>
      <c r="CTN70" s="2"/>
      <c r="CTO70" s="2"/>
      <c r="CTP70" s="2"/>
      <c r="CTQ70" s="2"/>
      <c r="CTR70" s="2"/>
      <c r="CTS70" s="2"/>
      <c r="CTT70" s="2"/>
      <c r="CTU70" s="2"/>
      <c r="CTV70" s="2"/>
      <c r="CTW70" s="2"/>
      <c r="CTX70" s="2"/>
      <c r="CTY70" s="2"/>
      <c r="CTZ70" s="2"/>
      <c r="CUA70" s="2"/>
      <c r="CUB70" s="2"/>
      <c r="CUC70" s="2"/>
      <c r="CUD70" s="2"/>
      <c r="CUE70" s="2"/>
      <c r="CUF70" s="2"/>
      <c r="CUG70" s="2"/>
      <c r="CUH70" s="2"/>
      <c r="CUI70" s="2"/>
      <c r="CUJ70" s="2"/>
      <c r="CUK70" s="2"/>
      <c r="CUL70" s="2"/>
      <c r="CUM70" s="2"/>
      <c r="CUN70" s="2"/>
      <c r="CUO70" s="2"/>
      <c r="CUP70" s="2"/>
      <c r="CUQ70" s="2"/>
      <c r="CUR70" s="2"/>
      <c r="CUS70" s="2"/>
      <c r="CUT70" s="2"/>
      <c r="CUU70" s="2"/>
      <c r="CUV70" s="2"/>
      <c r="CUW70" s="2"/>
      <c r="CUX70" s="2"/>
      <c r="CUY70" s="2"/>
      <c r="CUZ70" s="2"/>
      <c r="CVA70" s="2"/>
      <c r="CVB70" s="2"/>
      <c r="CVC70" s="2"/>
      <c r="CVD70" s="2"/>
      <c r="CVE70" s="2"/>
      <c r="CVF70" s="2"/>
      <c r="CVG70" s="2"/>
      <c r="CVH70" s="2"/>
      <c r="CVI70" s="2"/>
      <c r="CVJ70" s="2"/>
      <c r="CVK70" s="2"/>
      <c r="CVL70" s="2"/>
      <c r="CVM70" s="2"/>
      <c r="CVN70" s="2"/>
      <c r="CVO70" s="2"/>
      <c r="CVP70" s="2"/>
      <c r="CVQ70" s="2"/>
      <c r="CVR70" s="2"/>
      <c r="CVS70" s="2"/>
      <c r="CVT70" s="2"/>
      <c r="CVU70" s="2"/>
      <c r="CVV70" s="2"/>
      <c r="CVW70" s="2"/>
      <c r="CVX70" s="2"/>
      <c r="CVY70" s="2"/>
      <c r="CVZ70" s="2"/>
      <c r="CWA70" s="2"/>
      <c r="CWB70" s="2"/>
      <c r="CWC70" s="2"/>
      <c r="CWD70" s="2"/>
      <c r="CWE70" s="2"/>
      <c r="CWF70" s="2"/>
      <c r="CWG70" s="2"/>
      <c r="CWH70" s="2"/>
      <c r="CWI70" s="2"/>
      <c r="CWJ70" s="2"/>
      <c r="CWK70" s="2"/>
      <c r="CWL70" s="2"/>
      <c r="CWM70" s="2"/>
      <c r="CWN70" s="2"/>
      <c r="CWO70" s="2"/>
      <c r="CWP70" s="2"/>
      <c r="CWQ70" s="2"/>
      <c r="CWR70" s="2"/>
      <c r="CWS70" s="2"/>
      <c r="CWT70" s="2"/>
      <c r="CWU70" s="2"/>
      <c r="CWV70" s="2"/>
      <c r="CWW70" s="2"/>
      <c r="CWX70" s="2"/>
      <c r="CWY70" s="2"/>
      <c r="CWZ70" s="2"/>
      <c r="CXA70" s="2"/>
      <c r="CXB70" s="2"/>
      <c r="CXC70" s="2"/>
      <c r="CXD70" s="2"/>
      <c r="CXE70" s="2"/>
      <c r="CXF70" s="2"/>
      <c r="CXG70" s="2"/>
      <c r="CXH70" s="2"/>
      <c r="CXI70" s="2"/>
      <c r="CXJ70" s="2"/>
      <c r="CXK70" s="2"/>
      <c r="CXL70" s="2"/>
      <c r="CXM70" s="2"/>
      <c r="CXN70" s="2"/>
      <c r="CXO70" s="2"/>
      <c r="CXP70" s="2"/>
      <c r="CXQ70" s="2"/>
      <c r="CXR70" s="2"/>
      <c r="CXS70" s="2"/>
      <c r="CXT70" s="2"/>
      <c r="CXU70" s="2"/>
      <c r="CXV70" s="2"/>
      <c r="CXW70" s="2"/>
      <c r="CXX70" s="2"/>
      <c r="CXY70" s="2"/>
      <c r="CXZ70" s="2"/>
      <c r="CYA70" s="2"/>
      <c r="CYB70" s="2"/>
      <c r="CYC70" s="2"/>
      <c r="CYD70" s="2"/>
      <c r="CYE70" s="2"/>
      <c r="CYF70" s="2"/>
      <c r="CYG70" s="2"/>
      <c r="CYH70" s="2"/>
      <c r="CYI70" s="2"/>
      <c r="CYJ70" s="2"/>
      <c r="CYK70" s="2"/>
      <c r="CYL70" s="2"/>
      <c r="CYM70" s="2"/>
      <c r="CYN70" s="2"/>
      <c r="CYO70" s="2"/>
      <c r="CYP70" s="2"/>
      <c r="CYQ70" s="2"/>
      <c r="CYR70" s="2"/>
      <c r="CYS70" s="2"/>
      <c r="CYT70" s="2"/>
      <c r="CYU70" s="2"/>
      <c r="CYV70" s="2"/>
      <c r="CYW70" s="2"/>
      <c r="CYX70" s="2"/>
      <c r="CYY70" s="2"/>
      <c r="CYZ70" s="2"/>
      <c r="CZA70" s="2"/>
      <c r="CZB70" s="2"/>
      <c r="CZC70" s="2"/>
      <c r="CZD70" s="2"/>
      <c r="CZE70" s="2"/>
      <c r="CZF70" s="2"/>
      <c r="CZG70" s="2"/>
      <c r="CZH70" s="2"/>
      <c r="CZI70" s="2"/>
      <c r="CZJ70" s="2"/>
      <c r="CZK70" s="2"/>
      <c r="CZL70" s="2"/>
      <c r="CZM70" s="2"/>
      <c r="CZN70" s="2"/>
      <c r="CZO70" s="2"/>
      <c r="CZP70" s="2"/>
      <c r="CZQ70" s="2"/>
      <c r="CZR70" s="2"/>
      <c r="CZS70" s="2"/>
      <c r="CZT70" s="2"/>
      <c r="CZU70" s="2"/>
      <c r="CZV70" s="2"/>
      <c r="CZW70" s="2"/>
      <c r="CZX70" s="2"/>
      <c r="CZY70" s="2"/>
      <c r="CZZ70" s="2"/>
      <c r="DAA70" s="2"/>
      <c r="DAB70" s="2"/>
      <c r="DAC70" s="2"/>
      <c r="DAD70" s="2"/>
      <c r="DAE70" s="2"/>
      <c r="DAF70" s="2"/>
      <c r="DAG70" s="2"/>
      <c r="DAH70" s="2"/>
      <c r="DAI70" s="2"/>
      <c r="DAJ70" s="2"/>
      <c r="DAK70" s="2"/>
      <c r="DAL70" s="2"/>
      <c r="DAM70" s="2"/>
      <c r="DAN70" s="2"/>
      <c r="DAO70" s="2"/>
      <c r="DAP70" s="2"/>
      <c r="DAQ70" s="2"/>
      <c r="DAR70" s="2"/>
      <c r="DAS70" s="2"/>
      <c r="DAT70" s="2"/>
      <c r="DAU70" s="2"/>
      <c r="DAV70" s="2"/>
      <c r="DAW70" s="2"/>
      <c r="DAX70" s="2"/>
      <c r="DAY70" s="2"/>
      <c r="DAZ70" s="2"/>
      <c r="DBA70" s="2"/>
      <c r="DBB70" s="2"/>
      <c r="DBC70" s="2"/>
      <c r="DBD70" s="2"/>
      <c r="DBE70" s="2"/>
      <c r="DBF70" s="2"/>
      <c r="DBG70" s="2"/>
      <c r="DBH70" s="2"/>
      <c r="DBI70" s="2"/>
      <c r="DBJ70" s="2"/>
      <c r="DBK70" s="2"/>
      <c r="DBL70" s="2"/>
      <c r="DBM70" s="2"/>
      <c r="DBN70" s="2"/>
      <c r="DBO70" s="2"/>
      <c r="DBP70" s="2"/>
      <c r="DBQ70" s="2"/>
      <c r="DBR70" s="2"/>
      <c r="DBS70" s="2"/>
      <c r="DBT70" s="2"/>
      <c r="DBU70" s="2"/>
      <c r="DBV70" s="2"/>
      <c r="DBW70" s="2"/>
      <c r="DBX70" s="2"/>
      <c r="DBY70" s="2"/>
      <c r="DBZ70" s="2"/>
      <c r="DCA70" s="2"/>
      <c r="DCB70" s="2"/>
      <c r="DCC70" s="2"/>
      <c r="DCD70" s="2"/>
      <c r="DCE70" s="2"/>
      <c r="DCF70" s="2"/>
      <c r="DCG70" s="2"/>
      <c r="DCH70" s="2"/>
      <c r="DCI70" s="2"/>
      <c r="DCJ70" s="2"/>
      <c r="DCK70" s="2"/>
      <c r="DCL70" s="2"/>
      <c r="DCM70" s="2"/>
      <c r="DCN70" s="2"/>
      <c r="DCO70" s="2"/>
      <c r="DCP70" s="2"/>
      <c r="DCQ70" s="2"/>
      <c r="DCR70" s="2"/>
      <c r="DCS70" s="2"/>
      <c r="DCT70" s="2"/>
      <c r="DCU70" s="2"/>
      <c r="DCV70" s="2"/>
      <c r="DCW70" s="2"/>
      <c r="DCX70" s="2"/>
      <c r="DCY70" s="2"/>
      <c r="DCZ70" s="2"/>
      <c r="DDA70" s="2"/>
      <c r="DDB70" s="2"/>
      <c r="DDC70" s="2"/>
      <c r="DDD70" s="2"/>
      <c r="DDE70" s="2"/>
      <c r="DDF70" s="2"/>
      <c r="DDG70" s="2"/>
      <c r="DDH70" s="2"/>
      <c r="DDI70" s="2"/>
      <c r="DDJ70" s="2"/>
      <c r="DDK70" s="2"/>
      <c r="DDL70" s="2"/>
      <c r="DDM70" s="2"/>
      <c r="DDN70" s="2"/>
      <c r="DDO70" s="2"/>
      <c r="DDP70" s="2"/>
      <c r="DDQ70" s="2"/>
      <c r="DDR70" s="2"/>
      <c r="DDS70" s="2"/>
      <c r="DDT70" s="2"/>
      <c r="DDU70" s="2"/>
      <c r="DDV70" s="2"/>
      <c r="DDW70" s="2"/>
      <c r="DDX70" s="2"/>
      <c r="DDY70" s="2"/>
      <c r="DDZ70" s="2"/>
      <c r="DEA70" s="2"/>
      <c r="DEB70" s="2"/>
      <c r="DEC70" s="2"/>
      <c r="DED70" s="2"/>
      <c r="DEE70" s="2"/>
      <c r="DEF70" s="2"/>
      <c r="DEG70" s="2"/>
      <c r="DEH70" s="2"/>
      <c r="DEI70" s="2"/>
      <c r="DEJ70" s="2"/>
      <c r="DEK70" s="2"/>
      <c r="DEL70" s="2"/>
      <c r="DEM70" s="2"/>
      <c r="DEN70" s="2"/>
      <c r="DEO70" s="2"/>
      <c r="DEP70" s="2"/>
      <c r="DEQ70" s="2"/>
      <c r="DER70" s="2"/>
      <c r="DES70" s="2"/>
      <c r="DET70" s="2"/>
      <c r="DEU70" s="2"/>
      <c r="DEV70" s="2"/>
      <c r="DEW70" s="2"/>
      <c r="DEX70" s="2"/>
      <c r="DEY70" s="2"/>
      <c r="DEZ70" s="2"/>
      <c r="DFA70" s="2"/>
      <c r="DFB70" s="2"/>
      <c r="DFC70" s="2"/>
      <c r="DFD70" s="2"/>
      <c r="DFE70" s="2"/>
      <c r="DFF70" s="2"/>
      <c r="DFG70" s="2"/>
      <c r="DFH70" s="2"/>
      <c r="DFI70" s="2"/>
      <c r="DFJ70" s="2"/>
      <c r="DFK70" s="2"/>
      <c r="DFL70" s="2"/>
      <c r="DFM70" s="2"/>
      <c r="DFN70" s="2"/>
      <c r="DFO70" s="2"/>
      <c r="DFP70" s="2"/>
      <c r="DFQ70" s="2"/>
      <c r="DFR70" s="2"/>
      <c r="DFS70" s="2"/>
      <c r="DFT70" s="2"/>
      <c r="DFU70" s="2"/>
      <c r="DFV70" s="2"/>
      <c r="DFW70" s="2"/>
      <c r="DFX70" s="2"/>
      <c r="DFY70" s="2"/>
      <c r="DFZ70" s="2"/>
      <c r="DGA70" s="2"/>
      <c r="DGB70" s="2"/>
      <c r="DGC70" s="2"/>
      <c r="DGD70" s="2"/>
      <c r="DGE70" s="2"/>
      <c r="DGF70" s="2"/>
      <c r="DGG70" s="2"/>
      <c r="DGH70" s="2"/>
      <c r="DGI70" s="2"/>
      <c r="DGJ70" s="2"/>
      <c r="DGK70" s="2"/>
      <c r="DGL70" s="2"/>
      <c r="DGM70" s="2"/>
      <c r="DGN70" s="2"/>
      <c r="DGO70" s="2"/>
      <c r="DGP70" s="2"/>
      <c r="DGQ70" s="2"/>
      <c r="DGR70" s="2"/>
      <c r="DGS70" s="2"/>
      <c r="DGT70" s="2"/>
      <c r="DGU70" s="2"/>
      <c r="DGV70" s="2"/>
      <c r="DGW70" s="2"/>
      <c r="DGX70" s="2"/>
      <c r="DGY70" s="2"/>
      <c r="DGZ70" s="2"/>
      <c r="DHA70" s="2"/>
      <c r="DHB70" s="2"/>
      <c r="DHC70" s="2"/>
      <c r="DHD70" s="2"/>
      <c r="DHE70" s="2"/>
      <c r="DHF70" s="2"/>
      <c r="DHG70" s="2"/>
      <c r="DHH70" s="2"/>
      <c r="DHI70" s="2"/>
      <c r="DHJ70" s="2"/>
      <c r="DHK70" s="2"/>
      <c r="DHL70" s="2"/>
      <c r="DHM70" s="2"/>
      <c r="DHN70" s="2"/>
      <c r="DHO70" s="2"/>
      <c r="DHP70" s="2"/>
      <c r="DHQ70" s="2"/>
      <c r="DHR70" s="2"/>
      <c r="DHS70" s="2"/>
      <c r="DHT70" s="2"/>
      <c r="DHU70" s="2"/>
      <c r="DHV70" s="2"/>
      <c r="DHW70" s="2"/>
      <c r="DHX70" s="2"/>
      <c r="DHY70" s="2"/>
      <c r="DHZ70" s="2"/>
      <c r="DIA70" s="2"/>
      <c r="DIB70" s="2"/>
      <c r="DIC70" s="2"/>
      <c r="DID70" s="2"/>
      <c r="DIE70" s="2"/>
      <c r="DIF70" s="2"/>
      <c r="DIG70" s="2"/>
      <c r="DIH70" s="2"/>
      <c r="DII70" s="2"/>
      <c r="DIJ70" s="2"/>
      <c r="DIK70" s="2"/>
      <c r="DIL70" s="2"/>
      <c r="DIM70" s="2"/>
      <c r="DIN70" s="2"/>
      <c r="DIO70" s="2"/>
      <c r="DIP70" s="2"/>
      <c r="DIQ70" s="2"/>
      <c r="DIR70" s="2"/>
      <c r="DIS70" s="2"/>
      <c r="DIT70" s="2"/>
      <c r="DIU70" s="2"/>
      <c r="DIV70" s="2"/>
      <c r="DIW70" s="2"/>
      <c r="DIX70" s="2"/>
      <c r="DIY70" s="2"/>
      <c r="DIZ70" s="2"/>
      <c r="DJA70" s="2"/>
      <c r="DJB70" s="2"/>
      <c r="DJC70" s="2"/>
      <c r="DJD70" s="2"/>
      <c r="DJE70" s="2"/>
      <c r="DJF70" s="2"/>
      <c r="DJG70" s="2"/>
      <c r="DJH70" s="2"/>
      <c r="DJI70" s="2"/>
      <c r="DJJ70" s="2"/>
      <c r="DJK70" s="2"/>
      <c r="DJL70" s="2"/>
      <c r="DJM70" s="2"/>
      <c r="DJN70" s="2"/>
      <c r="DJO70" s="2"/>
      <c r="DJP70" s="2"/>
      <c r="DJQ70" s="2"/>
      <c r="DJR70" s="2"/>
      <c r="DJS70" s="2"/>
      <c r="DJT70" s="2"/>
      <c r="DJU70" s="2"/>
      <c r="DJV70" s="2"/>
      <c r="DJW70" s="2"/>
      <c r="DJX70" s="2"/>
      <c r="DJY70" s="2"/>
      <c r="DJZ70" s="2"/>
      <c r="DKA70" s="2"/>
      <c r="DKB70" s="2"/>
      <c r="DKC70" s="2"/>
      <c r="DKD70" s="2"/>
      <c r="DKE70" s="2"/>
      <c r="DKF70" s="2"/>
      <c r="DKG70" s="2"/>
      <c r="DKH70" s="2"/>
      <c r="DKI70" s="2"/>
      <c r="DKJ70" s="2"/>
      <c r="DKK70" s="2"/>
      <c r="DKL70" s="2"/>
      <c r="DKM70" s="2"/>
      <c r="DKN70" s="2"/>
      <c r="DKO70" s="2"/>
      <c r="DKP70" s="2"/>
      <c r="DKQ70" s="2"/>
      <c r="DKR70" s="2"/>
      <c r="DKS70" s="2"/>
      <c r="DKT70" s="2"/>
      <c r="DKU70" s="2"/>
      <c r="DKV70" s="2"/>
      <c r="DKW70" s="2"/>
      <c r="DKX70" s="2"/>
      <c r="DKY70" s="2"/>
      <c r="DKZ70" s="2"/>
      <c r="DLA70" s="2"/>
      <c r="DLB70" s="2"/>
      <c r="DLC70" s="2"/>
      <c r="DLD70" s="2"/>
      <c r="DLE70" s="2"/>
      <c r="DLF70" s="2"/>
      <c r="DLG70" s="2"/>
      <c r="DLH70" s="2"/>
      <c r="DLI70" s="2"/>
      <c r="DLJ70" s="2"/>
      <c r="DLK70" s="2"/>
      <c r="DLL70" s="2"/>
      <c r="DLM70" s="2"/>
      <c r="DLN70" s="2"/>
      <c r="DLO70" s="2"/>
      <c r="DLP70" s="2"/>
      <c r="DLQ70" s="2"/>
      <c r="DLR70" s="2"/>
      <c r="DLS70" s="2"/>
      <c r="DLT70" s="2"/>
      <c r="DLU70" s="2"/>
      <c r="DLV70" s="2"/>
      <c r="DLW70" s="2"/>
      <c r="DLX70" s="2"/>
      <c r="DLY70" s="2"/>
      <c r="DLZ70" s="2"/>
      <c r="DMA70" s="2"/>
      <c r="DMB70" s="2"/>
      <c r="DMC70" s="2"/>
      <c r="DMD70" s="2"/>
      <c r="DME70" s="2"/>
      <c r="DMF70" s="2"/>
      <c r="DMG70" s="2"/>
      <c r="DMH70" s="2"/>
      <c r="DMI70" s="2"/>
      <c r="DMJ70" s="2"/>
      <c r="DMK70" s="2"/>
      <c r="DML70" s="2"/>
      <c r="DMM70" s="2"/>
      <c r="DMN70" s="2"/>
      <c r="DMO70" s="2"/>
      <c r="DMP70" s="2"/>
      <c r="DMQ70" s="2"/>
      <c r="DMR70" s="2"/>
      <c r="DMS70" s="2"/>
      <c r="DMT70" s="2"/>
      <c r="DMU70" s="2"/>
      <c r="DMV70" s="2"/>
      <c r="DMW70" s="2"/>
      <c r="DMX70" s="2"/>
      <c r="DMY70" s="2"/>
      <c r="DMZ70" s="2"/>
      <c r="DNA70" s="2"/>
      <c r="DNB70" s="2"/>
      <c r="DNC70" s="2"/>
      <c r="DND70" s="2"/>
      <c r="DNE70" s="2"/>
      <c r="DNF70" s="2"/>
      <c r="DNG70" s="2"/>
      <c r="DNH70" s="2"/>
      <c r="DNI70" s="2"/>
      <c r="DNJ70" s="2"/>
      <c r="DNK70" s="2"/>
      <c r="DNL70" s="2"/>
      <c r="DNM70" s="2"/>
      <c r="DNN70" s="2"/>
      <c r="DNO70" s="2"/>
      <c r="DNP70" s="2"/>
      <c r="DNQ70" s="2"/>
      <c r="DNR70" s="2"/>
      <c r="DNS70" s="2"/>
      <c r="DNT70" s="2"/>
      <c r="DNU70" s="2"/>
      <c r="DNV70" s="2"/>
      <c r="DNW70" s="2"/>
      <c r="DNX70" s="2"/>
      <c r="DNY70" s="2"/>
      <c r="DNZ70" s="2"/>
      <c r="DOA70" s="2"/>
      <c r="DOB70" s="2"/>
      <c r="DOC70" s="2"/>
      <c r="DOD70" s="2"/>
      <c r="DOE70" s="2"/>
      <c r="DOF70" s="2"/>
      <c r="DOG70" s="2"/>
      <c r="DOH70" s="2"/>
      <c r="DOI70" s="2"/>
      <c r="DOJ70" s="2"/>
      <c r="DOK70" s="2"/>
      <c r="DOL70" s="2"/>
      <c r="DOM70" s="2"/>
      <c r="DON70" s="2"/>
      <c r="DOO70" s="2"/>
      <c r="DOP70" s="2"/>
      <c r="DOQ70" s="2"/>
      <c r="DOR70" s="2"/>
      <c r="DOS70" s="2"/>
      <c r="DOT70" s="2"/>
      <c r="DOU70" s="2"/>
      <c r="DOV70" s="2"/>
      <c r="DOW70" s="2"/>
      <c r="DOX70" s="2"/>
      <c r="DOY70" s="2"/>
      <c r="DOZ70" s="2"/>
      <c r="DPA70" s="2"/>
      <c r="DPB70" s="2"/>
      <c r="DPC70" s="2"/>
      <c r="DPD70" s="2"/>
      <c r="DPE70" s="2"/>
      <c r="DPF70" s="2"/>
      <c r="DPG70" s="2"/>
      <c r="DPH70" s="2"/>
      <c r="DPI70" s="2"/>
      <c r="DPJ70" s="2"/>
      <c r="DPK70" s="2"/>
      <c r="DPL70" s="2"/>
      <c r="DPM70" s="2"/>
      <c r="DPN70" s="2"/>
      <c r="DPO70" s="2"/>
      <c r="DPP70" s="2"/>
      <c r="DPQ70" s="2"/>
      <c r="DPR70" s="2"/>
      <c r="DPS70" s="2"/>
      <c r="DPT70" s="2"/>
      <c r="DPU70" s="2"/>
      <c r="DPV70" s="2"/>
      <c r="DPW70" s="2"/>
      <c r="DPX70" s="2"/>
      <c r="DPY70" s="2"/>
      <c r="DPZ70" s="2"/>
      <c r="DQA70" s="2"/>
      <c r="DQB70" s="2"/>
      <c r="DQC70" s="2"/>
      <c r="DQD70" s="2"/>
      <c r="DQE70" s="2"/>
      <c r="DQF70" s="2"/>
      <c r="DQG70" s="2"/>
      <c r="DQH70" s="2"/>
      <c r="DQI70" s="2"/>
      <c r="DQJ70" s="2"/>
      <c r="DQK70" s="2"/>
      <c r="DQL70" s="2"/>
      <c r="DQM70" s="2"/>
      <c r="DQN70" s="2"/>
      <c r="DQO70" s="2"/>
      <c r="DQP70" s="2"/>
      <c r="DQQ70" s="2"/>
      <c r="DQR70" s="2"/>
      <c r="DQS70" s="2"/>
      <c r="DQT70" s="2"/>
      <c r="DQU70" s="2"/>
      <c r="DQV70" s="2"/>
      <c r="DQW70" s="2"/>
      <c r="DQX70" s="2"/>
      <c r="DQY70" s="2"/>
      <c r="DQZ70" s="2"/>
      <c r="DRA70" s="2"/>
      <c r="DRB70" s="2"/>
      <c r="DRC70" s="2"/>
      <c r="DRD70" s="2"/>
      <c r="DRE70" s="2"/>
      <c r="DRF70" s="2"/>
      <c r="DRG70" s="2"/>
      <c r="DRH70" s="2"/>
      <c r="DRI70" s="2"/>
      <c r="DRJ70" s="2"/>
      <c r="DRK70" s="2"/>
      <c r="DRL70" s="2"/>
      <c r="DRM70" s="2"/>
      <c r="DRN70" s="2"/>
      <c r="DRO70" s="2"/>
      <c r="DRP70" s="2"/>
      <c r="DRQ70" s="2"/>
      <c r="DRR70" s="2"/>
      <c r="DRS70" s="2"/>
      <c r="DRT70" s="2"/>
      <c r="DRU70" s="2"/>
      <c r="DRV70" s="2"/>
      <c r="DRW70" s="2"/>
      <c r="DRX70" s="2"/>
      <c r="DRY70" s="2"/>
      <c r="DRZ70" s="2"/>
      <c r="DSA70" s="2"/>
      <c r="DSB70" s="2"/>
      <c r="DSC70" s="2"/>
      <c r="DSD70" s="2"/>
      <c r="DSE70" s="2"/>
      <c r="DSF70" s="2"/>
      <c r="DSG70" s="2"/>
      <c r="DSH70" s="2"/>
      <c r="DSI70" s="2"/>
      <c r="DSJ70" s="2"/>
      <c r="DSK70" s="2"/>
      <c r="DSL70" s="2"/>
      <c r="DSM70" s="2"/>
      <c r="DSN70" s="2"/>
      <c r="DSO70" s="2"/>
      <c r="DSP70" s="2"/>
      <c r="DSQ70" s="2"/>
      <c r="DSR70" s="2"/>
      <c r="DSS70" s="2"/>
      <c r="DST70" s="2"/>
      <c r="DSU70" s="2"/>
      <c r="DSV70" s="2"/>
      <c r="DSW70" s="2"/>
      <c r="DSX70" s="2"/>
      <c r="DSY70" s="2"/>
      <c r="DSZ70" s="2"/>
      <c r="DTA70" s="2"/>
      <c r="DTB70" s="2"/>
      <c r="DTC70" s="2"/>
      <c r="DTD70" s="2"/>
      <c r="DTE70" s="2"/>
      <c r="DTF70" s="2"/>
      <c r="DTG70" s="2"/>
      <c r="DTH70" s="2"/>
      <c r="DTI70" s="2"/>
      <c r="DTJ70" s="2"/>
      <c r="DTK70" s="2"/>
      <c r="DTL70" s="2"/>
      <c r="DTM70" s="2"/>
      <c r="DTN70" s="2"/>
      <c r="DTO70" s="2"/>
      <c r="DTP70" s="2"/>
      <c r="DTQ70" s="2"/>
      <c r="DTR70" s="2"/>
      <c r="DTS70" s="2"/>
      <c r="DTT70" s="2"/>
      <c r="DTU70" s="2"/>
      <c r="DTV70" s="2"/>
      <c r="DTW70" s="2"/>
      <c r="DTX70" s="2"/>
      <c r="DTY70" s="2"/>
      <c r="DTZ70" s="2"/>
      <c r="DUA70" s="2"/>
      <c r="DUB70" s="2"/>
      <c r="DUC70" s="2"/>
      <c r="DUD70" s="2"/>
      <c r="DUE70" s="2"/>
      <c r="DUF70" s="2"/>
      <c r="DUG70" s="2"/>
      <c r="DUH70" s="2"/>
      <c r="DUI70" s="2"/>
      <c r="DUJ70" s="2"/>
      <c r="DUK70" s="2"/>
      <c r="DUL70" s="2"/>
      <c r="DUM70" s="2"/>
      <c r="DUN70" s="2"/>
      <c r="DUO70" s="2"/>
      <c r="DUP70" s="2"/>
      <c r="DUQ70" s="2"/>
      <c r="DUR70" s="2"/>
      <c r="DUS70" s="2"/>
      <c r="DUT70" s="2"/>
      <c r="DUU70" s="2"/>
      <c r="DUV70" s="2"/>
      <c r="DUW70" s="2"/>
      <c r="DUX70" s="2"/>
      <c r="DUY70" s="2"/>
      <c r="DUZ70" s="2"/>
      <c r="DVA70" s="2"/>
      <c r="DVB70" s="2"/>
      <c r="DVC70" s="2"/>
      <c r="DVD70" s="2"/>
      <c r="DVE70" s="2"/>
      <c r="DVF70" s="2"/>
      <c r="DVG70" s="2"/>
      <c r="DVH70" s="2"/>
      <c r="DVI70" s="2"/>
      <c r="DVJ70" s="2"/>
      <c r="DVK70" s="2"/>
      <c r="DVL70" s="2"/>
      <c r="DVM70" s="2"/>
      <c r="DVN70" s="2"/>
      <c r="DVO70" s="2"/>
      <c r="DVP70" s="2"/>
      <c r="DVQ70" s="2"/>
      <c r="DVR70" s="2"/>
      <c r="DVS70" s="2"/>
      <c r="DVT70" s="2"/>
      <c r="DVU70" s="2"/>
      <c r="DVV70" s="2"/>
      <c r="DVW70" s="2"/>
      <c r="DVX70" s="2"/>
      <c r="DVY70" s="2"/>
      <c r="DVZ70" s="2"/>
      <c r="DWA70" s="2"/>
      <c r="DWB70" s="2"/>
      <c r="DWC70" s="2"/>
      <c r="DWD70" s="2"/>
      <c r="DWE70" s="2"/>
      <c r="DWF70" s="2"/>
      <c r="DWG70" s="2"/>
      <c r="DWH70" s="2"/>
      <c r="DWI70" s="2"/>
      <c r="DWJ70" s="2"/>
      <c r="DWK70" s="2"/>
      <c r="DWL70" s="2"/>
      <c r="DWM70" s="2"/>
      <c r="DWN70" s="2"/>
      <c r="DWO70" s="2"/>
      <c r="DWP70" s="2"/>
      <c r="DWQ70" s="2"/>
      <c r="DWR70" s="2"/>
      <c r="DWS70" s="2"/>
      <c r="DWT70" s="2"/>
      <c r="DWU70" s="2"/>
      <c r="DWV70" s="2"/>
      <c r="DWW70" s="2"/>
      <c r="DWX70" s="2"/>
      <c r="DWY70" s="2"/>
      <c r="DWZ70" s="2"/>
      <c r="DXA70" s="2"/>
      <c r="DXB70" s="2"/>
      <c r="DXC70" s="2"/>
      <c r="DXD70" s="2"/>
      <c r="DXE70" s="2"/>
      <c r="DXF70" s="2"/>
      <c r="DXG70" s="2"/>
      <c r="DXH70" s="2"/>
      <c r="DXI70" s="2"/>
      <c r="DXJ70" s="2"/>
      <c r="DXK70" s="2"/>
      <c r="DXL70" s="2"/>
      <c r="DXM70" s="2"/>
      <c r="DXN70" s="2"/>
      <c r="DXO70" s="2"/>
      <c r="DXP70" s="2"/>
      <c r="DXQ70" s="2"/>
      <c r="DXR70" s="2"/>
      <c r="DXS70" s="2"/>
      <c r="DXT70" s="2"/>
      <c r="DXU70" s="2"/>
      <c r="DXV70" s="2"/>
      <c r="DXW70" s="2"/>
      <c r="DXX70" s="2"/>
      <c r="DXY70" s="2"/>
      <c r="DXZ70" s="2"/>
      <c r="DYA70" s="2"/>
      <c r="DYB70" s="2"/>
      <c r="DYC70" s="2"/>
      <c r="DYD70" s="2"/>
      <c r="DYE70" s="2"/>
      <c r="DYF70" s="2"/>
      <c r="DYG70" s="2"/>
      <c r="DYH70" s="2"/>
      <c r="DYI70" s="2"/>
      <c r="DYJ70" s="2"/>
      <c r="DYK70" s="2"/>
      <c r="DYL70" s="2"/>
      <c r="DYM70" s="2"/>
      <c r="DYN70" s="2"/>
      <c r="DYO70" s="2"/>
      <c r="DYP70" s="2"/>
      <c r="DYQ70" s="2"/>
      <c r="DYR70" s="2"/>
      <c r="DYS70" s="2"/>
      <c r="DYT70" s="2"/>
      <c r="DYU70" s="2"/>
      <c r="DYV70" s="2"/>
      <c r="DYW70" s="2"/>
      <c r="DYX70" s="2"/>
      <c r="DYY70" s="2"/>
      <c r="DYZ70" s="2"/>
      <c r="DZA70" s="2"/>
      <c r="DZB70" s="2"/>
      <c r="DZC70" s="2"/>
      <c r="DZD70" s="2"/>
      <c r="DZE70" s="2"/>
      <c r="DZF70" s="2"/>
      <c r="DZG70" s="2"/>
      <c r="DZH70" s="2"/>
      <c r="DZI70" s="2"/>
      <c r="DZJ70" s="2"/>
      <c r="DZK70" s="2"/>
      <c r="DZL70" s="2"/>
      <c r="DZM70" s="2"/>
      <c r="DZN70" s="2"/>
      <c r="DZO70" s="2"/>
      <c r="DZP70" s="2"/>
      <c r="DZQ70" s="2"/>
      <c r="DZR70" s="2"/>
      <c r="DZS70" s="2"/>
      <c r="DZT70" s="2"/>
      <c r="DZU70" s="2"/>
      <c r="DZV70" s="2"/>
      <c r="DZW70" s="2"/>
      <c r="DZX70" s="2"/>
      <c r="DZY70" s="2"/>
      <c r="DZZ70" s="2"/>
      <c r="EAA70" s="2"/>
      <c r="EAB70" s="2"/>
      <c r="EAC70" s="2"/>
      <c r="EAD70" s="2"/>
      <c r="EAE70" s="2"/>
      <c r="EAF70" s="2"/>
      <c r="EAG70" s="2"/>
      <c r="EAH70" s="2"/>
      <c r="EAI70" s="2"/>
      <c r="EAJ70" s="2"/>
      <c r="EAK70" s="2"/>
      <c r="EAL70" s="2"/>
      <c r="EAM70" s="2"/>
      <c r="EAN70" s="2"/>
      <c r="EAO70" s="2"/>
      <c r="EAP70" s="2"/>
      <c r="EAQ70" s="2"/>
      <c r="EAR70" s="2"/>
      <c r="EAS70" s="2"/>
      <c r="EAT70" s="2"/>
      <c r="EAU70" s="2"/>
      <c r="EAV70" s="2"/>
      <c r="EAW70" s="2"/>
      <c r="EAX70" s="2"/>
      <c r="EAY70" s="2"/>
      <c r="EAZ70" s="2"/>
      <c r="EBA70" s="2"/>
      <c r="EBB70" s="2"/>
      <c r="EBC70" s="2"/>
      <c r="EBD70" s="2"/>
      <c r="EBE70" s="2"/>
      <c r="EBF70" s="2"/>
      <c r="EBG70" s="2"/>
      <c r="EBH70" s="2"/>
      <c r="EBI70" s="2"/>
      <c r="EBJ70" s="2"/>
      <c r="EBK70" s="2"/>
      <c r="EBL70" s="2"/>
      <c r="EBM70" s="2"/>
      <c r="EBN70" s="2"/>
      <c r="EBO70" s="2"/>
      <c r="EBP70" s="2"/>
      <c r="EBQ70" s="2"/>
      <c r="EBR70" s="2"/>
      <c r="EBS70" s="2"/>
      <c r="EBT70" s="2"/>
      <c r="EBU70" s="2"/>
      <c r="EBV70" s="2"/>
      <c r="EBW70" s="2"/>
      <c r="EBX70" s="2"/>
      <c r="EBY70" s="2"/>
      <c r="EBZ70" s="2"/>
      <c r="ECA70" s="2"/>
      <c r="ECB70" s="2"/>
      <c r="ECC70" s="2"/>
      <c r="ECD70" s="2"/>
      <c r="ECE70" s="2"/>
      <c r="ECF70" s="2"/>
      <c r="ECG70" s="2"/>
      <c r="ECH70" s="2"/>
      <c r="ECI70" s="2"/>
      <c r="ECJ70" s="2"/>
      <c r="ECK70" s="2"/>
      <c r="ECL70" s="2"/>
      <c r="ECM70" s="2"/>
      <c r="ECN70" s="2"/>
      <c r="ECO70" s="2"/>
      <c r="ECP70" s="2"/>
      <c r="ECQ70" s="2"/>
      <c r="ECR70" s="2"/>
      <c r="ECS70" s="2"/>
      <c r="ECT70" s="2"/>
      <c r="ECU70" s="2"/>
      <c r="ECV70" s="2"/>
      <c r="ECW70" s="2"/>
      <c r="ECX70" s="2"/>
      <c r="ECY70" s="2"/>
      <c r="ECZ70" s="2"/>
      <c r="EDA70" s="2"/>
      <c r="EDB70" s="2"/>
      <c r="EDC70" s="2"/>
      <c r="EDD70" s="2"/>
      <c r="EDE70" s="2"/>
      <c r="EDF70" s="2"/>
      <c r="EDG70" s="2"/>
      <c r="EDH70" s="2"/>
      <c r="EDI70" s="2"/>
      <c r="EDJ70" s="2"/>
      <c r="EDK70" s="2"/>
      <c r="EDL70" s="2"/>
      <c r="EDM70" s="2"/>
      <c r="EDN70" s="2"/>
      <c r="EDO70" s="2"/>
      <c r="EDP70" s="2"/>
      <c r="EDQ70" s="2"/>
      <c r="EDR70" s="2"/>
      <c r="EDS70" s="2"/>
      <c r="EDT70" s="2"/>
      <c r="EDU70" s="2"/>
      <c r="EDV70" s="2"/>
      <c r="EDW70" s="2"/>
      <c r="EDX70" s="2"/>
      <c r="EDY70" s="2"/>
      <c r="EDZ70" s="2"/>
      <c r="EEA70" s="2"/>
      <c r="EEB70" s="2"/>
      <c r="EEC70" s="2"/>
      <c r="EED70" s="2"/>
      <c r="EEE70" s="2"/>
      <c r="EEF70" s="2"/>
      <c r="EEG70" s="2"/>
      <c r="EEH70" s="2"/>
      <c r="EEI70" s="2"/>
      <c r="EEJ70" s="2"/>
      <c r="EEK70" s="2"/>
      <c r="EEL70" s="2"/>
      <c r="EEM70" s="2"/>
      <c r="EEN70" s="2"/>
      <c r="EEO70" s="2"/>
      <c r="EEP70" s="2"/>
      <c r="EEQ70" s="2"/>
      <c r="EER70" s="2"/>
      <c r="EES70" s="2"/>
      <c r="EET70" s="2"/>
      <c r="EEU70" s="2"/>
      <c r="EEV70" s="2"/>
      <c r="EEW70" s="2"/>
      <c r="EEX70" s="2"/>
      <c r="EEY70" s="2"/>
      <c r="EEZ70" s="2"/>
      <c r="EFA70" s="2"/>
      <c r="EFB70" s="2"/>
      <c r="EFC70" s="2"/>
      <c r="EFD70" s="2"/>
      <c r="EFE70" s="2"/>
      <c r="EFF70" s="2"/>
      <c r="EFG70" s="2"/>
      <c r="EFH70" s="2"/>
      <c r="EFI70" s="2"/>
      <c r="EFJ70" s="2"/>
      <c r="EFK70" s="2"/>
      <c r="EFL70" s="2"/>
      <c r="EFM70" s="2"/>
      <c r="EFN70" s="2"/>
      <c r="EFO70" s="2"/>
      <c r="EFP70" s="2"/>
      <c r="EFQ70" s="2"/>
      <c r="EFR70" s="2"/>
      <c r="EFS70" s="2"/>
      <c r="EFT70" s="2"/>
      <c r="EFU70" s="2"/>
      <c r="EFV70" s="2"/>
      <c r="EFW70" s="2"/>
      <c r="EFX70" s="2"/>
      <c r="EFY70" s="2"/>
      <c r="EFZ70" s="2"/>
      <c r="EGA70" s="2"/>
      <c r="EGB70" s="2"/>
      <c r="EGC70" s="2"/>
      <c r="EGD70" s="2"/>
      <c r="EGE70" s="2"/>
      <c r="EGF70" s="2"/>
      <c r="EGG70" s="2"/>
      <c r="EGH70" s="2"/>
      <c r="EGI70" s="2"/>
      <c r="EGJ70" s="2"/>
      <c r="EGK70" s="2"/>
      <c r="EGL70" s="2"/>
      <c r="EGM70" s="2"/>
      <c r="EGN70" s="2"/>
      <c r="EGO70" s="2"/>
      <c r="EGP70" s="2"/>
      <c r="EGQ70" s="2"/>
      <c r="EGR70" s="2"/>
      <c r="EGS70" s="2"/>
      <c r="EGT70" s="2"/>
      <c r="EGU70" s="2"/>
      <c r="EGV70" s="2"/>
      <c r="EGW70" s="2"/>
      <c r="EGX70" s="2"/>
      <c r="EGY70" s="2"/>
      <c r="EGZ70" s="2"/>
      <c r="EHA70" s="2"/>
      <c r="EHB70" s="2"/>
      <c r="EHC70" s="2"/>
      <c r="EHD70" s="2"/>
      <c r="EHE70" s="2"/>
      <c r="EHF70" s="2"/>
      <c r="EHG70" s="2"/>
      <c r="EHH70" s="2"/>
      <c r="EHI70" s="2"/>
      <c r="EHJ70" s="2"/>
      <c r="EHK70" s="2"/>
      <c r="EHL70" s="2"/>
      <c r="EHM70" s="2"/>
      <c r="EHN70" s="2"/>
      <c r="EHO70" s="2"/>
      <c r="EHP70" s="2"/>
      <c r="EHQ70" s="2"/>
      <c r="EHR70" s="2"/>
      <c r="EHS70" s="2"/>
      <c r="EHT70" s="2"/>
      <c r="EHU70" s="2"/>
      <c r="EHV70" s="2"/>
      <c r="EHW70" s="2"/>
      <c r="EHX70" s="2"/>
      <c r="EHY70" s="2"/>
      <c r="EHZ70" s="2"/>
      <c r="EIA70" s="2"/>
      <c r="EIB70" s="2"/>
      <c r="EIC70" s="2"/>
      <c r="EID70" s="2"/>
      <c r="EIE70" s="2"/>
      <c r="EIF70" s="2"/>
      <c r="EIG70" s="2"/>
      <c r="EIH70" s="2"/>
      <c r="EII70" s="2"/>
      <c r="EIJ70" s="2"/>
      <c r="EIK70" s="2"/>
      <c r="EIL70" s="2"/>
      <c r="EIM70" s="2"/>
      <c r="EIN70" s="2"/>
      <c r="EIO70" s="2"/>
      <c r="EIP70" s="2"/>
      <c r="EIQ70" s="2"/>
      <c r="EIR70" s="2"/>
      <c r="EIS70" s="2"/>
      <c r="EIT70" s="2"/>
      <c r="EIU70" s="2"/>
      <c r="EIV70" s="2"/>
      <c r="EIW70" s="2"/>
      <c r="EIX70" s="2"/>
      <c r="EIY70" s="2"/>
      <c r="EIZ70" s="2"/>
      <c r="EJA70" s="2"/>
      <c r="EJB70" s="2"/>
      <c r="EJC70" s="2"/>
      <c r="EJD70" s="2"/>
      <c r="EJE70" s="2"/>
      <c r="EJF70" s="2"/>
      <c r="EJG70" s="2"/>
      <c r="EJH70" s="2"/>
      <c r="EJI70" s="2"/>
      <c r="EJJ70" s="2"/>
      <c r="EJK70" s="2"/>
      <c r="EJL70" s="2"/>
      <c r="EJM70" s="2"/>
      <c r="EJN70" s="2"/>
      <c r="EJO70" s="2"/>
      <c r="EJP70" s="2"/>
      <c r="EJQ70" s="2"/>
      <c r="EJR70" s="2"/>
      <c r="EJS70" s="2"/>
      <c r="EJT70" s="2"/>
      <c r="EJU70" s="2"/>
      <c r="EJV70" s="2"/>
      <c r="EJW70" s="2"/>
      <c r="EJX70" s="2"/>
      <c r="EJY70" s="2"/>
      <c r="EJZ70" s="2"/>
      <c r="EKA70" s="2"/>
      <c r="EKB70" s="2"/>
      <c r="EKC70" s="2"/>
      <c r="EKD70" s="2"/>
      <c r="EKE70" s="2"/>
      <c r="EKF70" s="2"/>
      <c r="EKG70" s="2"/>
      <c r="EKH70" s="2"/>
      <c r="EKI70" s="2"/>
      <c r="EKJ70" s="2"/>
      <c r="EKK70" s="2"/>
      <c r="EKL70" s="2"/>
      <c r="EKM70" s="2"/>
      <c r="EKN70" s="2"/>
      <c r="EKO70" s="2"/>
      <c r="EKP70" s="2"/>
      <c r="EKQ70" s="2"/>
      <c r="EKR70" s="2"/>
      <c r="EKS70" s="2"/>
      <c r="EKT70" s="2"/>
      <c r="EKU70" s="2"/>
      <c r="EKV70" s="2"/>
      <c r="EKW70" s="2"/>
      <c r="EKX70" s="2"/>
      <c r="EKY70" s="2"/>
      <c r="EKZ70" s="2"/>
      <c r="ELA70" s="2"/>
      <c r="ELB70" s="2"/>
      <c r="ELC70" s="2"/>
      <c r="ELD70" s="2"/>
      <c r="ELE70" s="2"/>
      <c r="ELF70" s="2"/>
      <c r="ELG70" s="2"/>
      <c r="ELH70" s="2"/>
      <c r="ELI70" s="2"/>
      <c r="ELJ70" s="2"/>
      <c r="ELK70" s="2"/>
      <c r="ELL70" s="2"/>
      <c r="ELM70" s="2"/>
      <c r="ELN70" s="2"/>
      <c r="ELO70" s="2"/>
      <c r="ELP70" s="2"/>
      <c r="ELQ70" s="2"/>
      <c r="ELR70" s="2"/>
      <c r="ELS70" s="2"/>
      <c r="ELT70" s="2"/>
      <c r="ELU70" s="2"/>
      <c r="ELV70" s="2"/>
      <c r="ELW70" s="2"/>
      <c r="ELX70" s="2"/>
      <c r="ELY70" s="2"/>
      <c r="ELZ70" s="2"/>
      <c r="EMA70" s="2"/>
      <c r="EMB70" s="2"/>
      <c r="EMC70" s="2"/>
      <c r="EMD70" s="2"/>
      <c r="EME70" s="2"/>
      <c r="EMF70" s="2"/>
      <c r="EMG70" s="2"/>
      <c r="EMH70" s="2"/>
      <c r="EMI70" s="2"/>
      <c r="EMJ70" s="2"/>
      <c r="EMK70" s="2"/>
      <c r="EML70" s="2"/>
      <c r="EMM70" s="2"/>
      <c r="EMN70" s="2"/>
      <c r="EMO70" s="2"/>
      <c r="EMP70" s="2"/>
      <c r="EMQ70" s="2"/>
      <c r="EMR70" s="2"/>
      <c r="EMS70" s="2"/>
      <c r="EMT70" s="2"/>
      <c r="EMU70" s="2"/>
      <c r="EMV70" s="2"/>
      <c r="EMW70" s="2"/>
      <c r="EMX70" s="2"/>
      <c r="EMY70" s="2"/>
      <c r="EMZ70" s="2"/>
      <c r="ENA70" s="2"/>
      <c r="ENB70" s="2"/>
      <c r="ENC70" s="2"/>
      <c r="END70" s="2"/>
      <c r="ENE70" s="2"/>
      <c r="ENF70" s="2"/>
      <c r="ENG70" s="2"/>
      <c r="ENH70" s="2"/>
      <c r="ENI70" s="2"/>
      <c r="ENJ70" s="2"/>
      <c r="ENK70" s="2"/>
      <c r="ENL70" s="2"/>
      <c r="ENM70" s="2"/>
      <c r="ENN70" s="2"/>
      <c r="ENO70" s="2"/>
      <c r="ENP70" s="2"/>
      <c r="ENQ70" s="2"/>
      <c r="ENR70" s="2"/>
      <c r="ENS70" s="2"/>
      <c r="ENT70" s="2"/>
      <c r="ENU70" s="2"/>
      <c r="ENV70" s="2"/>
      <c r="ENW70" s="2"/>
      <c r="ENX70" s="2"/>
      <c r="ENY70" s="2"/>
      <c r="ENZ70" s="2"/>
      <c r="EOA70" s="2"/>
      <c r="EOB70" s="2"/>
      <c r="EOC70" s="2"/>
      <c r="EOD70" s="2"/>
      <c r="EOE70" s="2"/>
      <c r="EOF70" s="2"/>
      <c r="EOG70" s="2"/>
      <c r="EOH70" s="2"/>
      <c r="EOI70" s="2"/>
      <c r="EOJ70" s="2"/>
      <c r="EOK70" s="2"/>
      <c r="EOL70" s="2"/>
      <c r="EOM70" s="2"/>
      <c r="EON70" s="2"/>
      <c r="EOO70" s="2"/>
      <c r="EOP70" s="2"/>
      <c r="EOQ70" s="2"/>
      <c r="EOR70" s="2"/>
      <c r="EOS70" s="2"/>
      <c r="EOT70" s="2"/>
      <c r="EOU70" s="2"/>
      <c r="EOV70" s="2"/>
      <c r="EOW70" s="2"/>
      <c r="EOX70" s="2"/>
      <c r="EOY70" s="2"/>
      <c r="EOZ70" s="2"/>
      <c r="EPA70" s="2"/>
      <c r="EPB70" s="2"/>
      <c r="EPC70" s="2"/>
      <c r="EPD70" s="2"/>
      <c r="EPE70" s="2"/>
      <c r="EPF70" s="2"/>
      <c r="EPG70" s="2"/>
      <c r="EPH70" s="2"/>
      <c r="EPI70" s="2"/>
      <c r="EPJ70" s="2"/>
      <c r="EPK70" s="2"/>
      <c r="EPL70" s="2"/>
      <c r="EPM70" s="2"/>
      <c r="EPN70" s="2"/>
      <c r="EPO70" s="2"/>
      <c r="EPP70" s="2"/>
      <c r="EPQ70" s="2"/>
      <c r="EPR70" s="2"/>
      <c r="EPS70" s="2"/>
      <c r="EPT70" s="2"/>
      <c r="EPU70" s="2"/>
      <c r="EPV70" s="2"/>
      <c r="EPW70" s="2"/>
      <c r="EPX70" s="2"/>
      <c r="EPY70" s="2"/>
      <c r="EPZ70" s="2"/>
      <c r="EQA70" s="2"/>
      <c r="EQB70" s="2"/>
      <c r="EQC70" s="2"/>
      <c r="EQD70" s="2"/>
      <c r="EQE70" s="2"/>
      <c r="EQF70" s="2"/>
      <c r="EQG70" s="2"/>
      <c r="EQH70" s="2"/>
      <c r="EQI70" s="2"/>
      <c r="EQJ70" s="2"/>
      <c r="EQK70" s="2"/>
      <c r="EQL70" s="2"/>
      <c r="EQM70" s="2"/>
      <c r="EQN70" s="2"/>
      <c r="EQO70" s="2"/>
      <c r="EQP70" s="2"/>
      <c r="EQQ70" s="2"/>
      <c r="EQR70" s="2"/>
      <c r="EQS70" s="2"/>
      <c r="EQT70" s="2"/>
      <c r="EQU70" s="2"/>
      <c r="EQV70" s="2"/>
      <c r="EQW70" s="2"/>
      <c r="EQX70" s="2"/>
      <c r="EQY70" s="2"/>
      <c r="EQZ70" s="2"/>
      <c r="ERA70" s="2"/>
      <c r="ERB70" s="2"/>
      <c r="ERC70" s="2"/>
      <c r="ERD70" s="2"/>
      <c r="ERE70" s="2"/>
      <c r="ERF70" s="2"/>
      <c r="ERG70" s="2"/>
      <c r="ERH70" s="2"/>
      <c r="ERI70" s="2"/>
      <c r="ERJ70" s="2"/>
      <c r="ERK70" s="2"/>
      <c r="ERL70" s="2"/>
      <c r="ERM70" s="2"/>
      <c r="ERN70" s="2"/>
      <c r="ERO70" s="2"/>
      <c r="ERP70" s="2"/>
      <c r="ERQ70" s="2"/>
      <c r="ERR70" s="2"/>
      <c r="ERS70" s="2"/>
      <c r="ERT70" s="2"/>
      <c r="ERU70" s="2"/>
      <c r="ERV70" s="2"/>
      <c r="ERW70" s="2"/>
      <c r="ERX70" s="2"/>
      <c r="ERY70" s="2"/>
      <c r="ERZ70" s="2"/>
      <c r="ESA70" s="2"/>
      <c r="ESB70" s="2"/>
      <c r="ESC70" s="2"/>
      <c r="ESD70" s="2"/>
      <c r="ESE70" s="2"/>
      <c r="ESF70" s="2"/>
      <c r="ESG70" s="2"/>
      <c r="ESH70" s="2"/>
      <c r="ESI70" s="2"/>
      <c r="ESJ70" s="2"/>
      <c r="ESK70" s="2"/>
      <c r="ESL70" s="2"/>
      <c r="ESM70" s="2"/>
      <c r="ESN70" s="2"/>
      <c r="ESO70" s="2"/>
      <c r="ESP70" s="2"/>
      <c r="ESQ70" s="2"/>
      <c r="ESR70" s="2"/>
      <c r="ESS70" s="2"/>
      <c r="EST70" s="2"/>
      <c r="ESU70" s="2"/>
      <c r="ESV70" s="2"/>
      <c r="ESW70" s="2"/>
      <c r="ESX70" s="2"/>
      <c r="ESY70" s="2"/>
      <c r="ESZ70" s="2"/>
      <c r="ETA70" s="2"/>
      <c r="ETB70" s="2"/>
      <c r="ETC70" s="2"/>
      <c r="ETD70" s="2"/>
      <c r="ETE70" s="2"/>
      <c r="ETF70" s="2"/>
      <c r="ETG70" s="2"/>
      <c r="ETH70" s="2"/>
      <c r="ETI70" s="2"/>
      <c r="ETJ70" s="2"/>
      <c r="ETK70" s="2"/>
      <c r="ETL70" s="2"/>
      <c r="ETM70" s="2"/>
      <c r="ETN70" s="2"/>
      <c r="ETO70" s="2"/>
      <c r="ETP70" s="2"/>
      <c r="ETQ70" s="2"/>
      <c r="ETR70" s="2"/>
      <c r="ETS70" s="2"/>
      <c r="ETT70" s="2"/>
      <c r="ETU70" s="2"/>
      <c r="ETV70" s="2"/>
      <c r="ETW70" s="2"/>
      <c r="ETX70" s="2"/>
      <c r="ETY70" s="2"/>
      <c r="ETZ70" s="2"/>
      <c r="EUA70" s="2"/>
      <c r="EUB70" s="2"/>
      <c r="EUC70" s="2"/>
      <c r="EUD70" s="2"/>
      <c r="EUE70" s="2"/>
      <c r="EUF70" s="2"/>
      <c r="EUG70" s="2"/>
      <c r="EUH70" s="2"/>
      <c r="EUI70" s="2"/>
      <c r="EUJ70" s="2"/>
      <c r="EUK70" s="2"/>
      <c r="EUL70" s="2"/>
      <c r="EUM70" s="2"/>
      <c r="EUN70" s="2"/>
      <c r="EUO70" s="2"/>
      <c r="EUP70" s="2"/>
      <c r="EUQ70" s="2"/>
      <c r="EUR70" s="2"/>
      <c r="EUS70" s="2"/>
      <c r="EUT70" s="2"/>
      <c r="EUU70" s="2"/>
      <c r="EUV70" s="2"/>
      <c r="EUW70" s="2"/>
      <c r="EUX70" s="2"/>
      <c r="EUY70" s="2"/>
      <c r="EUZ70" s="2"/>
      <c r="EVA70" s="2"/>
      <c r="EVB70" s="2"/>
      <c r="EVC70" s="2"/>
      <c r="EVD70" s="2"/>
      <c r="EVE70" s="2"/>
      <c r="EVF70" s="2"/>
      <c r="EVG70" s="2"/>
      <c r="EVH70" s="2"/>
      <c r="EVI70" s="2"/>
      <c r="EVJ70" s="2"/>
      <c r="EVK70" s="2"/>
      <c r="EVL70" s="2"/>
      <c r="EVM70" s="2"/>
      <c r="EVN70" s="2"/>
      <c r="EVO70" s="2"/>
      <c r="EVP70" s="2"/>
      <c r="EVQ70" s="2"/>
      <c r="EVR70" s="2"/>
      <c r="EVS70" s="2"/>
      <c r="EVT70" s="2"/>
      <c r="EVU70" s="2"/>
      <c r="EVV70" s="2"/>
      <c r="EVW70" s="2"/>
      <c r="EVX70" s="2"/>
      <c r="EVY70" s="2"/>
      <c r="EVZ70" s="2"/>
      <c r="EWA70" s="2"/>
      <c r="EWB70" s="2"/>
      <c r="EWC70" s="2"/>
      <c r="EWD70" s="2"/>
      <c r="EWE70" s="2"/>
      <c r="EWF70" s="2"/>
      <c r="EWG70" s="2"/>
      <c r="EWH70" s="2"/>
      <c r="EWI70" s="2"/>
      <c r="EWJ70" s="2"/>
      <c r="EWK70" s="2"/>
      <c r="EWL70" s="2"/>
      <c r="EWM70" s="2"/>
      <c r="EWN70" s="2"/>
      <c r="EWO70" s="2"/>
      <c r="EWP70" s="2"/>
      <c r="EWQ70" s="2"/>
      <c r="EWR70" s="2"/>
      <c r="EWS70" s="2"/>
      <c r="EWT70" s="2"/>
      <c r="EWU70" s="2"/>
      <c r="EWV70" s="2"/>
      <c r="EWW70" s="2"/>
      <c r="EWX70" s="2"/>
      <c r="EWY70" s="2"/>
      <c r="EWZ70" s="2"/>
      <c r="EXA70" s="2"/>
      <c r="EXB70" s="2"/>
      <c r="EXC70" s="2"/>
      <c r="EXD70" s="2"/>
      <c r="EXE70" s="2"/>
      <c r="EXF70" s="2"/>
      <c r="EXG70" s="2"/>
      <c r="EXH70" s="2"/>
      <c r="EXI70" s="2"/>
      <c r="EXJ70" s="2"/>
      <c r="EXK70" s="2"/>
      <c r="EXL70" s="2"/>
      <c r="EXM70" s="2"/>
      <c r="EXN70" s="2"/>
      <c r="EXO70" s="2"/>
      <c r="EXP70" s="2"/>
      <c r="EXQ70" s="2"/>
      <c r="EXR70" s="2"/>
      <c r="EXS70" s="2"/>
      <c r="EXT70" s="2"/>
      <c r="EXU70" s="2"/>
      <c r="EXV70" s="2"/>
      <c r="EXW70" s="2"/>
      <c r="EXX70" s="2"/>
      <c r="EXY70" s="2"/>
      <c r="EXZ70" s="2"/>
      <c r="EYA70" s="2"/>
      <c r="EYB70" s="2"/>
      <c r="EYC70" s="2"/>
      <c r="EYD70" s="2"/>
      <c r="EYE70" s="2"/>
      <c r="EYF70" s="2"/>
      <c r="EYG70" s="2"/>
      <c r="EYH70" s="2"/>
      <c r="EYI70" s="2"/>
      <c r="EYJ70" s="2"/>
      <c r="EYK70" s="2"/>
      <c r="EYL70" s="2"/>
      <c r="EYM70" s="2"/>
      <c r="EYN70" s="2"/>
      <c r="EYO70" s="2"/>
      <c r="EYP70" s="2"/>
      <c r="EYQ70" s="2"/>
      <c r="EYR70" s="2"/>
      <c r="EYS70" s="2"/>
      <c r="EYT70" s="2"/>
      <c r="EYU70" s="2"/>
      <c r="EYV70" s="2"/>
      <c r="EYW70" s="2"/>
      <c r="EYX70" s="2"/>
      <c r="EYY70" s="2"/>
      <c r="EYZ70" s="2"/>
      <c r="EZA70" s="2"/>
      <c r="EZB70" s="2"/>
      <c r="EZC70" s="2"/>
      <c r="EZD70" s="2"/>
      <c r="EZE70" s="2"/>
      <c r="EZF70" s="2"/>
      <c r="EZG70" s="2"/>
      <c r="EZH70" s="2"/>
      <c r="EZI70" s="2"/>
      <c r="EZJ70" s="2"/>
      <c r="EZK70" s="2"/>
      <c r="EZL70" s="2"/>
      <c r="EZM70" s="2"/>
      <c r="EZN70" s="2"/>
      <c r="EZO70" s="2"/>
      <c r="EZP70" s="2"/>
      <c r="EZQ70" s="2"/>
      <c r="EZR70" s="2"/>
      <c r="EZS70" s="2"/>
      <c r="EZT70" s="2"/>
      <c r="EZU70" s="2"/>
      <c r="EZV70" s="2"/>
      <c r="EZW70" s="2"/>
      <c r="EZX70" s="2"/>
      <c r="EZY70" s="2"/>
      <c r="EZZ70" s="2"/>
      <c r="FAA70" s="2"/>
      <c r="FAB70" s="2"/>
      <c r="FAC70" s="2"/>
      <c r="FAD70" s="2"/>
      <c r="FAE70" s="2"/>
      <c r="FAF70" s="2"/>
      <c r="FAG70" s="2"/>
      <c r="FAH70" s="2"/>
      <c r="FAI70" s="2"/>
      <c r="FAJ70" s="2"/>
      <c r="FAK70" s="2"/>
      <c r="FAL70" s="2"/>
      <c r="FAM70" s="2"/>
      <c r="FAN70" s="2"/>
      <c r="FAO70" s="2"/>
      <c r="FAP70" s="2"/>
      <c r="FAQ70" s="2"/>
      <c r="FAR70" s="2"/>
      <c r="FAS70" s="2"/>
      <c r="FAT70" s="2"/>
      <c r="FAU70" s="2"/>
      <c r="FAV70" s="2"/>
      <c r="FAW70" s="2"/>
      <c r="FAX70" s="2"/>
      <c r="FAY70" s="2"/>
      <c r="FAZ70" s="2"/>
      <c r="FBA70" s="2"/>
      <c r="FBB70" s="2"/>
      <c r="FBC70" s="2"/>
      <c r="FBD70" s="2"/>
      <c r="FBE70" s="2"/>
      <c r="FBF70" s="2"/>
      <c r="FBG70" s="2"/>
      <c r="FBH70" s="2"/>
      <c r="FBI70" s="2"/>
      <c r="FBJ70" s="2"/>
      <c r="FBK70" s="2"/>
      <c r="FBL70" s="2"/>
      <c r="FBM70" s="2"/>
      <c r="FBN70" s="2"/>
      <c r="FBO70" s="2"/>
      <c r="FBP70" s="2"/>
      <c r="FBQ70" s="2"/>
      <c r="FBR70" s="2"/>
      <c r="FBS70" s="2"/>
      <c r="FBT70" s="2"/>
      <c r="FBU70" s="2"/>
      <c r="FBV70" s="2"/>
      <c r="FBW70" s="2"/>
      <c r="FBX70" s="2"/>
      <c r="FBY70" s="2"/>
      <c r="FBZ70" s="2"/>
      <c r="FCA70" s="2"/>
      <c r="FCB70" s="2"/>
      <c r="FCC70" s="2"/>
      <c r="FCD70" s="2"/>
      <c r="FCE70" s="2"/>
      <c r="FCF70" s="2"/>
      <c r="FCG70" s="2"/>
      <c r="FCH70" s="2"/>
      <c r="FCI70" s="2"/>
      <c r="FCJ70" s="2"/>
      <c r="FCK70" s="2"/>
      <c r="FCL70" s="2"/>
      <c r="FCM70" s="2"/>
      <c r="FCN70" s="2"/>
      <c r="FCO70" s="2"/>
      <c r="FCP70" s="2"/>
      <c r="FCQ70" s="2"/>
      <c r="FCR70" s="2"/>
      <c r="FCS70" s="2"/>
      <c r="FCT70" s="2"/>
      <c r="FCU70" s="2"/>
      <c r="FCV70" s="2"/>
      <c r="FCW70" s="2"/>
      <c r="FCX70" s="2"/>
      <c r="FCY70" s="2"/>
      <c r="FCZ70" s="2"/>
      <c r="FDA70" s="2"/>
      <c r="FDB70" s="2"/>
      <c r="FDC70" s="2"/>
      <c r="FDD70" s="2"/>
      <c r="FDE70" s="2"/>
      <c r="FDF70" s="2"/>
      <c r="FDG70" s="2"/>
      <c r="FDH70" s="2"/>
      <c r="FDI70" s="2"/>
      <c r="FDJ70" s="2"/>
      <c r="FDK70" s="2"/>
      <c r="FDL70" s="2"/>
      <c r="FDM70" s="2"/>
      <c r="FDN70" s="2"/>
      <c r="FDO70" s="2"/>
      <c r="FDP70" s="2"/>
      <c r="FDQ70" s="2"/>
      <c r="FDR70" s="2"/>
      <c r="FDS70" s="2"/>
      <c r="FDT70" s="2"/>
      <c r="FDU70" s="2"/>
      <c r="FDV70" s="2"/>
      <c r="FDW70" s="2"/>
      <c r="FDX70" s="2"/>
      <c r="FDY70" s="2"/>
      <c r="FDZ70" s="2"/>
      <c r="FEA70" s="2"/>
      <c r="FEB70" s="2"/>
      <c r="FEC70" s="2"/>
      <c r="FED70" s="2"/>
      <c r="FEE70" s="2"/>
      <c r="FEF70" s="2"/>
      <c r="FEG70" s="2"/>
      <c r="FEH70" s="2"/>
      <c r="FEI70" s="2"/>
      <c r="FEJ70" s="2"/>
      <c r="FEK70" s="2"/>
      <c r="FEL70" s="2"/>
      <c r="FEM70" s="2"/>
      <c r="FEN70" s="2"/>
      <c r="FEO70" s="2"/>
      <c r="FEP70" s="2"/>
      <c r="FEQ70" s="2"/>
      <c r="FER70" s="2"/>
      <c r="FES70" s="2"/>
      <c r="FET70" s="2"/>
      <c r="FEU70" s="2"/>
      <c r="FEV70" s="2"/>
      <c r="FEW70" s="2"/>
      <c r="FEX70" s="2"/>
      <c r="FEY70" s="2"/>
      <c r="FEZ70" s="2"/>
      <c r="FFA70" s="2"/>
      <c r="FFB70" s="2"/>
      <c r="FFC70" s="2"/>
      <c r="FFD70" s="2"/>
      <c r="FFE70" s="2"/>
      <c r="FFF70" s="2"/>
      <c r="FFG70" s="2"/>
      <c r="FFH70" s="2"/>
      <c r="FFI70" s="2"/>
      <c r="FFJ70" s="2"/>
      <c r="FFK70" s="2"/>
      <c r="FFL70" s="2"/>
      <c r="FFM70" s="2"/>
      <c r="FFN70" s="2"/>
      <c r="FFO70" s="2"/>
      <c r="FFP70" s="2"/>
      <c r="FFQ70" s="2"/>
      <c r="FFR70" s="2"/>
      <c r="FFS70" s="2"/>
      <c r="FFT70" s="2"/>
      <c r="FFU70" s="2"/>
      <c r="FFV70" s="2"/>
      <c r="FFW70" s="2"/>
      <c r="FFX70" s="2"/>
      <c r="FFY70" s="2"/>
      <c r="FFZ70" s="2"/>
      <c r="FGA70" s="2"/>
      <c r="FGB70" s="2"/>
      <c r="FGC70" s="2"/>
      <c r="FGD70" s="2"/>
      <c r="FGE70" s="2"/>
      <c r="FGF70" s="2"/>
      <c r="FGG70" s="2"/>
      <c r="FGH70" s="2"/>
      <c r="FGI70" s="2"/>
      <c r="FGJ70" s="2"/>
      <c r="FGK70" s="2"/>
      <c r="FGL70" s="2"/>
      <c r="FGM70" s="2"/>
      <c r="FGN70" s="2"/>
      <c r="FGO70" s="2"/>
      <c r="FGP70" s="2"/>
      <c r="FGQ70" s="2"/>
      <c r="FGR70" s="2"/>
      <c r="FGS70" s="2"/>
      <c r="FGT70" s="2"/>
      <c r="FGU70" s="2"/>
      <c r="FGV70" s="2"/>
      <c r="FGW70" s="2"/>
      <c r="FGX70" s="2"/>
      <c r="FGY70" s="2"/>
      <c r="FGZ70" s="2"/>
      <c r="FHA70" s="2"/>
      <c r="FHB70" s="2"/>
      <c r="FHC70" s="2"/>
      <c r="FHD70" s="2"/>
      <c r="FHE70" s="2"/>
      <c r="FHF70" s="2"/>
      <c r="FHG70" s="2"/>
      <c r="FHH70" s="2"/>
      <c r="FHI70" s="2"/>
      <c r="FHJ70" s="2"/>
      <c r="FHK70" s="2"/>
      <c r="FHL70" s="2"/>
      <c r="FHM70" s="2"/>
      <c r="FHN70" s="2"/>
      <c r="FHO70" s="2"/>
      <c r="FHP70" s="2"/>
      <c r="FHQ70" s="2"/>
      <c r="FHR70" s="2"/>
      <c r="FHS70" s="2"/>
      <c r="FHT70" s="2"/>
      <c r="FHU70" s="2"/>
      <c r="FHV70" s="2"/>
      <c r="FHW70" s="2"/>
      <c r="FHX70" s="2"/>
      <c r="FHY70" s="2"/>
      <c r="FHZ70" s="2"/>
      <c r="FIA70" s="2"/>
      <c r="FIB70" s="2"/>
      <c r="FIC70" s="2"/>
      <c r="FID70" s="2"/>
      <c r="FIE70" s="2"/>
      <c r="FIF70" s="2"/>
      <c r="FIG70" s="2"/>
      <c r="FIH70" s="2"/>
      <c r="FII70" s="2"/>
      <c r="FIJ70" s="2"/>
      <c r="FIK70" s="2"/>
      <c r="FIL70" s="2"/>
      <c r="FIM70" s="2"/>
      <c r="FIN70" s="2"/>
      <c r="FIO70" s="2"/>
      <c r="FIP70" s="2"/>
      <c r="FIQ70" s="2"/>
      <c r="FIR70" s="2"/>
      <c r="FIS70" s="2"/>
      <c r="FIT70" s="2"/>
      <c r="FIU70" s="2"/>
      <c r="FIV70" s="2"/>
      <c r="FIW70" s="2"/>
      <c r="FIX70" s="2"/>
      <c r="FIY70" s="2"/>
      <c r="FIZ70" s="2"/>
      <c r="FJA70" s="2"/>
      <c r="FJB70" s="2"/>
      <c r="FJC70" s="2"/>
      <c r="FJD70" s="2"/>
      <c r="FJE70" s="2"/>
      <c r="FJF70" s="2"/>
      <c r="FJG70" s="2"/>
      <c r="FJH70" s="2"/>
      <c r="FJI70" s="2"/>
      <c r="FJJ70" s="2"/>
      <c r="FJK70" s="2"/>
      <c r="FJL70" s="2"/>
      <c r="FJM70" s="2"/>
      <c r="FJN70" s="2"/>
      <c r="FJO70" s="2"/>
      <c r="FJP70" s="2"/>
      <c r="FJQ70" s="2"/>
      <c r="FJR70" s="2"/>
      <c r="FJS70" s="2"/>
      <c r="FJT70" s="2"/>
      <c r="FJU70" s="2"/>
      <c r="FJV70" s="2"/>
      <c r="FJW70" s="2"/>
      <c r="FJX70" s="2"/>
      <c r="FJY70" s="2"/>
      <c r="FJZ70" s="2"/>
      <c r="FKA70" s="2"/>
      <c r="FKB70" s="2"/>
      <c r="FKC70" s="2"/>
      <c r="FKD70" s="2"/>
      <c r="FKE70" s="2"/>
      <c r="FKF70" s="2"/>
      <c r="FKG70" s="2"/>
      <c r="FKH70" s="2"/>
      <c r="FKI70" s="2"/>
      <c r="FKJ70" s="2"/>
      <c r="FKK70" s="2"/>
      <c r="FKL70" s="2"/>
      <c r="FKM70" s="2"/>
      <c r="FKN70" s="2"/>
      <c r="FKO70" s="2"/>
      <c r="FKP70" s="2"/>
      <c r="FKQ70" s="2"/>
      <c r="FKR70" s="2"/>
      <c r="FKS70" s="2"/>
      <c r="FKT70" s="2"/>
      <c r="FKU70" s="2"/>
      <c r="FKV70" s="2"/>
      <c r="FKW70" s="2"/>
      <c r="FKX70" s="2"/>
      <c r="FKY70" s="2"/>
      <c r="FKZ70" s="2"/>
      <c r="FLA70" s="2"/>
      <c r="FLB70" s="2"/>
      <c r="FLC70" s="2"/>
      <c r="FLD70" s="2"/>
      <c r="FLE70" s="2"/>
      <c r="FLF70" s="2"/>
      <c r="FLG70" s="2"/>
      <c r="FLH70" s="2"/>
      <c r="FLI70" s="2"/>
      <c r="FLJ70" s="2"/>
      <c r="FLK70" s="2"/>
      <c r="FLL70" s="2"/>
      <c r="FLM70" s="2"/>
      <c r="FLN70" s="2"/>
      <c r="FLO70" s="2"/>
      <c r="FLP70" s="2"/>
      <c r="FLQ70" s="2"/>
      <c r="FLR70" s="2"/>
      <c r="FLS70" s="2"/>
      <c r="FLT70" s="2"/>
      <c r="FLU70" s="2"/>
      <c r="FLV70" s="2"/>
      <c r="FLW70" s="2"/>
      <c r="FLX70" s="2"/>
      <c r="FLY70" s="2"/>
      <c r="FLZ70" s="2"/>
      <c r="FMA70" s="2"/>
      <c r="FMB70" s="2"/>
      <c r="FMC70" s="2"/>
      <c r="FMD70" s="2"/>
      <c r="FME70" s="2"/>
      <c r="FMF70" s="2"/>
      <c r="FMG70" s="2"/>
      <c r="FMH70" s="2"/>
      <c r="FMI70" s="2"/>
      <c r="FMJ70" s="2"/>
      <c r="FMK70" s="2"/>
      <c r="FML70" s="2"/>
      <c r="FMM70" s="2"/>
      <c r="FMN70" s="2"/>
      <c r="FMO70" s="2"/>
      <c r="FMP70" s="2"/>
      <c r="FMQ70" s="2"/>
      <c r="FMR70" s="2"/>
      <c r="FMS70" s="2"/>
      <c r="FMT70" s="2"/>
      <c r="FMU70" s="2"/>
      <c r="FMV70" s="2"/>
      <c r="FMW70" s="2"/>
      <c r="FMX70" s="2"/>
      <c r="FMY70" s="2"/>
      <c r="FMZ70" s="2"/>
      <c r="FNA70" s="2"/>
      <c r="FNB70" s="2"/>
      <c r="FNC70" s="2"/>
      <c r="FND70" s="2"/>
      <c r="FNE70" s="2"/>
      <c r="FNF70" s="2"/>
      <c r="FNG70" s="2"/>
      <c r="FNH70" s="2"/>
      <c r="FNI70" s="2"/>
      <c r="FNJ70" s="2"/>
      <c r="FNK70" s="2"/>
      <c r="FNL70" s="2"/>
      <c r="FNM70" s="2"/>
      <c r="FNN70" s="2"/>
      <c r="FNO70" s="2"/>
      <c r="FNP70" s="2"/>
      <c r="FNQ70" s="2"/>
      <c r="FNR70" s="2"/>
      <c r="FNS70" s="2"/>
      <c r="FNT70" s="2"/>
      <c r="FNU70" s="2"/>
      <c r="FNV70" s="2"/>
      <c r="FNW70" s="2"/>
      <c r="FNX70" s="2"/>
      <c r="FNY70" s="2"/>
      <c r="FNZ70" s="2"/>
      <c r="FOA70" s="2"/>
      <c r="FOB70" s="2"/>
      <c r="FOC70" s="2"/>
      <c r="FOD70" s="2"/>
      <c r="FOE70" s="2"/>
      <c r="FOF70" s="2"/>
      <c r="FOG70" s="2"/>
      <c r="FOH70" s="2"/>
      <c r="FOI70" s="2"/>
      <c r="FOJ70" s="2"/>
      <c r="FOK70" s="2"/>
      <c r="FOL70" s="2"/>
      <c r="FOM70" s="2"/>
      <c r="FON70" s="2"/>
      <c r="FOO70" s="2"/>
      <c r="FOP70" s="2"/>
      <c r="FOQ70" s="2"/>
      <c r="FOR70" s="2"/>
      <c r="FOS70" s="2"/>
      <c r="FOT70" s="2"/>
      <c r="FOU70" s="2"/>
      <c r="FOV70" s="2"/>
      <c r="FOW70" s="2"/>
      <c r="FOX70" s="2"/>
      <c r="FOY70" s="2"/>
      <c r="FOZ70" s="2"/>
      <c r="FPA70" s="2"/>
      <c r="FPB70" s="2"/>
      <c r="FPC70" s="2"/>
      <c r="FPD70" s="2"/>
      <c r="FPE70" s="2"/>
      <c r="FPF70" s="2"/>
      <c r="FPG70" s="2"/>
      <c r="FPH70" s="2"/>
      <c r="FPI70" s="2"/>
      <c r="FPJ70" s="2"/>
      <c r="FPK70" s="2"/>
      <c r="FPL70" s="2"/>
      <c r="FPM70" s="2"/>
      <c r="FPN70" s="2"/>
      <c r="FPO70" s="2"/>
      <c r="FPP70" s="2"/>
      <c r="FPQ70" s="2"/>
      <c r="FPR70" s="2"/>
      <c r="FPS70" s="2"/>
      <c r="FPT70" s="2"/>
      <c r="FPU70" s="2"/>
      <c r="FPV70" s="2"/>
      <c r="FPW70" s="2"/>
      <c r="FPX70" s="2"/>
      <c r="FPY70" s="2"/>
      <c r="FPZ70" s="2"/>
      <c r="FQA70" s="2"/>
      <c r="FQB70" s="2"/>
      <c r="FQC70" s="2"/>
      <c r="FQD70" s="2"/>
      <c r="FQE70" s="2"/>
      <c r="FQF70" s="2"/>
      <c r="FQG70" s="2"/>
      <c r="FQH70" s="2"/>
      <c r="FQI70" s="2"/>
      <c r="FQJ70" s="2"/>
      <c r="FQK70" s="2"/>
      <c r="FQL70" s="2"/>
      <c r="FQM70" s="2"/>
      <c r="FQN70" s="2"/>
      <c r="FQO70" s="2"/>
      <c r="FQP70" s="2"/>
      <c r="FQQ70" s="2"/>
      <c r="FQR70" s="2"/>
      <c r="FQS70" s="2"/>
      <c r="FQT70" s="2"/>
      <c r="FQU70" s="2"/>
      <c r="FQV70" s="2"/>
      <c r="FQW70" s="2"/>
      <c r="FQX70" s="2"/>
      <c r="FQY70" s="2"/>
      <c r="FQZ70" s="2"/>
      <c r="FRA70" s="2"/>
      <c r="FRB70" s="2"/>
      <c r="FRC70" s="2"/>
      <c r="FRD70" s="2"/>
      <c r="FRE70" s="2"/>
      <c r="FRF70" s="2"/>
      <c r="FRG70" s="2"/>
      <c r="FRH70" s="2"/>
      <c r="FRI70" s="2"/>
      <c r="FRJ70" s="2"/>
      <c r="FRK70" s="2"/>
      <c r="FRL70" s="2"/>
      <c r="FRM70" s="2"/>
      <c r="FRN70" s="2"/>
      <c r="FRO70" s="2"/>
      <c r="FRP70" s="2"/>
      <c r="FRQ70" s="2"/>
      <c r="FRR70" s="2"/>
      <c r="FRS70" s="2"/>
      <c r="FRT70" s="2"/>
      <c r="FRU70" s="2"/>
      <c r="FRV70" s="2"/>
      <c r="FRW70" s="2"/>
      <c r="FRX70" s="2"/>
      <c r="FRY70" s="2"/>
      <c r="FRZ70" s="2"/>
      <c r="FSA70" s="2"/>
      <c r="FSB70" s="2"/>
      <c r="FSC70" s="2"/>
      <c r="FSD70" s="2"/>
      <c r="FSE70" s="2"/>
      <c r="FSF70" s="2"/>
      <c r="FSG70" s="2"/>
      <c r="FSH70" s="2"/>
      <c r="FSI70" s="2"/>
      <c r="FSJ70" s="2"/>
      <c r="FSK70" s="2"/>
      <c r="FSL70" s="2"/>
      <c r="FSM70" s="2"/>
      <c r="FSN70" s="2"/>
      <c r="FSO70" s="2"/>
      <c r="FSP70" s="2"/>
      <c r="FSQ70" s="2"/>
      <c r="FSR70" s="2"/>
      <c r="FSS70" s="2"/>
      <c r="FST70" s="2"/>
      <c r="FSU70" s="2"/>
      <c r="FSV70" s="2"/>
      <c r="FSW70" s="2"/>
      <c r="FSX70" s="2"/>
      <c r="FSY70" s="2"/>
      <c r="FSZ70" s="2"/>
      <c r="FTA70" s="2"/>
      <c r="FTB70" s="2"/>
      <c r="FTC70" s="2"/>
      <c r="FTD70" s="2"/>
      <c r="FTE70" s="2"/>
      <c r="FTF70" s="2"/>
      <c r="FTG70" s="2"/>
      <c r="FTH70" s="2"/>
      <c r="FTI70" s="2"/>
      <c r="FTJ70" s="2"/>
      <c r="FTK70" s="2"/>
      <c r="FTL70" s="2"/>
      <c r="FTM70" s="2"/>
      <c r="FTN70" s="2"/>
      <c r="FTO70" s="2"/>
      <c r="FTP70" s="2"/>
      <c r="FTQ70" s="2"/>
      <c r="FTR70" s="2"/>
      <c r="FTS70" s="2"/>
      <c r="FTT70" s="2"/>
      <c r="FTU70" s="2"/>
      <c r="FTV70" s="2"/>
      <c r="FTW70" s="2"/>
      <c r="FTX70" s="2"/>
      <c r="FTY70" s="2"/>
      <c r="FTZ70" s="2"/>
      <c r="FUA70" s="2"/>
      <c r="FUB70" s="2"/>
      <c r="FUC70" s="2"/>
      <c r="FUD70" s="2"/>
      <c r="FUE70" s="2"/>
      <c r="FUF70" s="2"/>
      <c r="FUG70" s="2"/>
      <c r="FUH70" s="2"/>
      <c r="FUI70" s="2"/>
      <c r="FUJ70" s="2"/>
      <c r="FUK70" s="2"/>
      <c r="FUL70" s="2"/>
      <c r="FUM70" s="2"/>
      <c r="FUN70" s="2"/>
      <c r="FUO70" s="2"/>
      <c r="FUP70" s="2"/>
      <c r="FUQ70" s="2"/>
      <c r="FUR70" s="2"/>
      <c r="FUS70" s="2"/>
      <c r="FUT70" s="2"/>
      <c r="FUU70" s="2"/>
      <c r="FUV70" s="2"/>
      <c r="FUW70" s="2"/>
      <c r="FUX70" s="2"/>
      <c r="FUY70" s="2"/>
      <c r="FUZ70" s="2"/>
      <c r="FVA70" s="2"/>
      <c r="FVB70" s="2"/>
      <c r="FVC70" s="2"/>
      <c r="FVD70" s="2"/>
      <c r="FVE70" s="2"/>
      <c r="FVF70" s="2"/>
      <c r="FVG70" s="2"/>
      <c r="FVH70" s="2"/>
      <c r="FVI70" s="2"/>
      <c r="FVJ70" s="2"/>
      <c r="FVK70" s="2"/>
      <c r="FVL70" s="2"/>
      <c r="FVM70" s="2"/>
      <c r="FVN70" s="2"/>
      <c r="FVO70" s="2"/>
      <c r="FVP70" s="2"/>
      <c r="FVQ70" s="2"/>
      <c r="FVR70" s="2"/>
      <c r="FVS70" s="2"/>
      <c r="FVT70" s="2"/>
      <c r="FVU70" s="2"/>
      <c r="FVV70" s="2"/>
      <c r="FVW70" s="2"/>
      <c r="FVX70" s="2"/>
      <c r="FVY70" s="2"/>
      <c r="FVZ70" s="2"/>
      <c r="FWA70" s="2"/>
      <c r="FWB70" s="2"/>
      <c r="FWC70" s="2"/>
      <c r="FWD70" s="2"/>
      <c r="FWE70" s="2"/>
      <c r="FWF70" s="2"/>
      <c r="FWG70" s="2"/>
      <c r="FWH70" s="2"/>
      <c r="FWI70" s="2"/>
      <c r="FWJ70" s="2"/>
      <c r="FWK70" s="2"/>
      <c r="FWL70" s="2"/>
      <c r="FWM70" s="2"/>
      <c r="FWN70" s="2"/>
      <c r="FWO70" s="2"/>
      <c r="FWP70" s="2"/>
      <c r="FWQ70" s="2"/>
      <c r="FWR70" s="2"/>
      <c r="FWS70" s="2"/>
      <c r="FWT70" s="2"/>
      <c r="FWU70" s="2"/>
      <c r="FWV70" s="2"/>
      <c r="FWW70" s="2"/>
      <c r="FWX70" s="2"/>
      <c r="FWY70" s="2"/>
      <c r="FWZ70" s="2"/>
      <c r="FXA70" s="2"/>
      <c r="FXB70" s="2"/>
      <c r="FXC70" s="2"/>
      <c r="FXD70" s="2"/>
      <c r="FXE70" s="2"/>
      <c r="FXF70" s="2"/>
      <c r="FXG70" s="2"/>
      <c r="FXH70" s="2"/>
      <c r="FXI70" s="2"/>
      <c r="FXJ70" s="2"/>
      <c r="FXK70" s="2"/>
      <c r="FXL70" s="2"/>
      <c r="FXM70" s="2"/>
      <c r="FXN70" s="2"/>
      <c r="FXO70" s="2"/>
      <c r="FXP70" s="2"/>
      <c r="FXQ70" s="2"/>
      <c r="FXR70" s="2"/>
      <c r="FXS70" s="2"/>
      <c r="FXT70" s="2"/>
      <c r="FXU70" s="2"/>
      <c r="FXV70" s="2"/>
      <c r="FXW70" s="2"/>
      <c r="FXX70" s="2"/>
      <c r="FXY70" s="2"/>
      <c r="FXZ70" s="2"/>
      <c r="FYA70" s="2"/>
      <c r="FYB70" s="2"/>
      <c r="FYC70" s="2"/>
      <c r="FYD70" s="2"/>
      <c r="FYE70" s="2"/>
      <c r="FYF70" s="2"/>
      <c r="FYG70" s="2"/>
      <c r="FYH70" s="2"/>
      <c r="FYI70" s="2"/>
      <c r="FYJ70" s="2"/>
      <c r="FYK70" s="2"/>
      <c r="FYL70" s="2"/>
      <c r="FYM70" s="2"/>
      <c r="FYN70" s="2"/>
      <c r="FYO70" s="2"/>
      <c r="FYP70" s="2"/>
      <c r="FYQ70" s="2"/>
      <c r="FYR70" s="2"/>
      <c r="FYS70" s="2"/>
      <c r="FYT70" s="2"/>
      <c r="FYU70" s="2"/>
      <c r="FYV70" s="2"/>
      <c r="FYW70" s="2"/>
      <c r="FYX70" s="2"/>
      <c r="FYY70" s="2"/>
      <c r="FYZ70" s="2"/>
      <c r="FZA70" s="2"/>
      <c r="FZB70" s="2"/>
      <c r="FZC70" s="2"/>
      <c r="FZD70" s="2"/>
      <c r="FZE70" s="2"/>
      <c r="FZF70" s="2"/>
      <c r="FZG70" s="2"/>
      <c r="FZH70" s="2"/>
      <c r="FZI70" s="2"/>
      <c r="FZJ70" s="2"/>
      <c r="FZK70" s="2"/>
      <c r="FZL70" s="2"/>
      <c r="FZM70" s="2"/>
      <c r="FZN70" s="2"/>
      <c r="FZO70" s="2"/>
      <c r="FZP70" s="2"/>
      <c r="FZQ70" s="2"/>
      <c r="FZR70" s="2"/>
      <c r="FZS70" s="2"/>
      <c r="FZT70" s="2"/>
      <c r="FZU70" s="2"/>
      <c r="FZV70" s="2"/>
      <c r="FZW70" s="2"/>
      <c r="FZX70" s="2"/>
      <c r="FZY70" s="2"/>
      <c r="FZZ70" s="2"/>
      <c r="GAA70" s="2"/>
      <c r="GAB70" s="2"/>
      <c r="GAC70" s="2"/>
      <c r="GAD70" s="2"/>
      <c r="GAE70" s="2"/>
      <c r="GAF70" s="2"/>
      <c r="GAG70" s="2"/>
      <c r="GAH70" s="2"/>
      <c r="GAI70" s="2"/>
      <c r="GAJ70" s="2"/>
      <c r="GAK70" s="2"/>
      <c r="GAL70" s="2"/>
      <c r="GAM70" s="2"/>
      <c r="GAN70" s="2"/>
      <c r="GAO70" s="2"/>
      <c r="GAP70" s="2"/>
      <c r="GAQ70" s="2"/>
      <c r="GAR70" s="2"/>
      <c r="GAS70" s="2"/>
      <c r="GAT70" s="2"/>
      <c r="GAU70" s="2"/>
      <c r="GAV70" s="2"/>
      <c r="GAW70" s="2"/>
      <c r="GAX70" s="2"/>
      <c r="GAY70" s="2"/>
      <c r="GAZ70" s="2"/>
      <c r="GBA70" s="2"/>
      <c r="GBB70" s="2"/>
      <c r="GBC70" s="2"/>
      <c r="GBD70" s="2"/>
      <c r="GBE70" s="2"/>
      <c r="GBF70" s="2"/>
      <c r="GBG70" s="2"/>
      <c r="GBH70" s="2"/>
      <c r="GBI70" s="2"/>
      <c r="GBJ70" s="2"/>
      <c r="GBK70" s="2"/>
      <c r="GBL70" s="2"/>
      <c r="GBM70" s="2"/>
      <c r="GBN70" s="2"/>
      <c r="GBO70" s="2"/>
      <c r="GBP70" s="2"/>
      <c r="GBQ70" s="2"/>
      <c r="GBR70" s="2"/>
      <c r="GBS70" s="2"/>
      <c r="GBT70" s="2"/>
      <c r="GBU70" s="2"/>
      <c r="GBV70" s="2"/>
      <c r="GBW70" s="2"/>
      <c r="GBX70" s="2"/>
      <c r="GBY70" s="2"/>
      <c r="GBZ70" s="2"/>
      <c r="GCA70" s="2"/>
      <c r="GCB70" s="2"/>
      <c r="GCC70" s="2"/>
      <c r="GCD70" s="2"/>
      <c r="GCE70" s="2"/>
      <c r="GCF70" s="2"/>
      <c r="GCG70" s="2"/>
      <c r="GCH70" s="2"/>
      <c r="GCI70" s="2"/>
      <c r="GCJ70" s="2"/>
      <c r="GCK70" s="2"/>
      <c r="GCL70" s="2"/>
      <c r="GCM70" s="2"/>
      <c r="GCN70" s="2"/>
      <c r="GCO70" s="2"/>
      <c r="GCP70" s="2"/>
      <c r="GCQ70" s="2"/>
      <c r="GCR70" s="2"/>
      <c r="GCS70" s="2"/>
      <c r="GCT70" s="2"/>
      <c r="GCU70" s="2"/>
      <c r="GCV70" s="2"/>
      <c r="GCW70" s="2"/>
      <c r="GCX70" s="2"/>
      <c r="GCY70" s="2"/>
      <c r="GCZ70" s="2"/>
      <c r="GDA70" s="2"/>
      <c r="GDB70" s="2"/>
      <c r="GDC70" s="2"/>
      <c r="GDD70" s="2"/>
      <c r="GDE70" s="2"/>
      <c r="GDF70" s="2"/>
      <c r="GDG70" s="2"/>
      <c r="GDH70" s="2"/>
      <c r="GDI70" s="2"/>
      <c r="GDJ70" s="2"/>
      <c r="GDK70" s="2"/>
      <c r="GDL70" s="2"/>
      <c r="GDM70" s="2"/>
      <c r="GDN70" s="2"/>
      <c r="GDO70" s="2"/>
      <c r="GDP70" s="2"/>
      <c r="GDQ70" s="2"/>
      <c r="GDR70" s="2"/>
      <c r="GDS70" s="2"/>
      <c r="GDT70" s="2"/>
      <c r="GDU70" s="2"/>
      <c r="GDV70" s="2"/>
      <c r="GDW70" s="2"/>
      <c r="GDX70" s="2"/>
      <c r="GDY70" s="2"/>
      <c r="GDZ70" s="2"/>
      <c r="GEA70" s="2"/>
      <c r="GEB70" s="2"/>
      <c r="GEC70" s="2"/>
      <c r="GED70" s="2"/>
      <c r="GEE70" s="2"/>
      <c r="GEF70" s="2"/>
      <c r="GEG70" s="2"/>
      <c r="GEH70" s="2"/>
      <c r="GEI70" s="2"/>
      <c r="GEJ70" s="2"/>
      <c r="GEK70" s="2"/>
      <c r="GEL70" s="2"/>
      <c r="GEM70" s="2"/>
      <c r="GEN70" s="2"/>
      <c r="GEO70" s="2"/>
      <c r="GEP70" s="2"/>
      <c r="GEQ70" s="2"/>
      <c r="GER70" s="2"/>
      <c r="GES70" s="2"/>
      <c r="GET70" s="2"/>
      <c r="GEU70" s="2"/>
      <c r="GEV70" s="2"/>
      <c r="GEW70" s="2"/>
      <c r="GEX70" s="2"/>
      <c r="GEY70" s="2"/>
      <c r="GEZ70" s="2"/>
      <c r="GFA70" s="2"/>
      <c r="GFB70" s="2"/>
      <c r="GFC70" s="2"/>
      <c r="GFD70" s="2"/>
      <c r="GFE70" s="2"/>
      <c r="GFF70" s="2"/>
      <c r="GFG70" s="2"/>
      <c r="GFH70" s="2"/>
      <c r="GFI70" s="2"/>
      <c r="GFJ70" s="2"/>
      <c r="GFK70" s="2"/>
      <c r="GFL70" s="2"/>
      <c r="GFM70" s="2"/>
      <c r="GFN70" s="2"/>
      <c r="GFO70" s="2"/>
      <c r="GFP70" s="2"/>
      <c r="GFQ70" s="2"/>
      <c r="GFR70" s="2"/>
      <c r="GFS70" s="2"/>
      <c r="GFT70" s="2"/>
      <c r="GFU70" s="2"/>
      <c r="GFV70" s="2"/>
      <c r="GFW70" s="2"/>
      <c r="GFX70" s="2"/>
      <c r="GFY70" s="2"/>
      <c r="GFZ70" s="2"/>
      <c r="GGA70" s="2"/>
      <c r="GGB70" s="2"/>
      <c r="GGC70" s="2"/>
      <c r="GGD70" s="2"/>
      <c r="GGE70" s="2"/>
      <c r="GGF70" s="2"/>
      <c r="GGG70" s="2"/>
      <c r="GGH70" s="2"/>
      <c r="GGI70" s="2"/>
      <c r="GGJ70" s="2"/>
      <c r="GGK70" s="2"/>
      <c r="GGL70" s="2"/>
      <c r="GGM70" s="2"/>
      <c r="GGN70" s="2"/>
      <c r="GGO70" s="2"/>
      <c r="GGP70" s="2"/>
      <c r="GGQ70" s="2"/>
      <c r="GGR70" s="2"/>
      <c r="GGS70" s="2"/>
      <c r="GGT70" s="2"/>
      <c r="GGU70" s="2"/>
      <c r="GGV70" s="2"/>
      <c r="GGW70" s="2"/>
      <c r="GGX70" s="2"/>
      <c r="GGY70" s="2"/>
      <c r="GGZ70" s="2"/>
      <c r="GHA70" s="2"/>
      <c r="GHB70" s="2"/>
      <c r="GHC70" s="2"/>
      <c r="GHD70" s="2"/>
      <c r="GHE70" s="2"/>
      <c r="GHF70" s="2"/>
      <c r="GHG70" s="2"/>
      <c r="GHH70" s="2"/>
      <c r="GHI70" s="2"/>
      <c r="GHJ70" s="2"/>
      <c r="GHK70" s="2"/>
      <c r="GHL70" s="2"/>
      <c r="GHM70" s="2"/>
      <c r="GHN70" s="2"/>
      <c r="GHO70" s="2"/>
      <c r="GHP70" s="2"/>
      <c r="GHQ70" s="2"/>
      <c r="GHR70" s="2"/>
      <c r="GHS70" s="2"/>
      <c r="GHT70" s="2"/>
      <c r="GHU70" s="2"/>
      <c r="GHV70" s="2"/>
      <c r="GHW70" s="2"/>
      <c r="GHX70" s="2"/>
      <c r="GHY70" s="2"/>
      <c r="GHZ70" s="2"/>
      <c r="GIA70" s="2"/>
      <c r="GIB70" s="2"/>
      <c r="GIC70" s="2"/>
      <c r="GID70" s="2"/>
      <c r="GIE70" s="2"/>
      <c r="GIF70" s="2"/>
      <c r="GIG70" s="2"/>
      <c r="GIH70" s="2"/>
      <c r="GII70" s="2"/>
      <c r="GIJ70" s="2"/>
      <c r="GIK70" s="2"/>
      <c r="GIL70" s="2"/>
      <c r="GIM70" s="2"/>
      <c r="GIN70" s="2"/>
      <c r="GIO70" s="2"/>
      <c r="GIP70" s="2"/>
      <c r="GIQ70" s="2"/>
      <c r="GIR70" s="2"/>
      <c r="GIS70" s="2"/>
      <c r="GIT70" s="2"/>
      <c r="GIU70" s="2"/>
      <c r="GIV70" s="2"/>
      <c r="GIW70" s="2"/>
      <c r="GIX70" s="2"/>
      <c r="GIY70" s="2"/>
      <c r="GIZ70" s="2"/>
      <c r="GJA70" s="2"/>
      <c r="GJB70" s="2"/>
      <c r="GJC70" s="2"/>
      <c r="GJD70" s="2"/>
      <c r="GJE70" s="2"/>
      <c r="GJF70" s="2"/>
      <c r="GJG70" s="2"/>
      <c r="GJH70" s="2"/>
      <c r="GJI70" s="2"/>
      <c r="GJJ70" s="2"/>
      <c r="GJK70" s="2"/>
      <c r="GJL70" s="2"/>
      <c r="GJM70" s="2"/>
      <c r="GJN70" s="2"/>
      <c r="GJO70" s="2"/>
      <c r="GJP70" s="2"/>
      <c r="GJQ70" s="2"/>
      <c r="GJR70" s="2"/>
      <c r="GJS70" s="2"/>
      <c r="GJT70" s="2"/>
      <c r="GJU70" s="2"/>
      <c r="GJV70" s="2"/>
      <c r="GJW70" s="2"/>
      <c r="GJX70" s="2"/>
      <c r="GJY70" s="2"/>
      <c r="GJZ70" s="2"/>
      <c r="GKA70" s="2"/>
      <c r="GKB70" s="2"/>
      <c r="GKC70" s="2"/>
      <c r="GKD70" s="2"/>
      <c r="GKE70" s="2"/>
      <c r="GKF70" s="2"/>
      <c r="GKG70" s="2"/>
      <c r="GKH70" s="2"/>
      <c r="GKI70" s="2"/>
      <c r="GKJ70" s="2"/>
      <c r="GKK70" s="2"/>
      <c r="GKL70" s="2"/>
      <c r="GKM70" s="2"/>
      <c r="GKN70" s="2"/>
      <c r="GKO70" s="2"/>
      <c r="GKP70" s="2"/>
      <c r="GKQ70" s="2"/>
      <c r="GKR70" s="2"/>
      <c r="GKS70" s="2"/>
      <c r="GKT70" s="2"/>
      <c r="GKU70" s="2"/>
      <c r="GKV70" s="2"/>
      <c r="GKW70" s="2"/>
      <c r="GKX70" s="2"/>
      <c r="GKY70" s="2"/>
      <c r="GKZ70" s="2"/>
      <c r="GLA70" s="2"/>
      <c r="GLB70" s="2"/>
      <c r="GLC70" s="2"/>
      <c r="GLD70" s="2"/>
      <c r="GLE70" s="2"/>
      <c r="GLF70" s="2"/>
      <c r="GLG70" s="2"/>
      <c r="GLH70" s="2"/>
      <c r="GLI70" s="2"/>
      <c r="GLJ70" s="2"/>
      <c r="GLK70" s="2"/>
      <c r="GLL70" s="2"/>
      <c r="GLM70" s="2"/>
      <c r="GLN70" s="2"/>
      <c r="GLO70" s="2"/>
      <c r="GLP70" s="2"/>
      <c r="GLQ70" s="2"/>
      <c r="GLR70" s="2"/>
      <c r="GLS70" s="2"/>
      <c r="GLT70" s="2"/>
      <c r="GLU70" s="2"/>
      <c r="GLV70" s="2"/>
      <c r="GLW70" s="2"/>
      <c r="GLX70" s="2"/>
      <c r="GLY70" s="2"/>
      <c r="GLZ70" s="2"/>
      <c r="GMA70" s="2"/>
      <c r="GMB70" s="2"/>
      <c r="GMC70" s="2"/>
      <c r="GMD70" s="2"/>
      <c r="GME70" s="2"/>
      <c r="GMF70" s="2"/>
      <c r="GMG70" s="2"/>
      <c r="GMH70" s="2"/>
      <c r="GMI70" s="2"/>
      <c r="GMJ70" s="2"/>
      <c r="GMK70" s="2"/>
      <c r="GML70" s="2"/>
      <c r="GMM70" s="2"/>
      <c r="GMN70" s="2"/>
      <c r="GMO70" s="2"/>
      <c r="GMP70" s="2"/>
      <c r="GMQ70" s="2"/>
      <c r="GMR70" s="2"/>
      <c r="GMS70" s="2"/>
      <c r="GMT70" s="2"/>
      <c r="GMU70" s="2"/>
      <c r="GMV70" s="2"/>
      <c r="GMW70" s="2"/>
      <c r="GMX70" s="2"/>
      <c r="GMY70" s="2"/>
      <c r="GMZ70" s="2"/>
      <c r="GNA70" s="2"/>
      <c r="GNB70" s="2"/>
      <c r="GNC70" s="2"/>
      <c r="GND70" s="2"/>
      <c r="GNE70" s="2"/>
      <c r="GNF70" s="2"/>
      <c r="GNG70" s="2"/>
      <c r="GNH70" s="2"/>
      <c r="GNI70" s="2"/>
      <c r="GNJ70" s="2"/>
      <c r="GNK70" s="2"/>
      <c r="GNL70" s="2"/>
      <c r="GNM70" s="2"/>
      <c r="GNN70" s="2"/>
      <c r="GNO70" s="2"/>
      <c r="GNP70" s="2"/>
      <c r="GNQ70" s="2"/>
      <c r="GNR70" s="2"/>
      <c r="GNS70" s="2"/>
      <c r="GNT70" s="2"/>
      <c r="GNU70" s="2"/>
      <c r="GNV70" s="2"/>
      <c r="GNW70" s="2"/>
      <c r="GNX70" s="2"/>
      <c r="GNY70" s="2"/>
      <c r="GNZ70" s="2"/>
      <c r="GOA70" s="2"/>
      <c r="GOB70" s="2"/>
      <c r="GOC70" s="2"/>
      <c r="GOD70" s="2"/>
      <c r="GOE70" s="2"/>
      <c r="GOF70" s="2"/>
      <c r="GOG70" s="2"/>
      <c r="GOH70" s="2"/>
      <c r="GOI70" s="2"/>
      <c r="GOJ70" s="2"/>
      <c r="GOK70" s="2"/>
      <c r="GOL70" s="2"/>
      <c r="GOM70" s="2"/>
      <c r="GON70" s="2"/>
      <c r="GOO70" s="2"/>
      <c r="GOP70" s="2"/>
      <c r="GOQ70" s="2"/>
      <c r="GOR70" s="2"/>
      <c r="GOS70" s="2"/>
      <c r="GOT70" s="2"/>
      <c r="GOU70" s="2"/>
      <c r="GOV70" s="2"/>
      <c r="GOW70" s="2"/>
      <c r="GOX70" s="2"/>
      <c r="GOY70" s="2"/>
      <c r="GOZ70" s="2"/>
      <c r="GPA70" s="2"/>
      <c r="GPB70" s="2"/>
      <c r="GPC70" s="2"/>
      <c r="GPD70" s="2"/>
      <c r="GPE70" s="2"/>
      <c r="GPF70" s="2"/>
      <c r="GPG70" s="2"/>
      <c r="GPH70" s="2"/>
      <c r="GPI70" s="2"/>
      <c r="GPJ70" s="2"/>
      <c r="GPK70" s="2"/>
      <c r="GPL70" s="2"/>
      <c r="GPM70" s="2"/>
      <c r="GPN70" s="2"/>
      <c r="GPO70" s="2"/>
      <c r="GPP70" s="2"/>
      <c r="GPQ70" s="2"/>
      <c r="GPR70" s="2"/>
      <c r="GPS70" s="2"/>
      <c r="GPT70" s="2"/>
      <c r="GPU70" s="2"/>
      <c r="GPV70" s="2"/>
      <c r="GPW70" s="2"/>
      <c r="GPX70" s="2"/>
      <c r="GPY70" s="2"/>
      <c r="GPZ70" s="2"/>
      <c r="GQA70" s="2"/>
      <c r="GQB70" s="2"/>
      <c r="GQC70" s="2"/>
      <c r="GQD70" s="2"/>
      <c r="GQE70" s="2"/>
      <c r="GQF70" s="2"/>
      <c r="GQG70" s="2"/>
      <c r="GQH70" s="2"/>
      <c r="GQI70" s="2"/>
      <c r="GQJ70" s="2"/>
      <c r="GQK70" s="2"/>
      <c r="GQL70" s="2"/>
      <c r="GQM70" s="2"/>
      <c r="GQN70" s="2"/>
      <c r="GQO70" s="2"/>
      <c r="GQP70" s="2"/>
      <c r="GQQ70" s="2"/>
      <c r="GQR70" s="2"/>
      <c r="GQS70" s="2"/>
      <c r="GQT70" s="2"/>
      <c r="GQU70" s="2"/>
      <c r="GQV70" s="2"/>
      <c r="GQW70" s="2"/>
      <c r="GQX70" s="2"/>
      <c r="GQY70" s="2"/>
      <c r="GQZ70" s="2"/>
      <c r="GRA70" s="2"/>
      <c r="GRB70" s="2"/>
      <c r="GRC70" s="2"/>
      <c r="GRD70" s="2"/>
      <c r="GRE70" s="2"/>
      <c r="GRF70" s="2"/>
      <c r="GRG70" s="2"/>
      <c r="GRH70" s="2"/>
      <c r="GRI70" s="2"/>
      <c r="GRJ70" s="2"/>
      <c r="GRK70" s="2"/>
      <c r="GRL70" s="2"/>
      <c r="GRM70" s="2"/>
      <c r="GRN70" s="2"/>
      <c r="GRO70" s="2"/>
      <c r="GRP70" s="2"/>
      <c r="GRQ70" s="2"/>
      <c r="GRR70" s="2"/>
      <c r="GRS70" s="2"/>
      <c r="GRT70" s="2"/>
      <c r="GRU70" s="2"/>
      <c r="GRV70" s="2"/>
      <c r="GRW70" s="2"/>
      <c r="GRX70" s="2"/>
      <c r="GRY70" s="2"/>
      <c r="GRZ70" s="2"/>
      <c r="GSA70" s="2"/>
      <c r="GSB70" s="2"/>
      <c r="GSC70" s="2"/>
      <c r="GSD70" s="2"/>
      <c r="GSE70" s="2"/>
      <c r="GSF70" s="2"/>
      <c r="GSG70" s="2"/>
      <c r="GSH70" s="2"/>
      <c r="GSI70" s="2"/>
      <c r="GSJ70" s="2"/>
      <c r="GSK70" s="2"/>
      <c r="GSL70" s="2"/>
      <c r="GSM70" s="2"/>
      <c r="GSN70" s="2"/>
      <c r="GSO70" s="2"/>
      <c r="GSP70" s="2"/>
      <c r="GSQ70" s="2"/>
      <c r="GSR70" s="2"/>
      <c r="GSS70" s="2"/>
      <c r="GST70" s="2"/>
      <c r="GSU70" s="2"/>
      <c r="GSV70" s="2"/>
      <c r="GSW70" s="2"/>
      <c r="GSX70" s="2"/>
      <c r="GSY70" s="2"/>
      <c r="GSZ70" s="2"/>
      <c r="GTA70" s="2"/>
      <c r="GTB70" s="2"/>
      <c r="GTC70" s="2"/>
      <c r="GTD70" s="2"/>
      <c r="GTE70" s="2"/>
      <c r="GTF70" s="2"/>
      <c r="GTG70" s="2"/>
      <c r="GTH70" s="2"/>
      <c r="GTI70" s="2"/>
      <c r="GTJ70" s="2"/>
      <c r="GTK70" s="2"/>
      <c r="GTL70" s="2"/>
      <c r="GTM70" s="2"/>
      <c r="GTN70" s="2"/>
      <c r="GTO70" s="2"/>
      <c r="GTP70" s="2"/>
      <c r="GTQ70" s="2"/>
      <c r="GTR70" s="2"/>
      <c r="GTS70" s="2"/>
      <c r="GTT70" s="2"/>
      <c r="GTU70" s="2"/>
      <c r="GTV70" s="2"/>
      <c r="GTW70" s="2"/>
      <c r="GTX70" s="2"/>
      <c r="GTY70" s="2"/>
      <c r="GTZ70" s="2"/>
      <c r="GUA70" s="2"/>
      <c r="GUB70" s="2"/>
      <c r="GUC70" s="2"/>
      <c r="GUD70" s="2"/>
      <c r="GUE70" s="2"/>
      <c r="GUF70" s="2"/>
      <c r="GUG70" s="2"/>
      <c r="GUH70" s="2"/>
      <c r="GUI70" s="2"/>
      <c r="GUJ70" s="2"/>
      <c r="GUK70" s="2"/>
      <c r="GUL70" s="2"/>
      <c r="GUM70" s="2"/>
      <c r="GUN70" s="2"/>
      <c r="GUO70" s="2"/>
      <c r="GUP70" s="2"/>
      <c r="GUQ70" s="2"/>
      <c r="GUR70" s="2"/>
      <c r="GUS70" s="2"/>
      <c r="GUT70" s="2"/>
      <c r="GUU70" s="2"/>
      <c r="GUV70" s="2"/>
      <c r="GUW70" s="2"/>
      <c r="GUX70" s="2"/>
      <c r="GUY70" s="2"/>
      <c r="GUZ70" s="2"/>
      <c r="GVA70" s="2"/>
      <c r="GVB70" s="2"/>
      <c r="GVC70" s="2"/>
      <c r="GVD70" s="2"/>
      <c r="GVE70" s="2"/>
      <c r="GVF70" s="2"/>
      <c r="GVG70" s="2"/>
      <c r="GVH70" s="2"/>
      <c r="GVI70" s="2"/>
      <c r="GVJ70" s="2"/>
      <c r="GVK70" s="2"/>
      <c r="GVL70" s="2"/>
      <c r="GVM70" s="2"/>
      <c r="GVN70" s="2"/>
      <c r="GVO70" s="2"/>
      <c r="GVP70" s="2"/>
      <c r="GVQ70" s="2"/>
      <c r="GVR70" s="2"/>
      <c r="GVS70" s="2"/>
      <c r="GVT70" s="2"/>
      <c r="GVU70" s="2"/>
      <c r="GVV70" s="2"/>
      <c r="GVW70" s="2"/>
      <c r="GVX70" s="2"/>
      <c r="GVY70" s="2"/>
      <c r="GVZ70" s="2"/>
      <c r="GWA70" s="2"/>
      <c r="GWB70" s="2"/>
      <c r="GWC70" s="2"/>
      <c r="GWD70" s="2"/>
      <c r="GWE70" s="2"/>
      <c r="GWF70" s="2"/>
      <c r="GWG70" s="2"/>
      <c r="GWH70" s="2"/>
      <c r="GWI70" s="2"/>
      <c r="GWJ70" s="2"/>
      <c r="GWK70" s="2"/>
      <c r="GWL70" s="2"/>
      <c r="GWM70" s="2"/>
      <c r="GWN70" s="2"/>
      <c r="GWO70" s="2"/>
      <c r="GWP70" s="2"/>
      <c r="GWQ70" s="2"/>
      <c r="GWR70" s="2"/>
      <c r="GWS70" s="2"/>
      <c r="GWT70" s="2"/>
      <c r="GWU70" s="2"/>
      <c r="GWV70" s="2"/>
      <c r="GWW70" s="2"/>
      <c r="GWX70" s="2"/>
      <c r="GWY70" s="2"/>
      <c r="GWZ70" s="2"/>
      <c r="GXA70" s="2"/>
      <c r="GXB70" s="2"/>
      <c r="GXC70" s="2"/>
      <c r="GXD70" s="2"/>
      <c r="GXE70" s="2"/>
      <c r="GXF70" s="2"/>
      <c r="GXG70" s="2"/>
      <c r="GXH70" s="2"/>
      <c r="GXI70" s="2"/>
      <c r="GXJ70" s="2"/>
      <c r="GXK70" s="2"/>
      <c r="GXL70" s="2"/>
      <c r="GXM70" s="2"/>
      <c r="GXN70" s="2"/>
      <c r="GXO70" s="2"/>
      <c r="GXP70" s="2"/>
      <c r="GXQ70" s="2"/>
      <c r="GXR70" s="2"/>
      <c r="GXS70" s="2"/>
      <c r="GXT70" s="2"/>
      <c r="GXU70" s="2"/>
      <c r="GXV70" s="2"/>
      <c r="GXW70" s="2"/>
      <c r="GXX70" s="2"/>
      <c r="GXY70" s="2"/>
      <c r="GXZ70" s="2"/>
      <c r="GYA70" s="2"/>
      <c r="GYB70" s="2"/>
      <c r="GYC70" s="2"/>
      <c r="GYD70" s="2"/>
      <c r="GYE70" s="2"/>
      <c r="GYF70" s="2"/>
      <c r="GYG70" s="2"/>
      <c r="GYH70" s="2"/>
      <c r="GYI70" s="2"/>
      <c r="GYJ70" s="2"/>
      <c r="GYK70" s="2"/>
      <c r="GYL70" s="2"/>
      <c r="GYM70" s="2"/>
      <c r="GYN70" s="2"/>
      <c r="GYO70" s="2"/>
      <c r="GYP70" s="2"/>
      <c r="GYQ70" s="2"/>
      <c r="GYR70" s="2"/>
      <c r="GYS70" s="2"/>
      <c r="GYT70" s="2"/>
      <c r="GYU70" s="2"/>
      <c r="GYV70" s="2"/>
      <c r="GYW70" s="2"/>
      <c r="GYX70" s="2"/>
      <c r="GYY70" s="2"/>
      <c r="GYZ70" s="2"/>
      <c r="GZA70" s="2"/>
      <c r="GZB70" s="2"/>
      <c r="GZC70" s="2"/>
      <c r="GZD70" s="2"/>
      <c r="GZE70" s="2"/>
      <c r="GZF70" s="2"/>
      <c r="GZG70" s="2"/>
      <c r="GZH70" s="2"/>
      <c r="GZI70" s="2"/>
      <c r="GZJ70" s="2"/>
      <c r="GZK70" s="2"/>
      <c r="GZL70" s="2"/>
      <c r="GZM70" s="2"/>
      <c r="GZN70" s="2"/>
      <c r="GZO70" s="2"/>
      <c r="GZP70" s="2"/>
      <c r="GZQ70" s="2"/>
      <c r="GZR70" s="2"/>
      <c r="GZS70" s="2"/>
      <c r="GZT70" s="2"/>
      <c r="GZU70" s="2"/>
      <c r="GZV70" s="2"/>
      <c r="GZW70" s="2"/>
      <c r="GZX70" s="2"/>
      <c r="GZY70" s="2"/>
      <c r="GZZ70" s="2"/>
      <c r="HAA70" s="2"/>
      <c r="HAB70" s="2"/>
      <c r="HAC70" s="2"/>
      <c r="HAD70" s="2"/>
      <c r="HAE70" s="2"/>
      <c r="HAF70" s="2"/>
      <c r="HAG70" s="2"/>
      <c r="HAH70" s="2"/>
      <c r="HAI70" s="2"/>
      <c r="HAJ70" s="2"/>
      <c r="HAK70" s="2"/>
      <c r="HAL70" s="2"/>
      <c r="HAM70" s="2"/>
      <c r="HAN70" s="2"/>
      <c r="HAO70" s="2"/>
      <c r="HAP70" s="2"/>
      <c r="HAQ70" s="2"/>
      <c r="HAR70" s="2"/>
      <c r="HAS70" s="2"/>
      <c r="HAT70" s="2"/>
      <c r="HAU70" s="2"/>
      <c r="HAV70" s="2"/>
      <c r="HAW70" s="2"/>
      <c r="HAX70" s="2"/>
      <c r="HAY70" s="2"/>
      <c r="HAZ70" s="2"/>
      <c r="HBA70" s="2"/>
      <c r="HBB70" s="2"/>
      <c r="HBC70" s="2"/>
      <c r="HBD70" s="2"/>
      <c r="HBE70" s="2"/>
      <c r="HBF70" s="2"/>
      <c r="HBG70" s="2"/>
      <c r="HBH70" s="2"/>
      <c r="HBI70" s="2"/>
      <c r="HBJ70" s="2"/>
      <c r="HBK70" s="2"/>
      <c r="HBL70" s="2"/>
      <c r="HBM70" s="2"/>
      <c r="HBN70" s="2"/>
      <c r="HBO70" s="2"/>
      <c r="HBP70" s="2"/>
      <c r="HBQ70" s="2"/>
      <c r="HBR70" s="2"/>
      <c r="HBS70" s="2"/>
      <c r="HBT70" s="2"/>
      <c r="HBU70" s="2"/>
      <c r="HBV70" s="2"/>
      <c r="HBW70" s="2"/>
      <c r="HBX70" s="2"/>
      <c r="HBY70" s="2"/>
      <c r="HBZ70" s="2"/>
      <c r="HCA70" s="2"/>
      <c r="HCB70" s="2"/>
      <c r="HCC70" s="2"/>
      <c r="HCD70" s="2"/>
      <c r="HCE70" s="2"/>
      <c r="HCF70" s="2"/>
      <c r="HCG70" s="2"/>
      <c r="HCH70" s="2"/>
      <c r="HCI70" s="2"/>
      <c r="HCJ70" s="2"/>
      <c r="HCK70" s="2"/>
      <c r="HCL70" s="2"/>
      <c r="HCM70" s="2"/>
      <c r="HCN70" s="2"/>
      <c r="HCO70" s="2"/>
      <c r="HCP70" s="2"/>
      <c r="HCQ70" s="2"/>
      <c r="HCR70" s="2"/>
      <c r="HCS70" s="2"/>
      <c r="HCT70" s="2"/>
      <c r="HCU70" s="2"/>
      <c r="HCV70" s="2"/>
      <c r="HCW70" s="2"/>
      <c r="HCX70" s="2"/>
      <c r="HCY70" s="2"/>
      <c r="HCZ70" s="2"/>
      <c r="HDA70" s="2"/>
      <c r="HDB70" s="2"/>
      <c r="HDC70" s="2"/>
      <c r="HDD70" s="2"/>
      <c r="HDE70" s="2"/>
      <c r="HDF70" s="2"/>
      <c r="HDG70" s="2"/>
      <c r="HDH70" s="2"/>
      <c r="HDI70" s="2"/>
      <c r="HDJ70" s="2"/>
      <c r="HDK70" s="2"/>
      <c r="HDL70" s="2"/>
      <c r="HDM70" s="2"/>
      <c r="HDN70" s="2"/>
      <c r="HDO70" s="2"/>
      <c r="HDP70" s="2"/>
      <c r="HDQ70" s="2"/>
      <c r="HDR70" s="2"/>
      <c r="HDS70" s="2"/>
      <c r="HDT70" s="2"/>
      <c r="HDU70" s="2"/>
      <c r="HDV70" s="2"/>
      <c r="HDW70" s="2"/>
      <c r="HDX70" s="2"/>
      <c r="HDY70" s="2"/>
      <c r="HDZ70" s="2"/>
      <c r="HEA70" s="2"/>
      <c r="HEB70" s="2"/>
      <c r="HEC70" s="2"/>
      <c r="HED70" s="2"/>
      <c r="HEE70" s="2"/>
      <c r="HEF70" s="2"/>
      <c r="HEG70" s="2"/>
      <c r="HEH70" s="2"/>
      <c r="HEI70" s="2"/>
      <c r="HEJ70" s="2"/>
      <c r="HEK70" s="2"/>
      <c r="HEL70" s="2"/>
      <c r="HEM70" s="2"/>
      <c r="HEN70" s="2"/>
      <c r="HEO70" s="2"/>
      <c r="HEP70" s="2"/>
      <c r="HEQ70" s="2"/>
      <c r="HER70" s="2"/>
      <c r="HES70" s="2"/>
      <c r="HET70" s="2"/>
      <c r="HEU70" s="2"/>
      <c r="HEV70" s="2"/>
      <c r="HEW70" s="2"/>
      <c r="HEX70" s="2"/>
      <c r="HEY70" s="2"/>
      <c r="HEZ70" s="2"/>
      <c r="HFA70" s="2"/>
      <c r="HFB70" s="2"/>
      <c r="HFC70" s="2"/>
      <c r="HFD70" s="2"/>
      <c r="HFE70" s="2"/>
      <c r="HFF70" s="2"/>
      <c r="HFG70" s="2"/>
      <c r="HFH70" s="2"/>
      <c r="HFI70" s="2"/>
      <c r="HFJ70" s="2"/>
      <c r="HFK70" s="2"/>
      <c r="HFL70" s="2"/>
      <c r="HFM70" s="2"/>
      <c r="HFN70" s="2"/>
      <c r="HFO70" s="2"/>
      <c r="HFP70" s="2"/>
      <c r="HFQ70" s="2"/>
      <c r="HFR70" s="2"/>
      <c r="HFS70" s="2"/>
      <c r="HFT70" s="2"/>
      <c r="HFU70" s="2"/>
      <c r="HFV70" s="2"/>
      <c r="HFW70" s="2"/>
      <c r="HFX70" s="2"/>
      <c r="HFY70" s="2"/>
      <c r="HFZ70" s="2"/>
      <c r="HGA70" s="2"/>
      <c r="HGB70" s="2"/>
      <c r="HGC70" s="2"/>
      <c r="HGD70" s="2"/>
      <c r="HGE70" s="2"/>
      <c r="HGF70" s="2"/>
      <c r="HGG70" s="2"/>
      <c r="HGH70" s="2"/>
      <c r="HGI70" s="2"/>
      <c r="HGJ70" s="2"/>
      <c r="HGK70" s="2"/>
      <c r="HGL70" s="2"/>
      <c r="HGM70" s="2"/>
      <c r="HGN70" s="2"/>
      <c r="HGO70" s="2"/>
      <c r="HGP70" s="2"/>
      <c r="HGQ70" s="2"/>
      <c r="HGR70" s="2"/>
      <c r="HGS70" s="2"/>
      <c r="HGT70" s="2"/>
      <c r="HGU70" s="2"/>
      <c r="HGV70" s="2"/>
      <c r="HGW70" s="2"/>
      <c r="HGX70" s="2"/>
      <c r="HGY70" s="2"/>
      <c r="HGZ70" s="2"/>
      <c r="HHA70" s="2"/>
      <c r="HHB70" s="2"/>
      <c r="HHC70" s="2"/>
      <c r="HHD70" s="2"/>
      <c r="HHE70" s="2"/>
      <c r="HHF70" s="2"/>
      <c r="HHG70" s="2"/>
      <c r="HHH70" s="2"/>
      <c r="HHI70" s="2"/>
      <c r="HHJ70" s="2"/>
      <c r="HHK70" s="2"/>
      <c r="HHL70" s="2"/>
      <c r="HHM70" s="2"/>
      <c r="HHN70" s="2"/>
      <c r="HHO70" s="2"/>
      <c r="HHP70" s="2"/>
      <c r="HHQ70" s="2"/>
      <c r="HHR70" s="2"/>
      <c r="HHS70" s="2"/>
      <c r="HHT70" s="2"/>
      <c r="HHU70" s="2"/>
      <c r="HHV70" s="2"/>
      <c r="HHW70" s="2"/>
      <c r="HHX70" s="2"/>
      <c r="HHY70" s="2"/>
      <c r="HHZ70" s="2"/>
      <c r="HIA70" s="2"/>
      <c r="HIB70" s="2"/>
      <c r="HIC70" s="2"/>
      <c r="HID70" s="2"/>
      <c r="HIE70" s="2"/>
      <c r="HIF70" s="2"/>
      <c r="HIG70" s="2"/>
      <c r="HIH70" s="2"/>
      <c r="HII70" s="2"/>
      <c r="HIJ70" s="2"/>
      <c r="HIK70" s="2"/>
      <c r="HIL70" s="2"/>
      <c r="HIM70" s="2"/>
      <c r="HIN70" s="2"/>
      <c r="HIO70" s="2"/>
      <c r="HIP70" s="2"/>
      <c r="HIQ70" s="2"/>
      <c r="HIR70" s="2"/>
      <c r="HIS70" s="2"/>
      <c r="HIT70" s="2"/>
      <c r="HIU70" s="2"/>
      <c r="HIV70" s="2"/>
      <c r="HIW70" s="2"/>
      <c r="HIX70" s="2"/>
      <c r="HIY70" s="2"/>
      <c r="HIZ70" s="2"/>
      <c r="HJA70" s="2"/>
      <c r="HJB70" s="2"/>
      <c r="HJC70" s="2"/>
      <c r="HJD70" s="2"/>
      <c r="HJE70" s="2"/>
      <c r="HJF70" s="2"/>
      <c r="HJG70" s="2"/>
      <c r="HJH70" s="2"/>
      <c r="HJI70" s="2"/>
      <c r="HJJ70" s="2"/>
      <c r="HJK70" s="2"/>
      <c r="HJL70" s="2"/>
      <c r="HJM70" s="2"/>
      <c r="HJN70" s="2"/>
      <c r="HJO70" s="2"/>
      <c r="HJP70" s="2"/>
      <c r="HJQ70" s="2"/>
      <c r="HJR70" s="2"/>
      <c r="HJS70" s="2"/>
      <c r="HJT70" s="2"/>
      <c r="HJU70" s="2"/>
      <c r="HJV70" s="2"/>
      <c r="HJW70" s="2"/>
      <c r="HJX70" s="2"/>
      <c r="HJY70" s="2"/>
      <c r="HJZ70" s="2"/>
      <c r="HKA70" s="2"/>
      <c r="HKB70" s="2"/>
      <c r="HKC70" s="2"/>
      <c r="HKD70" s="2"/>
      <c r="HKE70" s="2"/>
      <c r="HKF70" s="2"/>
      <c r="HKG70" s="2"/>
      <c r="HKH70" s="2"/>
      <c r="HKI70" s="2"/>
      <c r="HKJ70" s="2"/>
      <c r="HKK70" s="2"/>
      <c r="HKL70" s="2"/>
      <c r="HKM70" s="2"/>
      <c r="HKN70" s="2"/>
      <c r="HKO70" s="2"/>
      <c r="HKP70" s="2"/>
      <c r="HKQ70" s="2"/>
      <c r="HKR70" s="2"/>
      <c r="HKS70" s="2"/>
      <c r="HKT70" s="2"/>
      <c r="HKU70" s="2"/>
      <c r="HKV70" s="2"/>
      <c r="HKW70" s="2"/>
      <c r="HKX70" s="2"/>
      <c r="HKY70" s="2"/>
      <c r="HKZ70" s="2"/>
      <c r="HLA70" s="2"/>
      <c r="HLB70" s="2"/>
      <c r="HLC70" s="2"/>
      <c r="HLD70" s="2"/>
      <c r="HLE70" s="2"/>
      <c r="HLF70" s="2"/>
      <c r="HLG70" s="2"/>
      <c r="HLH70" s="2"/>
      <c r="HLI70" s="2"/>
      <c r="HLJ70" s="2"/>
      <c r="HLK70" s="2"/>
      <c r="HLL70" s="2"/>
      <c r="HLM70" s="2"/>
      <c r="HLN70" s="2"/>
      <c r="HLO70" s="2"/>
      <c r="HLP70" s="2"/>
      <c r="HLQ70" s="2"/>
      <c r="HLR70" s="2"/>
      <c r="HLS70" s="2"/>
      <c r="HLT70" s="2"/>
      <c r="HLU70" s="2"/>
      <c r="HLV70" s="2"/>
      <c r="HLW70" s="2"/>
      <c r="HLX70" s="2"/>
      <c r="HLY70" s="2"/>
      <c r="HLZ70" s="2"/>
      <c r="HMA70" s="2"/>
      <c r="HMB70" s="2"/>
      <c r="HMC70" s="2"/>
      <c r="HMD70" s="2"/>
      <c r="HME70" s="2"/>
      <c r="HMF70" s="2"/>
      <c r="HMG70" s="2"/>
      <c r="HMH70" s="2"/>
      <c r="HMI70" s="2"/>
      <c r="HMJ70" s="2"/>
      <c r="HMK70" s="2"/>
      <c r="HML70" s="2"/>
      <c r="HMM70" s="2"/>
      <c r="HMN70" s="2"/>
      <c r="HMO70" s="2"/>
      <c r="HMP70" s="2"/>
      <c r="HMQ70" s="2"/>
      <c r="HMR70" s="2"/>
      <c r="HMS70" s="2"/>
      <c r="HMT70" s="2"/>
      <c r="HMU70" s="2"/>
      <c r="HMV70" s="2"/>
      <c r="HMW70" s="2"/>
      <c r="HMX70" s="2"/>
      <c r="HMY70" s="2"/>
      <c r="HMZ70" s="2"/>
      <c r="HNA70" s="2"/>
      <c r="HNB70" s="2"/>
      <c r="HNC70" s="2"/>
      <c r="HND70" s="2"/>
      <c r="HNE70" s="2"/>
      <c r="HNF70" s="2"/>
      <c r="HNG70" s="2"/>
      <c r="HNH70" s="2"/>
      <c r="HNI70" s="2"/>
      <c r="HNJ70" s="2"/>
      <c r="HNK70" s="2"/>
      <c r="HNL70" s="2"/>
      <c r="HNM70" s="2"/>
      <c r="HNN70" s="2"/>
      <c r="HNO70" s="2"/>
      <c r="HNP70" s="2"/>
      <c r="HNQ70" s="2"/>
      <c r="HNR70" s="2"/>
      <c r="HNS70" s="2"/>
      <c r="HNT70" s="2"/>
      <c r="HNU70" s="2"/>
      <c r="HNV70" s="2"/>
      <c r="HNW70" s="2"/>
      <c r="HNX70" s="2"/>
      <c r="HNY70" s="2"/>
      <c r="HNZ70" s="2"/>
      <c r="HOA70" s="2"/>
      <c r="HOB70" s="2"/>
      <c r="HOC70" s="2"/>
      <c r="HOD70" s="2"/>
      <c r="HOE70" s="2"/>
      <c r="HOF70" s="2"/>
      <c r="HOG70" s="2"/>
      <c r="HOH70" s="2"/>
      <c r="HOI70" s="2"/>
      <c r="HOJ70" s="2"/>
      <c r="HOK70" s="2"/>
      <c r="HOL70" s="2"/>
      <c r="HOM70" s="2"/>
      <c r="HON70" s="2"/>
      <c r="HOO70" s="2"/>
      <c r="HOP70" s="2"/>
      <c r="HOQ70" s="2"/>
      <c r="HOR70" s="2"/>
      <c r="HOS70" s="2"/>
      <c r="HOT70" s="2"/>
      <c r="HOU70" s="2"/>
      <c r="HOV70" s="2"/>
      <c r="HOW70" s="2"/>
      <c r="HOX70" s="2"/>
      <c r="HOY70" s="2"/>
      <c r="HOZ70" s="2"/>
      <c r="HPA70" s="2"/>
      <c r="HPB70" s="2"/>
      <c r="HPC70" s="2"/>
      <c r="HPD70" s="2"/>
      <c r="HPE70" s="2"/>
      <c r="HPF70" s="2"/>
      <c r="HPG70" s="2"/>
      <c r="HPH70" s="2"/>
      <c r="HPI70" s="2"/>
      <c r="HPJ70" s="2"/>
      <c r="HPK70" s="2"/>
      <c r="HPL70" s="2"/>
      <c r="HPM70" s="2"/>
      <c r="HPN70" s="2"/>
      <c r="HPO70" s="2"/>
      <c r="HPP70" s="2"/>
      <c r="HPQ70" s="2"/>
      <c r="HPR70" s="2"/>
      <c r="HPS70" s="2"/>
      <c r="HPT70" s="2"/>
      <c r="HPU70" s="2"/>
      <c r="HPV70" s="2"/>
      <c r="HPW70" s="2"/>
      <c r="HPX70" s="2"/>
      <c r="HPY70" s="2"/>
      <c r="HPZ70" s="2"/>
      <c r="HQA70" s="2"/>
      <c r="HQB70" s="2"/>
      <c r="HQC70" s="2"/>
      <c r="HQD70" s="2"/>
      <c r="HQE70" s="2"/>
      <c r="HQF70" s="2"/>
      <c r="HQG70" s="2"/>
      <c r="HQH70" s="2"/>
      <c r="HQI70" s="2"/>
      <c r="HQJ70" s="2"/>
      <c r="HQK70" s="2"/>
      <c r="HQL70" s="2"/>
      <c r="HQM70" s="2"/>
      <c r="HQN70" s="2"/>
      <c r="HQO70" s="2"/>
      <c r="HQP70" s="2"/>
      <c r="HQQ70" s="2"/>
      <c r="HQR70" s="2"/>
      <c r="HQS70" s="2"/>
      <c r="HQT70" s="2"/>
      <c r="HQU70" s="2"/>
      <c r="HQV70" s="2"/>
      <c r="HQW70" s="2"/>
      <c r="HQX70" s="2"/>
      <c r="HQY70" s="2"/>
      <c r="HQZ70" s="2"/>
      <c r="HRA70" s="2"/>
      <c r="HRB70" s="2"/>
      <c r="HRC70" s="2"/>
      <c r="HRD70" s="2"/>
      <c r="HRE70" s="2"/>
      <c r="HRF70" s="2"/>
      <c r="HRG70" s="2"/>
      <c r="HRH70" s="2"/>
      <c r="HRI70" s="2"/>
      <c r="HRJ70" s="2"/>
      <c r="HRK70" s="2"/>
      <c r="HRL70" s="2"/>
      <c r="HRM70" s="2"/>
      <c r="HRN70" s="2"/>
      <c r="HRO70" s="2"/>
      <c r="HRP70" s="2"/>
      <c r="HRQ70" s="2"/>
      <c r="HRR70" s="2"/>
      <c r="HRS70" s="2"/>
      <c r="HRT70" s="2"/>
      <c r="HRU70" s="2"/>
      <c r="HRV70" s="2"/>
      <c r="HRW70" s="2"/>
      <c r="HRX70" s="2"/>
      <c r="HRY70" s="2"/>
      <c r="HRZ70" s="2"/>
      <c r="HSA70" s="2"/>
      <c r="HSB70" s="2"/>
      <c r="HSC70" s="2"/>
      <c r="HSD70" s="2"/>
      <c r="HSE70" s="2"/>
      <c r="HSF70" s="2"/>
      <c r="HSG70" s="2"/>
      <c r="HSH70" s="2"/>
      <c r="HSI70" s="2"/>
      <c r="HSJ70" s="2"/>
      <c r="HSK70" s="2"/>
      <c r="HSL70" s="2"/>
      <c r="HSM70" s="2"/>
      <c r="HSN70" s="2"/>
      <c r="HSO70" s="2"/>
      <c r="HSP70" s="2"/>
      <c r="HSQ70" s="2"/>
      <c r="HSR70" s="2"/>
      <c r="HSS70" s="2"/>
      <c r="HST70" s="2"/>
      <c r="HSU70" s="2"/>
      <c r="HSV70" s="2"/>
      <c r="HSW70" s="2"/>
      <c r="HSX70" s="2"/>
      <c r="HSY70" s="2"/>
      <c r="HSZ70" s="2"/>
      <c r="HTA70" s="2"/>
      <c r="HTB70" s="2"/>
      <c r="HTC70" s="2"/>
      <c r="HTD70" s="2"/>
      <c r="HTE70" s="2"/>
      <c r="HTF70" s="2"/>
      <c r="HTG70" s="2"/>
      <c r="HTH70" s="2"/>
      <c r="HTI70" s="2"/>
      <c r="HTJ70" s="2"/>
      <c r="HTK70" s="2"/>
      <c r="HTL70" s="2"/>
      <c r="HTM70" s="2"/>
      <c r="HTN70" s="2"/>
      <c r="HTO70" s="2"/>
      <c r="HTP70" s="2"/>
      <c r="HTQ70" s="2"/>
      <c r="HTR70" s="2"/>
      <c r="HTS70" s="2"/>
      <c r="HTT70" s="2"/>
      <c r="HTU70" s="2"/>
      <c r="HTV70" s="2"/>
      <c r="HTW70" s="2"/>
      <c r="HTX70" s="2"/>
      <c r="HTY70" s="2"/>
      <c r="HTZ70" s="2"/>
      <c r="HUA70" s="2"/>
      <c r="HUB70" s="2"/>
      <c r="HUC70" s="2"/>
      <c r="HUD70" s="2"/>
      <c r="HUE70" s="2"/>
      <c r="HUF70" s="2"/>
      <c r="HUG70" s="2"/>
      <c r="HUH70" s="2"/>
      <c r="HUI70" s="2"/>
      <c r="HUJ70" s="2"/>
      <c r="HUK70" s="2"/>
      <c r="HUL70" s="2"/>
      <c r="HUM70" s="2"/>
      <c r="HUN70" s="2"/>
      <c r="HUO70" s="2"/>
      <c r="HUP70" s="2"/>
      <c r="HUQ70" s="2"/>
      <c r="HUR70" s="2"/>
      <c r="HUS70" s="2"/>
      <c r="HUT70" s="2"/>
      <c r="HUU70" s="2"/>
      <c r="HUV70" s="2"/>
      <c r="HUW70" s="2"/>
      <c r="HUX70" s="2"/>
      <c r="HUY70" s="2"/>
      <c r="HUZ70" s="2"/>
      <c r="HVA70" s="2"/>
      <c r="HVB70" s="2"/>
      <c r="HVC70" s="2"/>
      <c r="HVD70" s="2"/>
      <c r="HVE70" s="2"/>
      <c r="HVF70" s="2"/>
      <c r="HVG70" s="2"/>
      <c r="HVH70" s="2"/>
      <c r="HVI70" s="2"/>
      <c r="HVJ70" s="2"/>
      <c r="HVK70" s="2"/>
      <c r="HVL70" s="2"/>
      <c r="HVM70" s="2"/>
      <c r="HVN70" s="2"/>
      <c r="HVO70" s="2"/>
      <c r="HVP70" s="2"/>
      <c r="HVQ70" s="2"/>
      <c r="HVR70" s="2"/>
      <c r="HVS70" s="2"/>
      <c r="HVT70" s="2"/>
      <c r="HVU70" s="2"/>
      <c r="HVV70" s="2"/>
      <c r="HVW70" s="2"/>
      <c r="HVX70" s="2"/>
      <c r="HVY70" s="2"/>
      <c r="HVZ70" s="2"/>
      <c r="HWA70" s="2"/>
      <c r="HWB70" s="2"/>
      <c r="HWC70" s="2"/>
      <c r="HWD70" s="2"/>
      <c r="HWE70" s="2"/>
      <c r="HWF70" s="2"/>
      <c r="HWG70" s="2"/>
      <c r="HWH70" s="2"/>
      <c r="HWI70" s="2"/>
      <c r="HWJ70" s="2"/>
      <c r="HWK70" s="2"/>
      <c r="HWL70" s="2"/>
      <c r="HWM70" s="2"/>
      <c r="HWN70" s="2"/>
      <c r="HWO70" s="2"/>
      <c r="HWP70" s="2"/>
      <c r="HWQ70" s="2"/>
      <c r="HWR70" s="2"/>
      <c r="HWS70" s="2"/>
      <c r="HWT70" s="2"/>
      <c r="HWU70" s="2"/>
      <c r="HWV70" s="2"/>
      <c r="HWW70" s="2"/>
      <c r="HWX70" s="2"/>
      <c r="HWY70" s="2"/>
      <c r="HWZ70" s="2"/>
      <c r="HXA70" s="2"/>
      <c r="HXB70" s="2"/>
      <c r="HXC70" s="2"/>
      <c r="HXD70" s="2"/>
      <c r="HXE70" s="2"/>
      <c r="HXF70" s="2"/>
      <c r="HXG70" s="2"/>
      <c r="HXH70" s="2"/>
      <c r="HXI70" s="2"/>
      <c r="HXJ70" s="2"/>
      <c r="HXK70" s="2"/>
      <c r="HXL70" s="2"/>
      <c r="HXM70" s="2"/>
      <c r="HXN70" s="2"/>
      <c r="HXO70" s="2"/>
      <c r="HXP70" s="2"/>
      <c r="HXQ70" s="2"/>
      <c r="HXR70" s="2"/>
      <c r="HXS70" s="2"/>
      <c r="HXT70" s="2"/>
      <c r="HXU70" s="2"/>
      <c r="HXV70" s="2"/>
      <c r="HXW70" s="2"/>
      <c r="HXX70" s="2"/>
      <c r="HXY70" s="2"/>
      <c r="HXZ70" s="2"/>
      <c r="HYA70" s="2"/>
      <c r="HYB70" s="2"/>
      <c r="HYC70" s="2"/>
      <c r="HYD70" s="2"/>
      <c r="HYE70" s="2"/>
      <c r="HYF70" s="2"/>
      <c r="HYG70" s="2"/>
      <c r="HYH70" s="2"/>
      <c r="HYI70" s="2"/>
      <c r="HYJ70" s="2"/>
      <c r="HYK70" s="2"/>
      <c r="HYL70" s="2"/>
      <c r="HYM70" s="2"/>
      <c r="HYN70" s="2"/>
      <c r="HYO70" s="2"/>
      <c r="HYP70" s="2"/>
      <c r="HYQ70" s="2"/>
      <c r="HYR70" s="2"/>
      <c r="HYS70" s="2"/>
      <c r="HYT70" s="2"/>
      <c r="HYU70" s="2"/>
      <c r="HYV70" s="2"/>
      <c r="HYW70" s="2"/>
      <c r="HYX70" s="2"/>
      <c r="HYY70" s="2"/>
      <c r="HYZ70" s="2"/>
      <c r="HZA70" s="2"/>
      <c r="HZB70" s="2"/>
      <c r="HZC70" s="2"/>
      <c r="HZD70" s="2"/>
      <c r="HZE70" s="2"/>
      <c r="HZF70" s="2"/>
      <c r="HZG70" s="2"/>
      <c r="HZH70" s="2"/>
      <c r="HZI70" s="2"/>
      <c r="HZJ70" s="2"/>
      <c r="HZK70" s="2"/>
      <c r="HZL70" s="2"/>
      <c r="HZM70" s="2"/>
      <c r="HZN70" s="2"/>
      <c r="HZO70" s="2"/>
      <c r="HZP70" s="2"/>
      <c r="HZQ70" s="2"/>
      <c r="HZR70" s="2"/>
      <c r="HZS70" s="2"/>
      <c r="HZT70" s="2"/>
      <c r="HZU70" s="2"/>
      <c r="HZV70" s="2"/>
      <c r="HZW70" s="2"/>
      <c r="HZX70" s="2"/>
      <c r="HZY70" s="2"/>
      <c r="HZZ70" s="2"/>
      <c r="IAA70" s="2"/>
      <c r="IAB70" s="2"/>
      <c r="IAC70" s="2"/>
      <c r="IAD70" s="2"/>
      <c r="IAE70" s="2"/>
      <c r="IAF70" s="2"/>
      <c r="IAG70" s="2"/>
      <c r="IAH70" s="2"/>
      <c r="IAI70" s="2"/>
      <c r="IAJ70" s="2"/>
      <c r="IAK70" s="2"/>
      <c r="IAL70" s="2"/>
      <c r="IAM70" s="2"/>
      <c r="IAN70" s="2"/>
      <c r="IAO70" s="2"/>
      <c r="IAP70" s="2"/>
      <c r="IAQ70" s="2"/>
      <c r="IAR70" s="2"/>
      <c r="IAS70" s="2"/>
      <c r="IAT70" s="2"/>
      <c r="IAU70" s="2"/>
      <c r="IAV70" s="2"/>
      <c r="IAW70" s="2"/>
      <c r="IAX70" s="2"/>
      <c r="IAY70" s="2"/>
      <c r="IAZ70" s="2"/>
      <c r="IBA70" s="2"/>
      <c r="IBB70" s="2"/>
      <c r="IBC70" s="2"/>
      <c r="IBD70" s="2"/>
      <c r="IBE70" s="2"/>
      <c r="IBF70" s="2"/>
      <c r="IBG70" s="2"/>
      <c r="IBH70" s="2"/>
      <c r="IBI70" s="2"/>
      <c r="IBJ70" s="2"/>
      <c r="IBK70" s="2"/>
      <c r="IBL70" s="2"/>
      <c r="IBM70" s="2"/>
      <c r="IBN70" s="2"/>
      <c r="IBO70" s="2"/>
      <c r="IBP70" s="2"/>
      <c r="IBQ70" s="2"/>
      <c r="IBR70" s="2"/>
      <c r="IBS70" s="2"/>
      <c r="IBT70" s="2"/>
      <c r="IBU70" s="2"/>
      <c r="IBV70" s="2"/>
      <c r="IBW70" s="2"/>
      <c r="IBX70" s="2"/>
      <c r="IBY70" s="2"/>
      <c r="IBZ70" s="2"/>
      <c r="ICA70" s="2"/>
      <c r="ICB70" s="2"/>
      <c r="ICC70" s="2"/>
      <c r="ICD70" s="2"/>
      <c r="ICE70" s="2"/>
      <c r="ICF70" s="2"/>
      <c r="ICG70" s="2"/>
      <c r="ICH70" s="2"/>
      <c r="ICI70" s="2"/>
      <c r="ICJ70" s="2"/>
      <c r="ICK70" s="2"/>
      <c r="ICL70" s="2"/>
      <c r="ICM70" s="2"/>
      <c r="ICN70" s="2"/>
      <c r="ICO70" s="2"/>
      <c r="ICP70" s="2"/>
      <c r="ICQ70" s="2"/>
      <c r="ICR70" s="2"/>
      <c r="ICS70" s="2"/>
      <c r="ICT70" s="2"/>
      <c r="ICU70" s="2"/>
      <c r="ICV70" s="2"/>
      <c r="ICW70" s="2"/>
      <c r="ICX70" s="2"/>
      <c r="ICY70" s="2"/>
      <c r="ICZ70" s="2"/>
      <c r="IDA70" s="2"/>
      <c r="IDB70" s="2"/>
      <c r="IDC70" s="2"/>
      <c r="IDD70" s="2"/>
      <c r="IDE70" s="2"/>
      <c r="IDF70" s="2"/>
      <c r="IDG70" s="2"/>
      <c r="IDH70" s="2"/>
      <c r="IDI70" s="2"/>
      <c r="IDJ70" s="2"/>
      <c r="IDK70" s="2"/>
      <c r="IDL70" s="2"/>
      <c r="IDM70" s="2"/>
      <c r="IDN70" s="2"/>
      <c r="IDO70" s="2"/>
      <c r="IDP70" s="2"/>
      <c r="IDQ70" s="2"/>
      <c r="IDR70" s="2"/>
      <c r="IDS70" s="2"/>
      <c r="IDT70" s="2"/>
      <c r="IDU70" s="2"/>
      <c r="IDV70" s="2"/>
      <c r="IDW70" s="2"/>
      <c r="IDX70" s="2"/>
      <c r="IDY70" s="2"/>
      <c r="IDZ70" s="2"/>
      <c r="IEA70" s="2"/>
      <c r="IEB70" s="2"/>
      <c r="IEC70" s="2"/>
      <c r="IED70" s="2"/>
      <c r="IEE70" s="2"/>
      <c r="IEF70" s="2"/>
      <c r="IEG70" s="2"/>
      <c r="IEH70" s="2"/>
      <c r="IEI70" s="2"/>
      <c r="IEJ70" s="2"/>
      <c r="IEK70" s="2"/>
      <c r="IEL70" s="2"/>
      <c r="IEM70" s="2"/>
      <c r="IEN70" s="2"/>
      <c r="IEO70" s="2"/>
      <c r="IEP70" s="2"/>
      <c r="IEQ70" s="2"/>
      <c r="IER70" s="2"/>
      <c r="IES70" s="2"/>
      <c r="IET70" s="2"/>
      <c r="IEU70" s="2"/>
      <c r="IEV70" s="2"/>
      <c r="IEW70" s="2"/>
      <c r="IEX70" s="2"/>
      <c r="IEY70" s="2"/>
      <c r="IEZ70" s="2"/>
      <c r="IFA70" s="2"/>
      <c r="IFB70" s="2"/>
      <c r="IFC70" s="2"/>
      <c r="IFD70" s="2"/>
      <c r="IFE70" s="2"/>
      <c r="IFF70" s="2"/>
      <c r="IFG70" s="2"/>
      <c r="IFH70" s="2"/>
      <c r="IFI70" s="2"/>
      <c r="IFJ70" s="2"/>
      <c r="IFK70" s="2"/>
      <c r="IFL70" s="2"/>
      <c r="IFM70" s="2"/>
      <c r="IFN70" s="2"/>
      <c r="IFO70" s="2"/>
      <c r="IFP70" s="2"/>
      <c r="IFQ70" s="2"/>
      <c r="IFR70" s="2"/>
      <c r="IFS70" s="2"/>
      <c r="IFT70" s="2"/>
      <c r="IFU70" s="2"/>
      <c r="IFV70" s="2"/>
      <c r="IFW70" s="2"/>
      <c r="IFX70" s="2"/>
      <c r="IFY70" s="2"/>
      <c r="IFZ70" s="2"/>
      <c r="IGA70" s="2"/>
      <c r="IGB70" s="2"/>
      <c r="IGC70" s="2"/>
      <c r="IGD70" s="2"/>
      <c r="IGE70" s="2"/>
      <c r="IGF70" s="2"/>
      <c r="IGG70" s="2"/>
      <c r="IGH70" s="2"/>
      <c r="IGI70" s="2"/>
      <c r="IGJ70" s="2"/>
      <c r="IGK70" s="2"/>
      <c r="IGL70" s="2"/>
      <c r="IGM70" s="2"/>
      <c r="IGN70" s="2"/>
      <c r="IGO70" s="2"/>
      <c r="IGP70" s="2"/>
      <c r="IGQ70" s="2"/>
      <c r="IGR70" s="2"/>
      <c r="IGS70" s="2"/>
      <c r="IGT70" s="2"/>
      <c r="IGU70" s="2"/>
      <c r="IGV70" s="2"/>
      <c r="IGW70" s="2"/>
      <c r="IGX70" s="2"/>
      <c r="IGY70" s="2"/>
      <c r="IGZ70" s="2"/>
      <c r="IHA70" s="2"/>
      <c r="IHB70" s="2"/>
      <c r="IHC70" s="2"/>
      <c r="IHD70" s="2"/>
      <c r="IHE70" s="2"/>
      <c r="IHF70" s="2"/>
      <c r="IHG70" s="2"/>
      <c r="IHH70" s="2"/>
      <c r="IHI70" s="2"/>
      <c r="IHJ70" s="2"/>
      <c r="IHK70" s="2"/>
      <c r="IHL70" s="2"/>
      <c r="IHM70" s="2"/>
      <c r="IHN70" s="2"/>
      <c r="IHO70" s="2"/>
      <c r="IHP70" s="2"/>
      <c r="IHQ70" s="2"/>
      <c r="IHR70" s="2"/>
      <c r="IHS70" s="2"/>
      <c r="IHT70" s="2"/>
      <c r="IHU70" s="2"/>
      <c r="IHV70" s="2"/>
      <c r="IHW70" s="2"/>
      <c r="IHX70" s="2"/>
      <c r="IHY70" s="2"/>
      <c r="IHZ70" s="2"/>
      <c r="IIA70" s="2"/>
      <c r="IIB70" s="2"/>
      <c r="IIC70" s="2"/>
      <c r="IID70" s="2"/>
      <c r="IIE70" s="2"/>
      <c r="IIF70" s="2"/>
      <c r="IIG70" s="2"/>
      <c r="IIH70" s="2"/>
      <c r="III70" s="2"/>
      <c r="IIJ70" s="2"/>
      <c r="IIK70" s="2"/>
      <c r="IIL70" s="2"/>
      <c r="IIM70" s="2"/>
      <c r="IIN70" s="2"/>
      <c r="IIO70" s="2"/>
      <c r="IIP70" s="2"/>
      <c r="IIQ70" s="2"/>
      <c r="IIR70" s="2"/>
      <c r="IIS70" s="2"/>
      <c r="IIT70" s="2"/>
      <c r="IIU70" s="2"/>
      <c r="IIV70" s="2"/>
      <c r="IIW70" s="2"/>
      <c r="IIX70" s="2"/>
      <c r="IIY70" s="2"/>
      <c r="IIZ70" s="2"/>
      <c r="IJA70" s="2"/>
      <c r="IJB70" s="2"/>
      <c r="IJC70" s="2"/>
      <c r="IJD70" s="2"/>
      <c r="IJE70" s="2"/>
      <c r="IJF70" s="2"/>
      <c r="IJG70" s="2"/>
      <c r="IJH70" s="2"/>
      <c r="IJI70" s="2"/>
      <c r="IJJ70" s="2"/>
      <c r="IJK70" s="2"/>
      <c r="IJL70" s="2"/>
      <c r="IJM70" s="2"/>
      <c r="IJN70" s="2"/>
      <c r="IJO70" s="2"/>
      <c r="IJP70" s="2"/>
      <c r="IJQ70" s="2"/>
      <c r="IJR70" s="2"/>
      <c r="IJS70" s="2"/>
      <c r="IJT70" s="2"/>
      <c r="IJU70" s="2"/>
      <c r="IJV70" s="2"/>
      <c r="IJW70" s="2"/>
      <c r="IJX70" s="2"/>
      <c r="IJY70" s="2"/>
      <c r="IJZ70" s="2"/>
      <c r="IKA70" s="2"/>
      <c r="IKB70" s="2"/>
      <c r="IKC70" s="2"/>
      <c r="IKD70" s="2"/>
      <c r="IKE70" s="2"/>
      <c r="IKF70" s="2"/>
      <c r="IKG70" s="2"/>
      <c r="IKH70" s="2"/>
      <c r="IKI70" s="2"/>
      <c r="IKJ70" s="2"/>
      <c r="IKK70" s="2"/>
      <c r="IKL70" s="2"/>
      <c r="IKM70" s="2"/>
      <c r="IKN70" s="2"/>
      <c r="IKO70" s="2"/>
      <c r="IKP70" s="2"/>
      <c r="IKQ70" s="2"/>
      <c r="IKR70" s="2"/>
      <c r="IKS70" s="2"/>
      <c r="IKT70" s="2"/>
      <c r="IKU70" s="2"/>
      <c r="IKV70" s="2"/>
      <c r="IKW70" s="2"/>
      <c r="IKX70" s="2"/>
      <c r="IKY70" s="2"/>
      <c r="IKZ70" s="2"/>
      <c r="ILA70" s="2"/>
      <c r="ILB70" s="2"/>
      <c r="ILC70" s="2"/>
      <c r="ILD70" s="2"/>
      <c r="ILE70" s="2"/>
      <c r="ILF70" s="2"/>
      <c r="ILG70" s="2"/>
      <c r="ILH70" s="2"/>
      <c r="ILI70" s="2"/>
      <c r="ILJ70" s="2"/>
      <c r="ILK70" s="2"/>
      <c r="ILL70" s="2"/>
      <c r="ILM70" s="2"/>
      <c r="ILN70" s="2"/>
      <c r="ILO70" s="2"/>
      <c r="ILP70" s="2"/>
      <c r="ILQ70" s="2"/>
      <c r="ILR70" s="2"/>
      <c r="ILS70" s="2"/>
      <c r="ILT70" s="2"/>
      <c r="ILU70" s="2"/>
      <c r="ILV70" s="2"/>
      <c r="ILW70" s="2"/>
      <c r="ILX70" s="2"/>
      <c r="ILY70" s="2"/>
      <c r="ILZ70" s="2"/>
      <c r="IMA70" s="2"/>
      <c r="IMB70" s="2"/>
      <c r="IMC70" s="2"/>
      <c r="IMD70" s="2"/>
      <c r="IME70" s="2"/>
      <c r="IMF70" s="2"/>
      <c r="IMG70" s="2"/>
      <c r="IMH70" s="2"/>
      <c r="IMI70" s="2"/>
      <c r="IMJ70" s="2"/>
      <c r="IMK70" s="2"/>
      <c r="IML70" s="2"/>
      <c r="IMM70" s="2"/>
      <c r="IMN70" s="2"/>
      <c r="IMO70" s="2"/>
      <c r="IMP70" s="2"/>
      <c r="IMQ70" s="2"/>
      <c r="IMR70" s="2"/>
      <c r="IMS70" s="2"/>
      <c r="IMT70" s="2"/>
      <c r="IMU70" s="2"/>
      <c r="IMV70" s="2"/>
      <c r="IMW70" s="2"/>
      <c r="IMX70" s="2"/>
      <c r="IMY70" s="2"/>
      <c r="IMZ70" s="2"/>
      <c r="INA70" s="2"/>
      <c r="INB70" s="2"/>
      <c r="INC70" s="2"/>
      <c r="IND70" s="2"/>
      <c r="INE70" s="2"/>
      <c r="INF70" s="2"/>
      <c r="ING70" s="2"/>
      <c r="INH70" s="2"/>
      <c r="INI70" s="2"/>
      <c r="INJ70" s="2"/>
      <c r="INK70" s="2"/>
      <c r="INL70" s="2"/>
      <c r="INM70" s="2"/>
      <c r="INN70" s="2"/>
      <c r="INO70" s="2"/>
      <c r="INP70" s="2"/>
      <c r="INQ70" s="2"/>
      <c r="INR70" s="2"/>
      <c r="INS70" s="2"/>
      <c r="INT70" s="2"/>
      <c r="INU70" s="2"/>
      <c r="INV70" s="2"/>
      <c r="INW70" s="2"/>
      <c r="INX70" s="2"/>
      <c r="INY70" s="2"/>
      <c r="INZ70" s="2"/>
      <c r="IOA70" s="2"/>
      <c r="IOB70" s="2"/>
      <c r="IOC70" s="2"/>
      <c r="IOD70" s="2"/>
      <c r="IOE70" s="2"/>
      <c r="IOF70" s="2"/>
      <c r="IOG70" s="2"/>
      <c r="IOH70" s="2"/>
      <c r="IOI70" s="2"/>
      <c r="IOJ70" s="2"/>
      <c r="IOK70" s="2"/>
      <c r="IOL70" s="2"/>
      <c r="IOM70" s="2"/>
      <c r="ION70" s="2"/>
      <c r="IOO70" s="2"/>
      <c r="IOP70" s="2"/>
      <c r="IOQ70" s="2"/>
      <c r="IOR70" s="2"/>
      <c r="IOS70" s="2"/>
      <c r="IOT70" s="2"/>
      <c r="IOU70" s="2"/>
      <c r="IOV70" s="2"/>
      <c r="IOW70" s="2"/>
      <c r="IOX70" s="2"/>
      <c r="IOY70" s="2"/>
      <c r="IOZ70" s="2"/>
      <c r="IPA70" s="2"/>
      <c r="IPB70" s="2"/>
      <c r="IPC70" s="2"/>
      <c r="IPD70" s="2"/>
      <c r="IPE70" s="2"/>
      <c r="IPF70" s="2"/>
      <c r="IPG70" s="2"/>
      <c r="IPH70" s="2"/>
      <c r="IPI70" s="2"/>
      <c r="IPJ70" s="2"/>
      <c r="IPK70" s="2"/>
      <c r="IPL70" s="2"/>
      <c r="IPM70" s="2"/>
      <c r="IPN70" s="2"/>
      <c r="IPO70" s="2"/>
      <c r="IPP70" s="2"/>
      <c r="IPQ70" s="2"/>
      <c r="IPR70" s="2"/>
      <c r="IPS70" s="2"/>
      <c r="IPT70" s="2"/>
      <c r="IPU70" s="2"/>
      <c r="IPV70" s="2"/>
      <c r="IPW70" s="2"/>
      <c r="IPX70" s="2"/>
      <c r="IPY70" s="2"/>
      <c r="IPZ70" s="2"/>
      <c r="IQA70" s="2"/>
      <c r="IQB70" s="2"/>
      <c r="IQC70" s="2"/>
      <c r="IQD70" s="2"/>
      <c r="IQE70" s="2"/>
      <c r="IQF70" s="2"/>
      <c r="IQG70" s="2"/>
      <c r="IQH70" s="2"/>
      <c r="IQI70" s="2"/>
      <c r="IQJ70" s="2"/>
      <c r="IQK70" s="2"/>
      <c r="IQL70" s="2"/>
      <c r="IQM70" s="2"/>
      <c r="IQN70" s="2"/>
      <c r="IQO70" s="2"/>
      <c r="IQP70" s="2"/>
      <c r="IQQ70" s="2"/>
      <c r="IQR70" s="2"/>
      <c r="IQS70" s="2"/>
      <c r="IQT70" s="2"/>
      <c r="IQU70" s="2"/>
      <c r="IQV70" s="2"/>
      <c r="IQW70" s="2"/>
      <c r="IQX70" s="2"/>
      <c r="IQY70" s="2"/>
      <c r="IQZ70" s="2"/>
      <c r="IRA70" s="2"/>
      <c r="IRB70" s="2"/>
      <c r="IRC70" s="2"/>
      <c r="IRD70" s="2"/>
      <c r="IRE70" s="2"/>
      <c r="IRF70" s="2"/>
      <c r="IRG70" s="2"/>
      <c r="IRH70" s="2"/>
      <c r="IRI70" s="2"/>
      <c r="IRJ70" s="2"/>
      <c r="IRK70" s="2"/>
      <c r="IRL70" s="2"/>
      <c r="IRM70" s="2"/>
      <c r="IRN70" s="2"/>
      <c r="IRO70" s="2"/>
      <c r="IRP70" s="2"/>
      <c r="IRQ70" s="2"/>
      <c r="IRR70" s="2"/>
      <c r="IRS70" s="2"/>
      <c r="IRT70" s="2"/>
      <c r="IRU70" s="2"/>
      <c r="IRV70" s="2"/>
      <c r="IRW70" s="2"/>
      <c r="IRX70" s="2"/>
      <c r="IRY70" s="2"/>
      <c r="IRZ70" s="2"/>
      <c r="ISA70" s="2"/>
      <c r="ISB70" s="2"/>
      <c r="ISC70" s="2"/>
      <c r="ISD70" s="2"/>
      <c r="ISE70" s="2"/>
      <c r="ISF70" s="2"/>
      <c r="ISG70" s="2"/>
      <c r="ISH70" s="2"/>
      <c r="ISI70" s="2"/>
      <c r="ISJ70" s="2"/>
      <c r="ISK70" s="2"/>
      <c r="ISL70" s="2"/>
      <c r="ISM70" s="2"/>
      <c r="ISN70" s="2"/>
      <c r="ISO70" s="2"/>
      <c r="ISP70" s="2"/>
      <c r="ISQ70" s="2"/>
      <c r="ISR70" s="2"/>
      <c r="ISS70" s="2"/>
      <c r="IST70" s="2"/>
      <c r="ISU70" s="2"/>
      <c r="ISV70" s="2"/>
      <c r="ISW70" s="2"/>
      <c r="ISX70" s="2"/>
      <c r="ISY70" s="2"/>
      <c r="ISZ70" s="2"/>
      <c r="ITA70" s="2"/>
      <c r="ITB70" s="2"/>
      <c r="ITC70" s="2"/>
      <c r="ITD70" s="2"/>
      <c r="ITE70" s="2"/>
      <c r="ITF70" s="2"/>
      <c r="ITG70" s="2"/>
      <c r="ITH70" s="2"/>
      <c r="ITI70" s="2"/>
      <c r="ITJ70" s="2"/>
      <c r="ITK70" s="2"/>
      <c r="ITL70" s="2"/>
      <c r="ITM70" s="2"/>
      <c r="ITN70" s="2"/>
      <c r="ITO70" s="2"/>
      <c r="ITP70" s="2"/>
      <c r="ITQ70" s="2"/>
      <c r="ITR70" s="2"/>
      <c r="ITS70" s="2"/>
      <c r="ITT70" s="2"/>
      <c r="ITU70" s="2"/>
      <c r="ITV70" s="2"/>
      <c r="ITW70" s="2"/>
      <c r="ITX70" s="2"/>
      <c r="ITY70" s="2"/>
      <c r="ITZ70" s="2"/>
      <c r="IUA70" s="2"/>
      <c r="IUB70" s="2"/>
      <c r="IUC70" s="2"/>
      <c r="IUD70" s="2"/>
      <c r="IUE70" s="2"/>
      <c r="IUF70" s="2"/>
      <c r="IUG70" s="2"/>
      <c r="IUH70" s="2"/>
      <c r="IUI70" s="2"/>
      <c r="IUJ70" s="2"/>
      <c r="IUK70" s="2"/>
      <c r="IUL70" s="2"/>
      <c r="IUM70" s="2"/>
      <c r="IUN70" s="2"/>
      <c r="IUO70" s="2"/>
      <c r="IUP70" s="2"/>
      <c r="IUQ70" s="2"/>
      <c r="IUR70" s="2"/>
      <c r="IUS70" s="2"/>
      <c r="IUT70" s="2"/>
      <c r="IUU70" s="2"/>
      <c r="IUV70" s="2"/>
      <c r="IUW70" s="2"/>
      <c r="IUX70" s="2"/>
      <c r="IUY70" s="2"/>
      <c r="IUZ70" s="2"/>
      <c r="IVA70" s="2"/>
      <c r="IVB70" s="2"/>
      <c r="IVC70" s="2"/>
      <c r="IVD70" s="2"/>
      <c r="IVE70" s="2"/>
      <c r="IVF70" s="2"/>
      <c r="IVG70" s="2"/>
      <c r="IVH70" s="2"/>
      <c r="IVI70" s="2"/>
      <c r="IVJ70" s="2"/>
      <c r="IVK70" s="2"/>
      <c r="IVL70" s="2"/>
      <c r="IVM70" s="2"/>
      <c r="IVN70" s="2"/>
      <c r="IVO70" s="2"/>
      <c r="IVP70" s="2"/>
      <c r="IVQ70" s="2"/>
      <c r="IVR70" s="2"/>
      <c r="IVS70" s="2"/>
      <c r="IVT70" s="2"/>
      <c r="IVU70" s="2"/>
      <c r="IVV70" s="2"/>
      <c r="IVW70" s="2"/>
      <c r="IVX70" s="2"/>
      <c r="IVY70" s="2"/>
      <c r="IVZ70" s="2"/>
      <c r="IWA70" s="2"/>
      <c r="IWB70" s="2"/>
      <c r="IWC70" s="2"/>
      <c r="IWD70" s="2"/>
      <c r="IWE70" s="2"/>
      <c r="IWF70" s="2"/>
      <c r="IWG70" s="2"/>
      <c r="IWH70" s="2"/>
      <c r="IWI70" s="2"/>
      <c r="IWJ70" s="2"/>
      <c r="IWK70" s="2"/>
      <c r="IWL70" s="2"/>
      <c r="IWM70" s="2"/>
      <c r="IWN70" s="2"/>
      <c r="IWO70" s="2"/>
      <c r="IWP70" s="2"/>
      <c r="IWQ70" s="2"/>
      <c r="IWR70" s="2"/>
      <c r="IWS70" s="2"/>
      <c r="IWT70" s="2"/>
      <c r="IWU70" s="2"/>
      <c r="IWV70" s="2"/>
      <c r="IWW70" s="2"/>
      <c r="IWX70" s="2"/>
      <c r="IWY70" s="2"/>
      <c r="IWZ70" s="2"/>
      <c r="IXA70" s="2"/>
      <c r="IXB70" s="2"/>
      <c r="IXC70" s="2"/>
      <c r="IXD70" s="2"/>
      <c r="IXE70" s="2"/>
      <c r="IXF70" s="2"/>
      <c r="IXG70" s="2"/>
      <c r="IXH70" s="2"/>
      <c r="IXI70" s="2"/>
      <c r="IXJ70" s="2"/>
      <c r="IXK70" s="2"/>
      <c r="IXL70" s="2"/>
      <c r="IXM70" s="2"/>
      <c r="IXN70" s="2"/>
      <c r="IXO70" s="2"/>
      <c r="IXP70" s="2"/>
      <c r="IXQ70" s="2"/>
      <c r="IXR70" s="2"/>
      <c r="IXS70" s="2"/>
      <c r="IXT70" s="2"/>
      <c r="IXU70" s="2"/>
      <c r="IXV70" s="2"/>
      <c r="IXW70" s="2"/>
      <c r="IXX70" s="2"/>
      <c r="IXY70" s="2"/>
      <c r="IXZ70" s="2"/>
      <c r="IYA70" s="2"/>
      <c r="IYB70" s="2"/>
      <c r="IYC70" s="2"/>
      <c r="IYD70" s="2"/>
      <c r="IYE70" s="2"/>
      <c r="IYF70" s="2"/>
      <c r="IYG70" s="2"/>
      <c r="IYH70" s="2"/>
      <c r="IYI70" s="2"/>
      <c r="IYJ70" s="2"/>
      <c r="IYK70" s="2"/>
      <c r="IYL70" s="2"/>
      <c r="IYM70" s="2"/>
      <c r="IYN70" s="2"/>
      <c r="IYO70" s="2"/>
      <c r="IYP70" s="2"/>
      <c r="IYQ70" s="2"/>
      <c r="IYR70" s="2"/>
      <c r="IYS70" s="2"/>
      <c r="IYT70" s="2"/>
      <c r="IYU70" s="2"/>
      <c r="IYV70" s="2"/>
      <c r="IYW70" s="2"/>
      <c r="IYX70" s="2"/>
      <c r="IYY70" s="2"/>
      <c r="IYZ70" s="2"/>
      <c r="IZA70" s="2"/>
      <c r="IZB70" s="2"/>
      <c r="IZC70" s="2"/>
      <c r="IZD70" s="2"/>
      <c r="IZE70" s="2"/>
      <c r="IZF70" s="2"/>
      <c r="IZG70" s="2"/>
      <c r="IZH70" s="2"/>
      <c r="IZI70" s="2"/>
      <c r="IZJ70" s="2"/>
      <c r="IZK70" s="2"/>
      <c r="IZL70" s="2"/>
      <c r="IZM70" s="2"/>
      <c r="IZN70" s="2"/>
      <c r="IZO70" s="2"/>
      <c r="IZP70" s="2"/>
      <c r="IZQ70" s="2"/>
      <c r="IZR70" s="2"/>
      <c r="IZS70" s="2"/>
      <c r="IZT70" s="2"/>
      <c r="IZU70" s="2"/>
      <c r="IZV70" s="2"/>
      <c r="IZW70" s="2"/>
      <c r="IZX70" s="2"/>
      <c r="IZY70" s="2"/>
      <c r="IZZ70" s="2"/>
      <c r="JAA70" s="2"/>
      <c r="JAB70" s="2"/>
      <c r="JAC70" s="2"/>
      <c r="JAD70" s="2"/>
      <c r="JAE70" s="2"/>
      <c r="JAF70" s="2"/>
      <c r="JAG70" s="2"/>
      <c r="JAH70" s="2"/>
      <c r="JAI70" s="2"/>
      <c r="JAJ70" s="2"/>
      <c r="JAK70" s="2"/>
      <c r="JAL70" s="2"/>
      <c r="JAM70" s="2"/>
      <c r="JAN70" s="2"/>
      <c r="JAO70" s="2"/>
      <c r="JAP70" s="2"/>
      <c r="JAQ70" s="2"/>
      <c r="JAR70" s="2"/>
      <c r="JAS70" s="2"/>
      <c r="JAT70" s="2"/>
      <c r="JAU70" s="2"/>
      <c r="JAV70" s="2"/>
      <c r="JAW70" s="2"/>
      <c r="JAX70" s="2"/>
      <c r="JAY70" s="2"/>
      <c r="JAZ70" s="2"/>
      <c r="JBA70" s="2"/>
      <c r="JBB70" s="2"/>
      <c r="JBC70" s="2"/>
      <c r="JBD70" s="2"/>
      <c r="JBE70" s="2"/>
      <c r="JBF70" s="2"/>
      <c r="JBG70" s="2"/>
      <c r="JBH70" s="2"/>
      <c r="JBI70" s="2"/>
      <c r="JBJ70" s="2"/>
      <c r="JBK70" s="2"/>
      <c r="JBL70" s="2"/>
      <c r="JBM70" s="2"/>
      <c r="JBN70" s="2"/>
      <c r="JBO70" s="2"/>
      <c r="JBP70" s="2"/>
      <c r="JBQ70" s="2"/>
      <c r="JBR70" s="2"/>
      <c r="JBS70" s="2"/>
      <c r="JBT70" s="2"/>
      <c r="JBU70" s="2"/>
      <c r="JBV70" s="2"/>
      <c r="JBW70" s="2"/>
      <c r="JBX70" s="2"/>
      <c r="JBY70" s="2"/>
      <c r="JBZ70" s="2"/>
      <c r="JCA70" s="2"/>
      <c r="JCB70" s="2"/>
      <c r="JCC70" s="2"/>
      <c r="JCD70" s="2"/>
      <c r="JCE70" s="2"/>
      <c r="JCF70" s="2"/>
      <c r="JCG70" s="2"/>
      <c r="JCH70" s="2"/>
      <c r="JCI70" s="2"/>
      <c r="JCJ70" s="2"/>
      <c r="JCK70" s="2"/>
      <c r="JCL70" s="2"/>
      <c r="JCM70" s="2"/>
      <c r="JCN70" s="2"/>
      <c r="JCO70" s="2"/>
      <c r="JCP70" s="2"/>
      <c r="JCQ70" s="2"/>
      <c r="JCR70" s="2"/>
      <c r="JCS70" s="2"/>
      <c r="JCT70" s="2"/>
      <c r="JCU70" s="2"/>
      <c r="JCV70" s="2"/>
      <c r="JCW70" s="2"/>
      <c r="JCX70" s="2"/>
      <c r="JCY70" s="2"/>
      <c r="JCZ70" s="2"/>
      <c r="JDA70" s="2"/>
      <c r="JDB70" s="2"/>
      <c r="JDC70" s="2"/>
      <c r="JDD70" s="2"/>
      <c r="JDE70" s="2"/>
      <c r="JDF70" s="2"/>
      <c r="JDG70" s="2"/>
      <c r="JDH70" s="2"/>
      <c r="JDI70" s="2"/>
      <c r="JDJ70" s="2"/>
      <c r="JDK70" s="2"/>
      <c r="JDL70" s="2"/>
      <c r="JDM70" s="2"/>
      <c r="JDN70" s="2"/>
      <c r="JDO70" s="2"/>
      <c r="JDP70" s="2"/>
      <c r="JDQ70" s="2"/>
      <c r="JDR70" s="2"/>
      <c r="JDS70" s="2"/>
      <c r="JDT70" s="2"/>
      <c r="JDU70" s="2"/>
      <c r="JDV70" s="2"/>
      <c r="JDW70" s="2"/>
      <c r="JDX70" s="2"/>
      <c r="JDY70" s="2"/>
      <c r="JDZ70" s="2"/>
      <c r="JEA70" s="2"/>
      <c r="JEB70" s="2"/>
      <c r="JEC70" s="2"/>
      <c r="JED70" s="2"/>
      <c r="JEE70" s="2"/>
      <c r="JEF70" s="2"/>
      <c r="JEG70" s="2"/>
      <c r="JEH70" s="2"/>
      <c r="JEI70" s="2"/>
      <c r="JEJ70" s="2"/>
      <c r="JEK70" s="2"/>
      <c r="JEL70" s="2"/>
      <c r="JEM70" s="2"/>
      <c r="JEN70" s="2"/>
      <c r="JEO70" s="2"/>
      <c r="JEP70" s="2"/>
      <c r="JEQ70" s="2"/>
      <c r="JER70" s="2"/>
      <c r="JES70" s="2"/>
      <c r="JET70" s="2"/>
      <c r="JEU70" s="2"/>
      <c r="JEV70" s="2"/>
      <c r="JEW70" s="2"/>
      <c r="JEX70" s="2"/>
      <c r="JEY70" s="2"/>
      <c r="JEZ70" s="2"/>
      <c r="JFA70" s="2"/>
      <c r="JFB70" s="2"/>
      <c r="JFC70" s="2"/>
      <c r="JFD70" s="2"/>
      <c r="JFE70" s="2"/>
      <c r="JFF70" s="2"/>
      <c r="JFG70" s="2"/>
      <c r="JFH70" s="2"/>
      <c r="JFI70" s="2"/>
      <c r="JFJ70" s="2"/>
      <c r="JFK70" s="2"/>
      <c r="JFL70" s="2"/>
      <c r="JFM70" s="2"/>
      <c r="JFN70" s="2"/>
      <c r="JFO70" s="2"/>
      <c r="JFP70" s="2"/>
      <c r="JFQ70" s="2"/>
      <c r="JFR70" s="2"/>
      <c r="JFS70" s="2"/>
      <c r="JFT70" s="2"/>
      <c r="JFU70" s="2"/>
      <c r="JFV70" s="2"/>
      <c r="JFW70" s="2"/>
      <c r="JFX70" s="2"/>
      <c r="JFY70" s="2"/>
      <c r="JFZ70" s="2"/>
      <c r="JGA70" s="2"/>
      <c r="JGB70" s="2"/>
      <c r="JGC70" s="2"/>
      <c r="JGD70" s="2"/>
      <c r="JGE70" s="2"/>
      <c r="JGF70" s="2"/>
      <c r="JGG70" s="2"/>
      <c r="JGH70" s="2"/>
      <c r="JGI70" s="2"/>
      <c r="JGJ70" s="2"/>
      <c r="JGK70" s="2"/>
      <c r="JGL70" s="2"/>
      <c r="JGM70" s="2"/>
      <c r="JGN70" s="2"/>
      <c r="JGO70" s="2"/>
      <c r="JGP70" s="2"/>
      <c r="JGQ70" s="2"/>
      <c r="JGR70" s="2"/>
      <c r="JGS70" s="2"/>
      <c r="JGT70" s="2"/>
      <c r="JGU70" s="2"/>
      <c r="JGV70" s="2"/>
      <c r="JGW70" s="2"/>
      <c r="JGX70" s="2"/>
      <c r="JGY70" s="2"/>
      <c r="JGZ70" s="2"/>
      <c r="JHA70" s="2"/>
      <c r="JHB70" s="2"/>
      <c r="JHC70" s="2"/>
      <c r="JHD70" s="2"/>
      <c r="JHE70" s="2"/>
      <c r="JHF70" s="2"/>
      <c r="JHG70" s="2"/>
      <c r="JHH70" s="2"/>
      <c r="JHI70" s="2"/>
      <c r="JHJ70" s="2"/>
      <c r="JHK70" s="2"/>
      <c r="JHL70" s="2"/>
      <c r="JHM70" s="2"/>
      <c r="JHN70" s="2"/>
      <c r="JHO70" s="2"/>
      <c r="JHP70" s="2"/>
      <c r="JHQ70" s="2"/>
      <c r="JHR70" s="2"/>
      <c r="JHS70" s="2"/>
      <c r="JHT70" s="2"/>
      <c r="JHU70" s="2"/>
      <c r="JHV70" s="2"/>
      <c r="JHW70" s="2"/>
      <c r="JHX70" s="2"/>
      <c r="JHY70" s="2"/>
      <c r="JHZ70" s="2"/>
      <c r="JIA70" s="2"/>
      <c r="JIB70" s="2"/>
      <c r="JIC70" s="2"/>
      <c r="JID70" s="2"/>
      <c r="JIE70" s="2"/>
      <c r="JIF70" s="2"/>
      <c r="JIG70" s="2"/>
      <c r="JIH70" s="2"/>
      <c r="JII70" s="2"/>
      <c r="JIJ70" s="2"/>
      <c r="JIK70" s="2"/>
      <c r="JIL70" s="2"/>
      <c r="JIM70" s="2"/>
      <c r="JIN70" s="2"/>
      <c r="JIO70" s="2"/>
      <c r="JIP70" s="2"/>
      <c r="JIQ70" s="2"/>
      <c r="JIR70" s="2"/>
      <c r="JIS70" s="2"/>
      <c r="JIT70" s="2"/>
      <c r="JIU70" s="2"/>
      <c r="JIV70" s="2"/>
      <c r="JIW70" s="2"/>
      <c r="JIX70" s="2"/>
      <c r="JIY70" s="2"/>
      <c r="JIZ70" s="2"/>
      <c r="JJA70" s="2"/>
      <c r="JJB70" s="2"/>
      <c r="JJC70" s="2"/>
      <c r="JJD70" s="2"/>
      <c r="JJE70" s="2"/>
      <c r="JJF70" s="2"/>
      <c r="JJG70" s="2"/>
      <c r="JJH70" s="2"/>
      <c r="JJI70" s="2"/>
      <c r="JJJ70" s="2"/>
      <c r="JJK70" s="2"/>
      <c r="JJL70" s="2"/>
      <c r="JJM70" s="2"/>
      <c r="JJN70" s="2"/>
      <c r="JJO70" s="2"/>
      <c r="JJP70" s="2"/>
      <c r="JJQ70" s="2"/>
      <c r="JJR70" s="2"/>
      <c r="JJS70" s="2"/>
      <c r="JJT70" s="2"/>
      <c r="JJU70" s="2"/>
      <c r="JJV70" s="2"/>
      <c r="JJW70" s="2"/>
      <c r="JJX70" s="2"/>
      <c r="JJY70" s="2"/>
      <c r="JJZ70" s="2"/>
      <c r="JKA70" s="2"/>
      <c r="JKB70" s="2"/>
      <c r="JKC70" s="2"/>
      <c r="JKD70" s="2"/>
      <c r="JKE70" s="2"/>
      <c r="JKF70" s="2"/>
      <c r="JKG70" s="2"/>
      <c r="JKH70" s="2"/>
      <c r="JKI70" s="2"/>
      <c r="JKJ70" s="2"/>
      <c r="JKK70" s="2"/>
      <c r="JKL70" s="2"/>
      <c r="JKM70" s="2"/>
      <c r="JKN70" s="2"/>
      <c r="JKO70" s="2"/>
      <c r="JKP70" s="2"/>
      <c r="JKQ70" s="2"/>
      <c r="JKR70" s="2"/>
      <c r="JKS70" s="2"/>
      <c r="JKT70" s="2"/>
      <c r="JKU70" s="2"/>
      <c r="JKV70" s="2"/>
      <c r="JKW70" s="2"/>
      <c r="JKX70" s="2"/>
      <c r="JKY70" s="2"/>
      <c r="JKZ70" s="2"/>
      <c r="JLA70" s="2"/>
      <c r="JLB70" s="2"/>
      <c r="JLC70" s="2"/>
      <c r="JLD70" s="2"/>
      <c r="JLE70" s="2"/>
      <c r="JLF70" s="2"/>
      <c r="JLG70" s="2"/>
      <c r="JLH70" s="2"/>
      <c r="JLI70" s="2"/>
      <c r="JLJ70" s="2"/>
      <c r="JLK70" s="2"/>
      <c r="JLL70" s="2"/>
      <c r="JLM70" s="2"/>
      <c r="JLN70" s="2"/>
      <c r="JLO70" s="2"/>
      <c r="JLP70" s="2"/>
      <c r="JLQ70" s="2"/>
      <c r="JLR70" s="2"/>
      <c r="JLS70" s="2"/>
      <c r="JLT70" s="2"/>
      <c r="JLU70" s="2"/>
      <c r="JLV70" s="2"/>
      <c r="JLW70" s="2"/>
      <c r="JLX70" s="2"/>
      <c r="JLY70" s="2"/>
      <c r="JLZ70" s="2"/>
      <c r="JMA70" s="2"/>
      <c r="JMB70" s="2"/>
      <c r="JMC70" s="2"/>
      <c r="JMD70" s="2"/>
      <c r="JME70" s="2"/>
      <c r="JMF70" s="2"/>
      <c r="JMG70" s="2"/>
      <c r="JMH70" s="2"/>
      <c r="JMI70" s="2"/>
      <c r="JMJ70" s="2"/>
      <c r="JMK70" s="2"/>
      <c r="JML70" s="2"/>
      <c r="JMM70" s="2"/>
      <c r="JMN70" s="2"/>
      <c r="JMO70" s="2"/>
      <c r="JMP70" s="2"/>
      <c r="JMQ70" s="2"/>
      <c r="JMR70" s="2"/>
      <c r="JMS70" s="2"/>
      <c r="JMT70" s="2"/>
      <c r="JMU70" s="2"/>
      <c r="JMV70" s="2"/>
      <c r="JMW70" s="2"/>
      <c r="JMX70" s="2"/>
      <c r="JMY70" s="2"/>
      <c r="JMZ70" s="2"/>
      <c r="JNA70" s="2"/>
      <c r="JNB70" s="2"/>
      <c r="JNC70" s="2"/>
      <c r="JND70" s="2"/>
      <c r="JNE70" s="2"/>
      <c r="JNF70" s="2"/>
      <c r="JNG70" s="2"/>
      <c r="JNH70" s="2"/>
      <c r="JNI70" s="2"/>
      <c r="JNJ70" s="2"/>
      <c r="JNK70" s="2"/>
      <c r="JNL70" s="2"/>
      <c r="JNM70" s="2"/>
      <c r="JNN70" s="2"/>
      <c r="JNO70" s="2"/>
      <c r="JNP70" s="2"/>
      <c r="JNQ70" s="2"/>
      <c r="JNR70" s="2"/>
      <c r="JNS70" s="2"/>
      <c r="JNT70" s="2"/>
      <c r="JNU70" s="2"/>
      <c r="JNV70" s="2"/>
      <c r="JNW70" s="2"/>
      <c r="JNX70" s="2"/>
      <c r="JNY70" s="2"/>
      <c r="JNZ70" s="2"/>
      <c r="JOA70" s="2"/>
      <c r="JOB70" s="2"/>
      <c r="JOC70" s="2"/>
      <c r="JOD70" s="2"/>
      <c r="JOE70" s="2"/>
      <c r="JOF70" s="2"/>
      <c r="JOG70" s="2"/>
      <c r="JOH70" s="2"/>
      <c r="JOI70" s="2"/>
      <c r="JOJ70" s="2"/>
      <c r="JOK70" s="2"/>
      <c r="JOL70" s="2"/>
      <c r="JOM70" s="2"/>
      <c r="JON70" s="2"/>
      <c r="JOO70" s="2"/>
      <c r="JOP70" s="2"/>
      <c r="JOQ70" s="2"/>
      <c r="JOR70" s="2"/>
      <c r="JOS70" s="2"/>
      <c r="JOT70" s="2"/>
      <c r="JOU70" s="2"/>
      <c r="JOV70" s="2"/>
      <c r="JOW70" s="2"/>
      <c r="JOX70" s="2"/>
      <c r="JOY70" s="2"/>
      <c r="JOZ70" s="2"/>
      <c r="JPA70" s="2"/>
      <c r="JPB70" s="2"/>
      <c r="JPC70" s="2"/>
      <c r="JPD70" s="2"/>
      <c r="JPE70" s="2"/>
      <c r="JPF70" s="2"/>
      <c r="JPG70" s="2"/>
      <c r="JPH70" s="2"/>
      <c r="JPI70" s="2"/>
      <c r="JPJ70" s="2"/>
      <c r="JPK70" s="2"/>
      <c r="JPL70" s="2"/>
      <c r="JPM70" s="2"/>
      <c r="JPN70" s="2"/>
      <c r="JPO70" s="2"/>
      <c r="JPP70" s="2"/>
      <c r="JPQ70" s="2"/>
      <c r="JPR70" s="2"/>
      <c r="JPS70" s="2"/>
      <c r="JPT70" s="2"/>
      <c r="JPU70" s="2"/>
      <c r="JPV70" s="2"/>
      <c r="JPW70" s="2"/>
      <c r="JPX70" s="2"/>
      <c r="JPY70" s="2"/>
      <c r="JPZ70" s="2"/>
      <c r="JQA70" s="2"/>
      <c r="JQB70" s="2"/>
      <c r="JQC70" s="2"/>
      <c r="JQD70" s="2"/>
      <c r="JQE70" s="2"/>
      <c r="JQF70" s="2"/>
      <c r="JQG70" s="2"/>
      <c r="JQH70" s="2"/>
      <c r="JQI70" s="2"/>
      <c r="JQJ70" s="2"/>
      <c r="JQK70" s="2"/>
      <c r="JQL70" s="2"/>
      <c r="JQM70" s="2"/>
      <c r="JQN70" s="2"/>
      <c r="JQO70" s="2"/>
      <c r="JQP70" s="2"/>
      <c r="JQQ70" s="2"/>
      <c r="JQR70" s="2"/>
      <c r="JQS70" s="2"/>
      <c r="JQT70" s="2"/>
      <c r="JQU70" s="2"/>
      <c r="JQV70" s="2"/>
      <c r="JQW70" s="2"/>
      <c r="JQX70" s="2"/>
      <c r="JQY70" s="2"/>
      <c r="JQZ70" s="2"/>
      <c r="JRA70" s="2"/>
      <c r="JRB70" s="2"/>
      <c r="JRC70" s="2"/>
      <c r="JRD70" s="2"/>
      <c r="JRE70" s="2"/>
      <c r="JRF70" s="2"/>
      <c r="JRG70" s="2"/>
      <c r="JRH70" s="2"/>
      <c r="JRI70" s="2"/>
      <c r="JRJ70" s="2"/>
      <c r="JRK70" s="2"/>
      <c r="JRL70" s="2"/>
      <c r="JRM70" s="2"/>
      <c r="JRN70" s="2"/>
      <c r="JRO70" s="2"/>
      <c r="JRP70" s="2"/>
      <c r="JRQ70" s="2"/>
      <c r="JRR70" s="2"/>
      <c r="JRS70" s="2"/>
      <c r="JRT70" s="2"/>
      <c r="JRU70" s="2"/>
      <c r="JRV70" s="2"/>
      <c r="JRW70" s="2"/>
      <c r="JRX70" s="2"/>
      <c r="JRY70" s="2"/>
      <c r="JRZ70" s="2"/>
      <c r="JSA70" s="2"/>
      <c r="JSB70" s="2"/>
      <c r="JSC70" s="2"/>
      <c r="JSD70" s="2"/>
      <c r="JSE70" s="2"/>
      <c r="JSF70" s="2"/>
      <c r="JSG70" s="2"/>
      <c r="JSH70" s="2"/>
      <c r="JSI70" s="2"/>
      <c r="JSJ70" s="2"/>
      <c r="JSK70" s="2"/>
      <c r="JSL70" s="2"/>
      <c r="JSM70" s="2"/>
      <c r="JSN70" s="2"/>
      <c r="JSO70" s="2"/>
      <c r="JSP70" s="2"/>
      <c r="JSQ70" s="2"/>
      <c r="JSR70" s="2"/>
      <c r="JSS70" s="2"/>
      <c r="JST70" s="2"/>
      <c r="JSU70" s="2"/>
      <c r="JSV70" s="2"/>
      <c r="JSW70" s="2"/>
      <c r="JSX70" s="2"/>
      <c r="JSY70" s="2"/>
      <c r="JSZ70" s="2"/>
      <c r="JTA70" s="2"/>
      <c r="JTB70" s="2"/>
      <c r="JTC70" s="2"/>
      <c r="JTD70" s="2"/>
      <c r="JTE70" s="2"/>
      <c r="JTF70" s="2"/>
      <c r="JTG70" s="2"/>
      <c r="JTH70" s="2"/>
      <c r="JTI70" s="2"/>
      <c r="JTJ70" s="2"/>
      <c r="JTK70" s="2"/>
      <c r="JTL70" s="2"/>
      <c r="JTM70" s="2"/>
      <c r="JTN70" s="2"/>
      <c r="JTO70" s="2"/>
      <c r="JTP70" s="2"/>
      <c r="JTQ70" s="2"/>
      <c r="JTR70" s="2"/>
      <c r="JTS70" s="2"/>
      <c r="JTT70" s="2"/>
      <c r="JTU70" s="2"/>
      <c r="JTV70" s="2"/>
      <c r="JTW70" s="2"/>
      <c r="JTX70" s="2"/>
      <c r="JTY70" s="2"/>
      <c r="JTZ70" s="2"/>
      <c r="JUA70" s="2"/>
      <c r="JUB70" s="2"/>
      <c r="JUC70" s="2"/>
      <c r="JUD70" s="2"/>
      <c r="JUE70" s="2"/>
      <c r="JUF70" s="2"/>
      <c r="JUG70" s="2"/>
      <c r="JUH70" s="2"/>
      <c r="JUI70" s="2"/>
      <c r="JUJ70" s="2"/>
      <c r="JUK70" s="2"/>
      <c r="JUL70" s="2"/>
      <c r="JUM70" s="2"/>
      <c r="JUN70" s="2"/>
      <c r="JUO70" s="2"/>
      <c r="JUP70" s="2"/>
      <c r="JUQ70" s="2"/>
      <c r="JUR70" s="2"/>
      <c r="JUS70" s="2"/>
      <c r="JUT70" s="2"/>
      <c r="JUU70" s="2"/>
      <c r="JUV70" s="2"/>
      <c r="JUW70" s="2"/>
      <c r="JUX70" s="2"/>
      <c r="JUY70" s="2"/>
      <c r="JUZ70" s="2"/>
      <c r="JVA70" s="2"/>
      <c r="JVB70" s="2"/>
      <c r="JVC70" s="2"/>
      <c r="JVD70" s="2"/>
      <c r="JVE70" s="2"/>
      <c r="JVF70" s="2"/>
      <c r="JVG70" s="2"/>
      <c r="JVH70" s="2"/>
      <c r="JVI70" s="2"/>
      <c r="JVJ70" s="2"/>
      <c r="JVK70" s="2"/>
      <c r="JVL70" s="2"/>
      <c r="JVM70" s="2"/>
      <c r="JVN70" s="2"/>
      <c r="JVO70" s="2"/>
      <c r="JVP70" s="2"/>
      <c r="JVQ70" s="2"/>
      <c r="JVR70" s="2"/>
      <c r="JVS70" s="2"/>
      <c r="JVT70" s="2"/>
      <c r="JVU70" s="2"/>
      <c r="JVV70" s="2"/>
      <c r="JVW70" s="2"/>
      <c r="JVX70" s="2"/>
      <c r="JVY70" s="2"/>
      <c r="JVZ70" s="2"/>
      <c r="JWA70" s="2"/>
      <c r="JWB70" s="2"/>
      <c r="JWC70" s="2"/>
      <c r="JWD70" s="2"/>
      <c r="JWE70" s="2"/>
      <c r="JWF70" s="2"/>
      <c r="JWG70" s="2"/>
      <c r="JWH70" s="2"/>
      <c r="JWI70" s="2"/>
      <c r="JWJ70" s="2"/>
      <c r="JWK70" s="2"/>
      <c r="JWL70" s="2"/>
      <c r="JWM70" s="2"/>
      <c r="JWN70" s="2"/>
      <c r="JWO70" s="2"/>
      <c r="JWP70" s="2"/>
      <c r="JWQ70" s="2"/>
      <c r="JWR70" s="2"/>
      <c r="JWS70" s="2"/>
      <c r="JWT70" s="2"/>
      <c r="JWU70" s="2"/>
      <c r="JWV70" s="2"/>
      <c r="JWW70" s="2"/>
      <c r="JWX70" s="2"/>
      <c r="JWY70" s="2"/>
      <c r="JWZ70" s="2"/>
      <c r="JXA70" s="2"/>
      <c r="JXB70" s="2"/>
      <c r="JXC70" s="2"/>
      <c r="JXD70" s="2"/>
      <c r="JXE70" s="2"/>
      <c r="JXF70" s="2"/>
      <c r="JXG70" s="2"/>
      <c r="JXH70" s="2"/>
      <c r="JXI70" s="2"/>
      <c r="JXJ70" s="2"/>
      <c r="JXK70" s="2"/>
      <c r="JXL70" s="2"/>
      <c r="JXM70" s="2"/>
      <c r="JXN70" s="2"/>
      <c r="JXO70" s="2"/>
      <c r="JXP70" s="2"/>
      <c r="JXQ70" s="2"/>
      <c r="JXR70" s="2"/>
      <c r="JXS70" s="2"/>
      <c r="JXT70" s="2"/>
      <c r="JXU70" s="2"/>
      <c r="JXV70" s="2"/>
      <c r="JXW70" s="2"/>
      <c r="JXX70" s="2"/>
      <c r="JXY70" s="2"/>
      <c r="JXZ70" s="2"/>
      <c r="JYA70" s="2"/>
      <c r="JYB70" s="2"/>
      <c r="JYC70" s="2"/>
      <c r="JYD70" s="2"/>
      <c r="JYE70" s="2"/>
      <c r="JYF70" s="2"/>
      <c r="JYG70" s="2"/>
      <c r="JYH70" s="2"/>
      <c r="JYI70" s="2"/>
      <c r="JYJ70" s="2"/>
      <c r="JYK70" s="2"/>
      <c r="JYL70" s="2"/>
      <c r="JYM70" s="2"/>
      <c r="JYN70" s="2"/>
      <c r="JYO70" s="2"/>
      <c r="JYP70" s="2"/>
      <c r="JYQ70" s="2"/>
      <c r="JYR70" s="2"/>
      <c r="JYS70" s="2"/>
      <c r="JYT70" s="2"/>
      <c r="JYU70" s="2"/>
      <c r="JYV70" s="2"/>
      <c r="JYW70" s="2"/>
      <c r="JYX70" s="2"/>
      <c r="JYY70" s="2"/>
      <c r="JYZ70" s="2"/>
      <c r="JZA70" s="2"/>
      <c r="JZB70" s="2"/>
      <c r="JZC70" s="2"/>
      <c r="JZD70" s="2"/>
      <c r="JZE70" s="2"/>
      <c r="JZF70" s="2"/>
      <c r="JZG70" s="2"/>
      <c r="JZH70" s="2"/>
      <c r="JZI70" s="2"/>
      <c r="JZJ70" s="2"/>
      <c r="JZK70" s="2"/>
      <c r="JZL70" s="2"/>
      <c r="JZM70" s="2"/>
      <c r="JZN70" s="2"/>
      <c r="JZO70" s="2"/>
      <c r="JZP70" s="2"/>
      <c r="JZQ70" s="2"/>
      <c r="JZR70" s="2"/>
      <c r="JZS70" s="2"/>
      <c r="JZT70" s="2"/>
      <c r="JZU70" s="2"/>
      <c r="JZV70" s="2"/>
      <c r="JZW70" s="2"/>
      <c r="JZX70" s="2"/>
      <c r="JZY70" s="2"/>
      <c r="JZZ70" s="2"/>
      <c r="KAA70" s="2"/>
      <c r="KAB70" s="2"/>
      <c r="KAC70" s="2"/>
      <c r="KAD70" s="2"/>
      <c r="KAE70" s="2"/>
      <c r="KAF70" s="2"/>
      <c r="KAG70" s="2"/>
      <c r="KAH70" s="2"/>
      <c r="KAI70" s="2"/>
      <c r="KAJ70" s="2"/>
      <c r="KAK70" s="2"/>
      <c r="KAL70" s="2"/>
      <c r="KAM70" s="2"/>
      <c r="KAN70" s="2"/>
      <c r="KAO70" s="2"/>
      <c r="KAP70" s="2"/>
      <c r="KAQ70" s="2"/>
      <c r="KAR70" s="2"/>
      <c r="KAS70" s="2"/>
      <c r="KAT70" s="2"/>
      <c r="KAU70" s="2"/>
      <c r="KAV70" s="2"/>
      <c r="KAW70" s="2"/>
      <c r="KAX70" s="2"/>
      <c r="KAY70" s="2"/>
      <c r="KAZ70" s="2"/>
      <c r="KBA70" s="2"/>
      <c r="KBB70" s="2"/>
      <c r="KBC70" s="2"/>
      <c r="KBD70" s="2"/>
      <c r="KBE70" s="2"/>
      <c r="KBF70" s="2"/>
      <c r="KBG70" s="2"/>
      <c r="KBH70" s="2"/>
      <c r="KBI70" s="2"/>
      <c r="KBJ70" s="2"/>
      <c r="KBK70" s="2"/>
      <c r="KBL70" s="2"/>
      <c r="KBM70" s="2"/>
      <c r="KBN70" s="2"/>
      <c r="KBO70" s="2"/>
      <c r="KBP70" s="2"/>
      <c r="KBQ70" s="2"/>
      <c r="KBR70" s="2"/>
      <c r="KBS70" s="2"/>
      <c r="KBT70" s="2"/>
      <c r="KBU70" s="2"/>
      <c r="KBV70" s="2"/>
      <c r="KBW70" s="2"/>
      <c r="KBX70" s="2"/>
      <c r="KBY70" s="2"/>
      <c r="KBZ70" s="2"/>
      <c r="KCA70" s="2"/>
      <c r="KCB70" s="2"/>
      <c r="KCC70" s="2"/>
      <c r="KCD70" s="2"/>
      <c r="KCE70" s="2"/>
      <c r="KCF70" s="2"/>
      <c r="KCG70" s="2"/>
      <c r="KCH70" s="2"/>
      <c r="KCI70" s="2"/>
      <c r="KCJ70" s="2"/>
      <c r="KCK70" s="2"/>
      <c r="KCL70" s="2"/>
      <c r="KCM70" s="2"/>
      <c r="KCN70" s="2"/>
      <c r="KCO70" s="2"/>
      <c r="KCP70" s="2"/>
      <c r="KCQ70" s="2"/>
      <c r="KCR70" s="2"/>
      <c r="KCS70" s="2"/>
      <c r="KCT70" s="2"/>
      <c r="KCU70" s="2"/>
      <c r="KCV70" s="2"/>
      <c r="KCW70" s="2"/>
      <c r="KCX70" s="2"/>
      <c r="KCY70" s="2"/>
      <c r="KCZ70" s="2"/>
      <c r="KDA70" s="2"/>
      <c r="KDB70" s="2"/>
      <c r="KDC70" s="2"/>
      <c r="KDD70" s="2"/>
      <c r="KDE70" s="2"/>
      <c r="KDF70" s="2"/>
      <c r="KDG70" s="2"/>
      <c r="KDH70" s="2"/>
      <c r="KDI70" s="2"/>
      <c r="KDJ70" s="2"/>
      <c r="KDK70" s="2"/>
      <c r="KDL70" s="2"/>
      <c r="KDM70" s="2"/>
      <c r="KDN70" s="2"/>
      <c r="KDO70" s="2"/>
      <c r="KDP70" s="2"/>
      <c r="KDQ70" s="2"/>
      <c r="KDR70" s="2"/>
      <c r="KDS70" s="2"/>
      <c r="KDT70" s="2"/>
      <c r="KDU70" s="2"/>
      <c r="KDV70" s="2"/>
      <c r="KDW70" s="2"/>
      <c r="KDX70" s="2"/>
      <c r="KDY70" s="2"/>
      <c r="KDZ70" s="2"/>
      <c r="KEA70" s="2"/>
      <c r="KEB70" s="2"/>
      <c r="KEC70" s="2"/>
      <c r="KED70" s="2"/>
      <c r="KEE70" s="2"/>
      <c r="KEF70" s="2"/>
      <c r="KEG70" s="2"/>
      <c r="KEH70" s="2"/>
      <c r="KEI70" s="2"/>
      <c r="KEJ70" s="2"/>
      <c r="KEK70" s="2"/>
      <c r="KEL70" s="2"/>
      <c r="KEM70" s="2"/>
      <c r="KEN70" s="2"/>
      <c r="KEO70" s="2"/>
      <c r="KEP70" s="2"/>
      <c r="KEQ70" s="2"/>
      <c r="KER70" s="2"/>
      <c r="KES70" s="2"/>
      <c r="KET70" s="2"/>
      <c r="KEU70" s="2"/>
      <c r="KEV70" s="2"/>
      <c r="KEW70" s="2"/>
      <c r="KEX70" s="2"/>
      <c r="KEY70" s="2"/>
      <c r="KEZ70" s="2"/>
      <c r="KFA70" s="2"/>
      <c r="KFB70" s="2"/>
      <c r="KFC70" s="2"/>
      <c r="KFD70" s="2"/>
      <c r="KFE70" s="2"/>
      <c r="KFF70" s="2"/>
      <c r="KFG70" s="2"/>
      <c r="KFH70" s="2"/>
      <c r="KFI70" s="2"/>
      <c r="KFJ70" s="2"/>
      <c r="KFK70" s="2"/>
      <c r="KFL70" s="2"/>
      <c r="KFM70" s="2"/>
      <c r="KFN70" s="2"/>
      <c r="KFO70" s="2"/>
      <c r="KFP70" s="2"/>
      <c r="KFQ70" s="2"/>
      <c r="KFR70" s="2"/>
      <c r="KFS70" s="2"/>
      <c r="KFT70" s="2"/>
      <c r="KFU70" s="2"/>
      <c r="KFV70" s="2"/>
      <c r="KFW70" s="2"/>
      <c r="KFX70" s="2"/>
      <c r="KFY70" s="2"/>
      <c r="KFZ70" s="2"/>
      <c r="KGA70" s="2"/>
      <c r="KGB70" s="2"/>
      <c r="KGC70" s="2"/>
      <c r="KGD70" s="2"/>
      <c r="KGE70" s="2"/>
      <c r="KGF70" s="2"/>
      <c r="KGG70" s="2"/>
      <c r="KGH70" s="2"/>
      <c r="KGI70" s="2"/>
      <c r="KGJ70" s="2"/>
      <c r="KGK70" s="2"/>
      <c r="KGL70" s="2"/>
      <c r="KGM70" s="2"/>
      <c r="KGN70" s="2"/>
      <c r="KGO70" s="2"/>
      <c r="KGP70" s="2"/>
      <c r="KGQ70" s="2"/>
      <c r="KGR70" s="2"/>
      <c r="KGS70" s="2"/>
      <c r="KGT70" s="2"/>
      <c r="KGU70" s="2"/>
      <c r="KGV70" s="2"/>
      <c r="KGW70" s="2"/>
      <c r="KGX70" s="2"/>
      <c r="KGY70" s="2"/>
      <c r="KGZ70" s="2"/>
      <c r="KHA70" s="2"/>
      <c r="KHB70" s="2"/>
      <c r="KHC70" s="2"/>
      <c r="KHD70" s="2"/>
      <c r="KHE70" s="2"/>
      <c r="KHF70" s="2"/>
      <c r="KHG70" s="2"/>
      <c r="KHH70" s="2"/>
      <c r="KHI70" s="2"/>
      <c r="KHJ70" s="2"/>
      <c r="KHK70" s="2"/>
      <c r="KHL70" s="2"/>
      <c r="KHM70" s="2"/>
      <c r="KHN70" s="2"/>
      <c r="KHO70" s="2"/>
      <c r="KHP70" s="2"/>
      <c r="KHQ70" s="2"/>
      <c r="KHR70" s="2"/>
      <c r="KHS70" s="2"/>
      <c r="KHT70" s="2"/>
      <c r="KHU70" s="2"/>
      <c r="KHV70" s="2"/>
      <c r="KHW70" s="2"/>
      <c r="KHX70" s="2"/>
      <c r="KHY70" s="2"/>
      <c r="KHZ70" s="2"/>
      <c r="KIA70" s="2"/>
      <c r="KIB70" s="2"/>
      <c r="KIC70" s="2"/>
      <c r="KID70" s="2"/>
      <c r="KIE70" s="2"/>
      <c r="KIF70" s="2"/>
      <c r="KIG70" s="2"/>
      <c r="KIH70" s="2"/>
      <c r="KII70" s="2"/>
      <c r="KIJ70" s="2"/>
      <c r="KIK70" s="2"/>
      <c r="KIL70" s="2"/>
      <c r="KIM70" s="2"/>
      <c r="KIN70" s="2"/>
      <c r="KIO70" s="2"/>
      <c r="KIP70" s="2"/>
      <c r="KIQ70" s="2"/>
      <c r="KIR70" s="2"/>
      <c r="KIS70" s="2"/>
      <c r="KIT70" s="2"/>
      <c r="KIU70" s="2"/>
      <c r="KIV70" s="2"/>
      <c r="KIW70" s="2"/>
      <c r="KIX70" s="2"/>
      <c r="KIY70" s="2"/>
      <c r="KIZ70" s="2"/>
      <c r="KJA70" s="2"/>
      <c r="KJB70" s="2"/>
      <c r="KJC70" s="2"/>
      <c r="KJD70" s="2"/>
      <c r="KJE70" s="2"/>
      <c r="KJF70" s="2"/>
      <c r="KJG70" s="2"/>
      <c r="KJH70" s="2"/>
      <c r="KJI70" s="2"/>
      <c r="KJJ70" s="2"/>
      <c r="KJK70" s="2"/>
      <c r="KJL70" s="2"/>
      <c r="KJM70" s="2"/>
      <c r="KJN70" s="2"/>
      <c r="KJO70" s="2"/>
      <c r="KJP70" s="2"/>
      <c r="KJQ70" s="2"/>
      <c r="KJR70" s="2"/>
      <c r="KJS70" s="2"/>
      <c r="KJT70" s="2"/>
      <c r="KJU70" s="2"/>
      <c r="KJV70" s="2"/>
      <c r="KJW70" s="2"/>
      <c r="KJX70" s="2"/>
      <c r="KJY70" s="2"/>
      <c r="KJZ70" s="2"/>
      <c r="KKA70" s="2"/>
      <c r="KKB70" s="2"/>
      <c r="KKC70" s="2"/>
      <c r="KKD70" s="2"/>
      <c r="KKE70" s="2"/>
      <c r="KKF70" s="2"/>
      <c r="KKG70" s="2"/>
      <c r="KKH70" s="2"/>
      <c r="KKI70" s="2"/>
      <c r="KKJ70" s="2"/>
      <c r="KKK70" s="2"/>
      <c r="KKL70" s="2"/>
      <c r="KKM70" s="2"/>
      <c r="KKN70" s="2"/>
      <c r="KKO70" s="2"/>
      <c r="KKP70" s="2"/>
      <c r="KKQ70" s="2"/>
      <c r="KKR70" s="2"/>
      <c r="KKS70" s="2"/>
      <c r="KKT70" s="2"/>
      <c r="KKU70" s="2"/>
      <c r="KKV70" s="2"/>
      <c r="KKW70" s="2"/>
      <c r="KKX70" s="2"/>
      <c r="KKY70" s="2"/>
      <c r="KKZ70" s="2"/>
      <c r="KLA70" s="2"/>
      <c r="KLB70" s="2"/>
      <c r="KLC70" s="2"/>
      <c r="KLD70" s="2"/>
      <c r="KLE70" s="2"/>
      <c r="KLF70" s="2"/>
      <c r="KLG70" s="2"/>
      <c r="KLH70" s="2"/>
      <c r="KLI70" s="2"/>
      <c r="KLJ70" s="2"/>
      <c r="KLK70" s="2"/>
      <c r="KLL70" s="2"/>
      <c r="KLM70" s="2"/>
      <c r="KLN70" s="2"/>
      <c r="KLO70" s="2"/>
      <c r="KLP70" s="2"/>
      <c r="KLQ70" s="2"/>
      <c r="KLR70" s="2"/>
      <c r="KLS70" s="2"/>
      <c r="KLT70" s="2"/>
      <c r="KLU70" s="2"/>
      <c r="KLV70" s="2"/>
      <c r="KLW70" s="2"/>
      <c r="KLX70" s="2"/>
      <c r="KLY70" s="2"/>
      <c r="KLZ70" s="2"/>
      <c r="KMA70" s="2"/>
      <c r="KMB70" s="2"/>
      <c r="KMC70" s="2"/>
      <c r="KMD70" s="2"/>
      <c r="KME70" s="2"/>
      <c r="KMF70" s="2"/>
      <c r="KMG70" s="2"/>
      <c r="KMH70" s="2"/>
      <c r="KMI70" s="2"/>
      <c r="KMJ70" s="2"/>
      <c r="KMK70" s="2"/>
      <c r="KML70" s="2"/>
      <c r="KMM70" s="2"/>
      <c r="KMN70" s="2"/>
      <c r="KMO70" s="2"/>
      <c r="KMP70" s="2"/>
      <c r="KMQ70" s="2"/>
      <c r="KMR70" s="2"/>
      <c r="KMS70" s="2"/>
      <c r="KMT70" s="2"/>
      <c r="KMU70" s="2"/>
      <c r="KMV70" s="2"/>
      <c r="KMW70" s="2"/>
      <c r="KMX70" s="2"/>
      <c r="KMY70" s="2"/>
      <c r="KMZ70" s="2"/>
      <c r="KNA70" s="2"/>
      <c r="KNB70" s="2"/>
      <c r="KNC70" s="2"/>
      <c r="KND70" s="2"/>
      <c r="KNE70" s="2"/>
      <c r="KNF70" s="2"/>
      <c r="KNG70" s="2"/>
      <c r="KNH70" s="2"/>
      <c r="KNI70" s="2"/>
      <c r="KNJ70" s="2"/>
      <c r="KNK70" s="2"/>
      <c r="KNL70" s="2"/>
      <c r="KNM70" s="2"/>
      <c r="KNN70" s="2"/>
      <c r="KNO70" s="2"/>
      <c r="KNP70" s="2"/>
      <c r="KNQ70" s="2"/>
      <c r="KNR70" s="2"/>
      <c r="KNS70" s="2"/>
      <c r="KNT70" s="2"/>
      <c r="KNU70" s="2"/>
      <c r="KNV70" s="2"/>
      <c r="KNW70" s="2"/>
      <c r="KNX70" s="2"/>
      <c r="KNY70" s="2"/>
      <c r="KNZ70" s="2"/>
      <c r="KOA70" s="2"/>
      <c r="KOB70" s="2"/>
      <c r="KOC70" s="2"/>
      <c r="KOD70" s="2"/>
      <c r="KOE70" s="2"/>
      <c r="KOF70" s="2"/>
      <c r="KOG70" s="2"/>
      <c r="KOH70" s="2"/>
      <c r="KOI70" s="2"/>
      <c r="KOJ70" s="2"/>
      <c r="KOK70" s="2"/>
      <c r="KOL70" s="2"/>
      <c r="KOM70" s="2"/>
      <c r="KON70" s="2"/>
      <c r="KOO70" s="2"/>
      <c r="KOP70" s="2"/>
      <c r="KOQ70" s="2"/>
      <c r="KOR70" s="2"/>
      <c r="KOS70" s="2"/>
      <c r="KOT70" s="2"/>
      <c r="KOU70" s="2"/>
      <c r="KOV70" s="2"/>
      <c r="KOW70" s="2"/>
      <c r="KOX70" s="2"/>
      <c r="KOY70" s="2"/>
      <c r="KOZ70" s="2"/>
      <c r="KPA70" s="2"/>
      <c r="KPB70" s="2"/>
      <c r="KPC70" s="2"/>
      <c r="KPD70" s="2"/>
      <c r="KPE70" s="2"/>
      <c r="KPF70" s="2"/>
      <c r="KPG70" s="2"/>
      <c r="KPH70" s="2"/>
      <c r="KPI70" s="2"/>
      <c r="KPJ70" s="2"/>
      <c r="KPK70" s="2"/>
      <c r="KPL70" s="2"/>
      <c r="KPM70" s="2"/>
      <c r="KPN70" s="2"/>
      <c r="KPO70" s="2"/>
      <c r="KPP70" s="2"/>
      <c r="KPQ70" s="2"/>
      <c r="KPR70" s="2"/>
      <c r="KPS70" s="2"/>
      <c r="KPT70" s="2"/>
      <c r="KPU70" s="2"/>
      <c r="KPV70" s="2"/>
      <c r="KPW70" s="2"/>
      <c r="KPX70" s="2"/>
      <c r="KPY70" s="2"/>
      <c r="KPZ70" s="2"/>
      <c r="KQA70" s="2"/>
      <c r="KQB70" s="2"/>
      <c r="KQC70" s="2"/>
      <c r="KQD70" s="2"/>
      <c r="KQE70" s="2"/>
      <c r="KQF70" s="2"/>
      <c r="KQG70" s="2"/>
      <c r="KQH70" s="2"/>
      <c r="KQI70" s="2"/>
      <c r="KQJ70" s="2"/>
      <c r="KQK70" s="2"/>
      <c r="KQL70" s="2"/>
      <c r="KQM70" s="2"/>
      <c r="KQN70" s="2"/>
      <c r="KQO70" s="2"/>
      <c r="KQP70" s="2"/>
      <c r="KQQ70" s="2"/>
      <c r="KQR70" s="2"/>
      <c r="KQS70" s="2"/>
      <c r="KQT70" s="2"/>
      <c r="KQU70" s="2"/>
      <c r="KQV70" s="2"/>
      <c r="KQW70" s="2"/>
      <c r="KQX70" s="2"/>
      <c r="KQY70" s="2"/>
      <c r="KQZ70" s="2"/>
      <c r="KRA70" s="2"/>
      <c r="KRB70" s="2"/>
      <c r="KRC70" s="2"/>
      <c r="KRD70" s="2"/>
      <c r="KRE70" s="2"/>
      <c r="KRF70" s="2"/>
      <c r="KRG70" s="2"/>
      <c r="KRH70" s="2"/>
      <c r="KRI70" s="2"/>
      <c r="KRJ70" s="2"/>
      <c r="KRK70" s="2"/>
      <c r="KRL70" s="2"/>
      <c r="KRM70" s="2"/>
      <c r="KRN70" s="2"/>
      <c r="KRO70" s="2"/>
      <c r="KRP70" s="2"/>
      <c r="KRQ70" s="2"/>
      <c r="KRR70" s="2"/>
      <c r="KRS70" s="2"/>
      <c r="KRT70" s="2"/>
      <c r="KRU70" s="2"/>
      <c r="KRV70" s="2"/>
      <c r="KRW70" s="2"/>
      <c r="KRX70" s="2"/>
      <c r="KRY70" s="2"/>
      <c r="KRZ70" s="2"/>
      <c r="KSA70" s="2"/>
      <c r="KSB70" s="2"/>
      <c r="KSC70" s="2"/>
      <c r="KSD70" s="2"/>
      <c r="KSE70" s="2"/>
      <c r="KSF70" s="2"/>
      <c r="KSG70" s="2"/>
      <c r="KSH70" s="2"/>
      <c r="KSI70" s="2"/>
      <c r="KSJ70" s="2"/>
      <c r="KSK70" s="2"/>
      <c r="KSL70" s="2"/>
      <c r="KSM70" s="2"/>
      <c r="KSN70" s="2"/>
      <c r="KSO70" s="2"/>
      <c r="KSP70" s="2"/>
      <c r="KSQ70" s="2"/>
      <c r="KSR70" s="2"/>
      <c r="KSS70" s="2"/>
      <c r="KST70" s="2"/>
      <c r="KSU70" s="2"/>
      <c r="KSV70" s="2"/>
      <c r="KSW70" s="2"/>
      <c r="KSX70" s="2"/>
      <c r="KSY70" s="2"/>
      <c r="KSZ70" s="2"/>
      <c r="KTA70" s="2"/>
      <c r="KTB70" s="2"/>
      <c r="KTC70" s="2"/>
      <c r="KTD70" s="2"/>
      <c r="KTE70" s="2"/>
      <c r="KTF70" s="2"/>
      <c r="KTG70" s="2"/>
      <c r="KTH70" s="2"/>
      <c r="KTI70" s="2"/>
      <c r="KTJ70" s="2"/>
      <c r="KTK70" s="2"/>
      <c r="KTL70" s="2"/>
      <c r="KTM70" s="2"/>
      <c r="KTN70" s="2"/>
      <c r="KTO70" s="2"/>
      <c r="KTP70" s="2"/>
      <c r="KTQ70" s="2"/>
      <c r="KTR70" s="2"/>
      <c r="KTS70" s="2"/>
      <c r="KTT70" s="2"/>
      <c r="KTU70" s="2"/>
      <c r="KTV70" s="2"/>
      <c r="KTW70" s="2"/>
      <c r="KTX70" s="2"/>
      <c r="KTY70" s="2"/>
      <c r="KTZ70" s="2"/>
      <c r="KUA70" s="2"/>
      <c r="KUB70" s="2"/>
      <c r="KUC70" s="2"/>
      <c r="KUD70" s="2"/>
      <c r="KUE70" s="2"/>
      <c r="KUF70" s="2"/>
      <c r="KUG70" s="2"/>
      <c r="KUH70" s="2"/>
      <c r="KUI70" s="2"/>
      <c r="KUJ70" s="2"/>
      <c r="KUK70" s="2"/>
      <c r="KUL70" s="2"/>
      <c r="KUM70" s="2"/>
      <c r="KUN70" s="2"/>
      <c r="KUO70" s="2"/>
      <c r="KUP70" s="2"/>
      <c r="KUQ70" s="2"/>
      <c r="KUR70" s="2"/>
      <c r="KUS70" s="2"/>
      <c r="KUT70" s="2"/>
      <c r="KUU70" s="2"/>
      <c r="KUV70" s="2"/>
      <c r="KUW70" s="2"/>
      <c r="KUX70" s="2"/>
      <c r="KUY70" s="2"/>
      <c r="KUZ70" s="2"/>
      <c r="KVA70" s="2"/>
      <c r="KVB70" s="2"/>
      <c r="KVC70" s="2"/>
      <c r="KVD70" s="2"/>
      <c r="KVE70" s="2"/>
      <c r="KVF70" s="2"/>
      <c r="KVG70" s="2"/>
      <c r="KVH70" s="2"/>
      <c r="KVI70" s="2"/>
      <c r="KVJ70" s="2"/>
      <c r="KVK70" s="2"/>
      <c r="KVL70" s="2"/>
      <c r="KVM70" s="2"/>
      <c r="KVN70" s="2"/>
      <c r="KVO70" s="2"/>
      <c r="KVP70" s="2"/>
      <c r="KVQ70" s="2"/>
      <c r="KVR70" s="2"/>
      <c r="KVS70" s="2"/>
      <c r="KVT70" s="2"/>
      <c r="KVU70" s="2"/>
      <c r="KVV70" s="2"/>
      <c r="KVW70" s="2"/>
      <c r="KVX70" s="2"/>
      <c r="KVY70" s="2"/>
      <c r="KVZ70" s="2"/>
      <c r="KWA70" s="2"/>
      <c r="KWB70" s="2"/>
      <c r="KWC70" s="2"/>
      <c r="KWD70" s="2"/>
      <c r="KWE70" s="2"/>
      <c r="KWF70" s="2"/>
      <c r="KWG70" s="2"/>
      <c r="KWH70" s="2"/>
      <c r="KWI70" s="2"/>
      <c r="KWJ70" s="2"/>
      <c r="KWK70" s="2"/>
      <c r="KWL70" s="2"/>
      <c r="KWM70" s="2"/>
      <c r="KWN70" s="2"/>
      <c r="KWO70" s="2"/>
      <c r="KWP70" s="2"/>
      <c r="KWQ70" s="2"/>
      <c r="KWR70" s="2"/>
      <c r="KWS70" s="2"/>
      <c r="KWT70" s="2"/>
      <c r="KWU70" s="2"/>
      <c r="KWV70" s="2"/>
      <c r="KWW70" s="2"/>
      <c r="KWX70" s="2"/>
      <c r="KWY70" s="2"/>
      <c r="KWZ70" s="2"/>
      <c r="KXA70" s="2"/>
      <c r="KXB70" s="2"/>
      <c r="KXC70" s="2"/>
      <c r="KXD70" s="2"/>
      <c r="KXE70" s="2"/>
      <c r="KXF70" s="2"/>
      <c r="KXG70" s="2"/>
      <c r="KXH70" s="2"/>
      <c r="KXI70" s="2"/>
      <c r="KXJ70" s="2"/>
      <c r="KXK70" s="2"/>
      <c r="KXL70" s="2"/>
      <c r="KXM70" s="2"/>
      <c r="KXN70" s="2"/>
      <c r="KXO70" s="2"/>
      <c r="KXP70" s="2"/>
      <c r="KXQ70" s="2"/>
      <c r="KXR70" s="2"/>
      <c r="KXS70" s="2"/>
      <c r="KXT70" s="2"/>
      <c r="KXU70" s="2"/>
      <c r="KXV70" s="2"/>
      <c r="KXW70" s="2"/>
      <c r="KXX70" s="2"/>
      <c r="KXY70" s="2"/>
      <c r="KXZ70" s="2"/>
      <c r="KYA70" s="2"/>
      <c r="KYB70" s="2"/>
      <c r="KYC70" s="2"/>
      <c r="KYD70" s="2"/>
      <c r="KYE70" s="2"/>
      <c r="KYF70" s="2"/>
      <c r="KYG70" s="2"/>
      <c r="KYH70" s="2"/>
      <c r="KYI70" s="2"/>
      <c r="KYJ70" s="2"/>
      <c r="KYK70" s="2"/>
      <c r="KYL70" s="2"/>
      <c r="KYM70" s="2"/>
      <c r="KYN70" s="2"/>
      <c r="KYO70" s="2"/>
      <c r="KYP70" s="2"/>
      <c r="KYQ70" s="2"/>
      <c r="KYR70" s="2"/>
      <c r="KYS70" s="2"/>
      <c r="KYT70" s="2"/>
      <c r="KYU70" s="2"/>
      <c r="KYV70" s="2"/>
      <c r="KYW70" s="2"/>
      <c r="KYX70" s="2"/>
      <c r="KYY70" s="2"/>
      <c r="KYZ70" s="2"/>
      <c r="KZA70" s="2"/>
      <c r="KZB70" s="2"/>
      <c r="KZC70" s="2"/>
      <c r="KZD70" s="2"/>
      <c r="KZE70" s="2"/>
      <c r="KZF70" s="2"/>
      <c r="KZG70" s="2"/>
      <c r="KZH70" s="2"/>
      <c r="KZI70" s="2"/>
      <c r="KZJ70" s="2"/>
      <c r="KZK70" s="2"/>
      <c r="KZL70" s="2"/>
      <c r="KZM70" s="2"/>
      <c r="KZN70" s="2"/>
      <c r="KZO70" s="2"/>
      <c r="KZP70" s="2"/>
      <c r="KZQ70" s="2"/>
      <c r="KZR70" s="2"/>
      <c r="KZS70" s="2"/>
      <c r="KZT70" s="2"/>
      <c r="KZU70" s="2"/>
      <c r="KZV70" s="2"/>
      <c r="KZW70" s="2"/>
      <c r="KZX70" s="2"/>
      <c r="KZY70" s="2"/>
      <c r="KZZ70" s="2"/>
      <c r="LAA70" s="2"/>
      <c r="LAB70" s="2"/>
      <c r="LAC70" s="2"/>
      <c r="LAD70" s="2"/>
      <c r="LAE70" s="2"/>
      <c r="LAF70" s="2"/>
      <c r="LAG70" s="2"/>
      <c r="LAH70" s="2"/>
      <c r="LAI70" s="2"/>
      <c r="LAJ70" s="2"/>
      <c r="LAK70" s="2"/>
      <c r="LAL70" s="2"/>
      <c r="LAM70" s="2"/>
      <c r="LAN70" s="2"/>
      <c r="LAO70" s="2"/>
      <c r="LAP70" s="2"/>
      <c r="LAQ70" s="2"/>
      <c r="LAR70" s="2"/>
      <c r="LAS70" s="2"/>
      <c r="LAT70" s="2"/>
      <c r="LAU70" s="2"/>
      <c r="LAV70" s="2"/>
      <c r="LAW70" s="2"/>
      <c r="LAX70" s="2"/>
      <c r="LAY70" s="2"/>
      <c r="LAZ70" s="2"/>
      <c r="LBA70" s="2"/>
      <c r="LBB70" s="2"/>
      <c r="LBC70" s="2"/>
      <c r="LBD70" s="2"/>
      <c r="LBE70" s="2"/>
      <c r="LBF70" s="2"/>
      <c r="LBG70" s="2"/>
      <c r="LBH70" s="2"/>
      <c r="LBI70" s="2"/>
      <c r="LBJ70" s="2"/>
      <c r="LBK70" s="2"/>
      <c r="LBL70" s="2"/>
      <c r="LBM70" s="2"/>
      <c r="LBN70" s="2"/>
      <c r="LBO70" s="2"/>
      <c r="LBP70" s="2"/>
      <c r="LBQ70" s="2"/>
      <c r="LBR70" s="2"/>
      <c r="LBS70" s="2"/>
      <c r="LBT70" s="2"/>
      <c r="LBU70" s="2"/>
      <c r="LBV70" s="2"/>
      <c r="LBW70" s="2"/>
      <c r="LBX70" s="2"/>
      <c r="LBY70" s="2"/>
      <c r="LBZ70" s="2"/>
      <c r="LCA70" s="2"/>
      <c r="LCB70" s="2"/>
      <c r="LCC70" s="2"/>
      <c r="LCD70" s="2"/>
      <c r="LCE70" s="2"/>
      <c r="LCF70" s="2"/>
      <c r="LCG70" s="2"/>
      <c r="LCH70" s="2"/>
      <c r="LCI70" s="2"/>
      <c r="LCJ70" s="2"/>
      <c r="LCK70" s="2"/>
      <c r="LCL70" s="2"/>
      <c r="LCM70" s="2"/>
      <c r="LCN70" s="2"/>
      <c r="LCO70" s="2"/>
      <c r="LCP70" s="2"/>
      <c r="LCQ70" s="2"/>
      <c r="LCR70" s="2"/>
      <c r="LCS70" s="2"/>
      <c r="LCT70" s="2"/>
      <c r="LCU70" s="2"/>
      <c r="LCV70" s="2"/>
      <c r="LCW70" s="2"/>
      <c r="LCX70" s="2"/>
      <c r="LCY70" s="2"/>
      <c r="LCZ70" s="2"/>
      <c r="LDA70" s="2"/>
      <c r="LDB70" s="2"/>
      <c r="LDC70" s="2"/>
      <c r="LDD70" s="2"/>
      <c r="LDE70" s="2"/>
      <c r="LDF70" s="2"/>
      <c r="LDG70" s="2"/>
      <c r="LDH70" s="2"/>
      <c r="LDI70" s="2"/>
      <c r="LDJ70" s="2"/>
      <c r="LDK70" s="2"/>
      <c r="LDL70" s="2"/>
      <c r="LDM70" s="2"/>
      <c r="LDN70" s="2"/>
      <c r="LDO70" s="2"/>
      <c r="LDP70" s="2"/>
      <c r="LDQ70" s="2"/>
      <c r="LDR70" s="2"/>
      <c r="LDS70" s="2"/>
      <c r="LDT70" s="2"/>
      <c r="LDU70" s="2"/>
      <c r="LDV70" s="2"/>
      <c r="LDW70" s="2"/>
      <c r="LDX70" s="2"/>
      <c r="LDY70" s="2"/>
      <c r="LDZ70" s="2"/>
      <c r="LEA70" s="2"/>
      <c r="LEB70" s="2"/>
      <c r="LEC70" s="2"/>
      <c r="LED70" s="2"/>
      <c r="LEE70" s="2"/>
      <c r="LEF70" s="2"/>
      <c r="LEG70" s="2"/>
      <c r="LEH70" s="2"/>
      <c r="LEI70" s="2"/>
      <c r="LEJ70" s="2"/>
      <c r="LEK70" s="2"/>
      <c r="LEL70" s="2"/>
      <c r="LEM70" s="2"/>
      <c r="LEN70" s="2"/>
      <c r="LEO70" s="2"/>
      <c r="LEP70" s="2"/>
      <c r="LEQ70" s="2"/>
      <c r="LER70" s="2"/>
      <c r="LES70" s="2"/>
      <c r="LET70" s="2"/>
      <c r="LEU70" s="2"/>
      <c r="LEV70" s="2"/>
      <c r="LEW70" s="2"/>
      <c r="LEX70" s="2"/>
      <c r="LEY70" s="2"/>
      <c r="LEZ70" s="2"/>
      <c r="LFA70" s="2"/>
      <c r="LFB70" s="2"/>
      <c r="LFC70" s="2"/>
      <c r="LFD70" s="2"/>
      <c r="LFE70" s="2"/>
      <c r="LFF70" s="2"/>
      <c r="LFG70" s="2"/>
      <c r="LFH70" s="2"/>
      <c r="LFI70" s="2"/>
      <c r="LFJ70" s="2"/>
      <c r="LFK70" s="2"/>
      <c r="LFL70" s="2"/>
      <c r="LFM70" s="2"/>
      <c r="LFN70" s="2"/>
      <c r="LFO70" s="2"/>
      <c r="LFP70" s="2"/>
      <c r="LFQ70" s="2"/>
      <c r="LFR70" s="2"/>
      <c r="LFS70" s="2"/>
      <c r="LFT70" s="2"/>
      <c r="LFU70" s="2"/>
      <c r="LFV70" s="2"/>
      <c r="LFW70" s="2"/>
      <c r="LFX70" s="2"/>
      <c r="LFY70" s="2"/>
      <c r="LFZ70" s="2"/>
      <c r="LGA70" s="2"/>
      <c r="LGB70" s="2"/>
      <c r="LGC70" s="2"/>
      <c r="LGD70" s="2"/>
      <c r="LGE70" s="2"/>
      <c r="LGF70" s="2"/>
      <c r="LGG70" s="2"/>
      <c r="LGH70" s="2"/>
      <c r="LGI70" s="2"/>
      <c r="LGJ70" s="2"/>
      <c r="LGK70" s="2"/>
      <c r="LGL70" s="2"/>
      <c r="LGM70" s="2"/>
      <c r="LGN70" s="2"/>
      <c r="LGO70" s="2"/>
      <c r="LGP70" s="2"/>
      <c r="LGQ70" s="2"/>
      <c r="LGR70" s="2"/>
      <c r="LGS70" s="2"/>
      <c r="LGT70" s="2"/>
      <c r="LGU70" s="2"/>
      <c r="LGV70" s="2"/>
      <c r="LGW70" s="2"/>
      <c r="LGX70" s="2"/>
      <c r="LGY70" s="2"/>
      <c r="LGZ70" s="2"/>
      <c r="LHA70" s="2"/>
      <c r="LHB70" s="2"/>
      <c r="LHC70" s="2"/>
      <c r="LHD70" s="2"/>
      <c r="LHE70" s="2"/>
      <c r="LHF70" s="2"/>
      <c r="LHG70" s="2"/>
      <c r="LHH70" s="2"/>
      <c r="LHI70" s="2"/>
      <c r="LHJ70" s="2"/>
      <c r="LHK70" s="2"/>
      <c r="LHL70" s="2"/>
      <c r="LHM70" s="2"/>
      <c r="LHN70" s="2"/>
      <c r="LHO70" s="2"/>
      <c r="LHP70" s="2"/>
      <c r="LHQ70" s="2"/>
      <c r="LHR70" s="2"/>
      <c r="LHS70" s="2"/>
      <c r="LHT70" s="2"/>
      <c r="LHU70" s="2"/>
      <c r="LHV70" s="2"/>
      <c r="LHW70" s="2"/>
      <c r="LHX70" s="2"/>
      <c r="LHY70" s="2"/>
      <c r="LHZ70" s="2"/>
      <c r="LIA70" s="2"/>
      <c r="LIB70" s="2"/>
      <c r="LIC70" s="2"/>
      <c r="LID70" s="2"/>
      <c r="LIE70" s="2"/>
      <c r="LIF70" s="2"/>
      <c r="LIG70" s="2"/>
      <c r="LIH70" s="2"/>
      <c r="LII70" s="2"/>
      <c r="LIJ70" s="2"/>
      <c r="LIK70" s="2"/>
      <c r="LIL70" s="2"/>
      <c r="LIM70" s="2"/>
      <c r="LIN70" s="2"/>
      <c r="LIO70" s="2"/>
      <c r="LIP70" s="2"/>
      <c r="LIQ70" s="2"/>
      <c r="LIR70" s="2"/>
      <c r="LIS70" s="2"/>
      <c r="LIT70" s="2"/>
      <c r="LIU70" s="2"/>
      <c r="LIV70" s="2"/>
      <c r="LIW70" s="2"/>
      <c r="LIX70" s="2"/>
      <c r="LIY70" s="2"/>
      <c r="LIZ70" s="2"/>
      <c r="LJA70" s="2"/>
      <c r="LJB70" s="2"/>
      <c r="LJC70" s="2"/>
      <c r="LJD70" s="2"/>
      <c r="LJE70" s="2"/>
      <c r="LJF70" s="2"/>
      <c r="LJG70" s="2"/>
      <c r="LJH70" s="2"/>
      <c r="LJI70" s="2"/>
      <c r="LJJ70" s="2"/>
      <c r="LJK70" s="2"/>
      <c r="LJL70" s="2"/>
      <c r="LJM70" s="2"/>
      <c r="LJN70" s="2"/>
      <c r="LJO70" s="2"/>
      <c r="LJP70" s="2"/>
      <c r="LJQ70" s="2"/>
      <c r="LJR70" s="2"/>
      <c r="LJS70" s="2"/>
      <c r="LJT70" s="2"/>
      <c r="LJU70" s="2"/>
      <c r="LJV70" s="2"/>
      <c r="LJW70" s="2"/>
      <c r="LJX70" s="2"/>
      <c r="LJY70" s="2"/>
      <c r="LJZ70" s="2"/>
      <c r="LKA70" s="2"/>
      <c r="LKB70" s="2"/>
      <c r="LKC70" s="2"/>
      <c r="LKD70" s="2"/>
      <c r="LKE70" s="2"/>
      <c r="LKF70" s="2"/>
      <c r="LKG70" s="2"/>
      <c r="LKH70" s="2"/>
      <c r="LKI70" s="2"/>
      <c r="LKJ70" s="2"/>
      <c r="LKK70" s="2"/>
      <c r="LKL70" s="2"/>
      <c r="LKM70" s="2"/>
      <c r="LKN70" s="2"/>
      <c r="LKO70" s="2"/>
      <c r="LKP70" s="2"/>
      <c r="LKQ70" s="2"/>
      <c r="LKR70" s="2"/>
      <c r="LKS70" s="2"/>
      <c r="LKT70" s="2"/>
      <c r="LKU70" s="2"/>
      <c r="LKV70" s="2"/>
      <c r="LKW70" s="2"/>
      <c r="LKX70" s="2"/>
      <c r="LKY70" s="2"/>
      <c r="LKZ70" s="2"/>
      <c r="LLA70" s="2"/>
      <c r="LLB70" s="2"/>
      <c r="LLC70" s="2"/>
      <c r="LLD70" s="2"/>
      <c r="LLE70" s="2"/>
      <c r="LLF70" s="2"/>
      <c r="LLG70" s="2"/>
      <c r="LLH70" s="2"/>
      <c r="LLI70" s="2"/>
      <c r="LLJ70" s="2"/>
      <c r="LLK70" s="2"/>
      <c r="LLL70" s="2"/>
      <c r="LLM70" s="2"/>
      <c r="LLN70" s="2"/>
      <c r="LLO70" s="2"/>
      <c r="LLP70" s="2"/>
      <c r="LLQ70" s="2"/>
      <c r="LLR70" s="2"/>
      <c r="LLS70" s="2"/>
      <c r="LLT70" s="2"/>
      <c r="LLU70" s="2"/>
      <c r="LLV70" s="2"/>
      <c r="LLW70" s="2"/>
      <c r="LLX70" s="2"/>
      <c r="LLY70" s="2"/>
      <c r="LLZ70" s="2"/>
      <c r="LMA70" s="2"/>
      <c r="LMB70" s="2"/>
      <c r="LMC70" s="2"/>
      <c r="LMD70" s="2"/>
      <c r="LME70" s="2"/>
      <c r="LMF70" s="2"/>
      <c r="LMG70" s="2"/>
      <c r="LMH70" s="2"/>
      <c r="LMI70" s="2"/>
      <c r="LMJ70" s="2"/>
      <c r="LMK70" s="2"/>
      <c r="LML70" s="2"/>
      <c r="LMM70" s="2"/>
      <c r="LMN70" s="2"/>
      <c r="LMO70" s="2"/>
      <c r="LMP70" s="2"/>
      <c r="LMQ70" s="2"/>
      <c r="LMR70" s="2"/>
      <c r="LMS70" s="2"/>
      <c r="LMT70" s="2"/>
      <c r="LMU70" s="2"/>
      <c r="LMV70" s="2"/>
      <c r="LMW70" s="2"/>
      <c r="LMX70" s="2"/>
      <c r="LMY70" s="2"/>
      <c r="LMZ70" s="2"/>
      <c r="LNA70" s="2"/>
      <c r="LNB70" s="2"/>
      <c r="LNC70" s="2"/>
      <c r="LND70" s="2"/>
      <c r="LNE70" s="2"/>
      <c r="LNF70" s="2"/>
      <c r="LNG70" s="2"/>
      <c r="LNH70" s="2"/>
      <c r="LNI70" s="2"/>
      <c r="LNJ70" s="2"/>
      <c r="LNK70" s="2"/>
      <c r="LNL70" s="2"/>
      <c r="LNM70" s="2"/>
      <c r="LNN70" s="2"/>
      <c r="LNO70" s="2"/>
      <c r="LNP70" s="2"/>
      <c r="LNQ70" s="2"/>
      <c r="LNR70" s="2"/>
      <c r="LNS70" s="2"/>
      <c r="LNT70" s="2"/>
      <c r="LNU70" s="2"/>
      <c r="LNV70" s="2"/>
      <c r="LNW70" s="2"/>
      <c r="LNX70" s="2"/>
      <c r="LNY70" s="2"/>
      <c r="LNZ70" s="2"/>
      <c r="LOA70" s="2"/>
      <c r="LOB70" s="2"/>
      <c r="LOC70" s="2"/>
      <c r="LOD70" s="2"/>
      <c r="LOE70" s="2"/>
      <c r="LOF70" s="2"/>
      <c r="LOG70" s="2"/>
      <c r="LOH70" s="2"/>
      <c r="LOI70" s="2"/>
      <c r="LOJ70" s="2"/>
      <c r="LOK70" s="2"/>
      <c r="LOL70" s="2"/>
      <c r="LOM70" s="2"/>
      <c r="LON70" s="2"/>
      <c r="LOO70" s="2"/>
      <c r="LOP70" s="2"/>
      <c r="LOQ70" s="2"/>
      <c r="LOR70" s="2"/>
      <c r="LOS70" s="2"/>
      <c r="LOT70" s="2"/>
      <c r="LOU70" s="2"/>
      <c r="LOV70" s="2"/>
      <c r="LOW70" s="2"/>
      <c r="LOX70" s="2"/>
      <c r="LOY70" s="2"/>
      <c r="LOZ70" s="2"/>
      <c r="LPA70" s="2"/>
      <c r="LPB70" s="2"/>
      <c r="LPC70" s="2"/>
      <c r="LPD70" s="2"/>
      <c r="LPE70" s="2"/>
      <c r="LPF70" s="2"/>
      <c r="LPG70" s="2"/>
      <c r="LPH70" s="2"/>
      <c r="LPI70" s="2"/>
      <c r="LPJ70" s="2"/>
      <c r="LPK70" s="2"/>
      <c r="LPL70" s="2"/>
      <c r="LPM70" s="2"/>
      <c r="LPN70" s="2"/>
      <c r="LPO70" s="2"/>
      <c r="LPP70" s="2"/>
      <c r="LPQ70" s="2"/>
      <c r="LPR70" s="2"/>
      <c r="LPS70" s="2"/>
      <c r="LPT70" s="2"/>
      <c r="LPU70" s="2"/>
      <c r="LPV70" s="2"/>
      <c r="LPW70" s="2"/>
      <c r="LPX70" s="2"/>
      <c r="LPY70" s="2"/>
      <c r="LPZ70" s="2"/>
      <c r="LQA70" s="2"/>
      <c r="LQB70" s="2"/>
      <c r="LQC70" s="2"/>
      <c r="LQD70" s="2"/>
      <c r="LQE70" s="2"/>
      <c r="LQF70" s="2"/>
      <c r="LQG70" s="2"/>
      <c r="LQH70" s="2"/>
      <c r="LQI70" s="2"/>
      <c r="LQJ70" s="2"/>
      <c r="LQK70" s="2"/>
      <c r="LQL70" s="2"/>
      <c r="LQM70" s="2"/>
      <c r="LQN70" s="2"/>
      <c r="LQO70" s="2"/>
      <c r="LQP70" s="2"/>
      <c r="LQQ70" s="2"/>
      <c r="LQR70" s="2"/>
      <c r="LQS70" s="2"/>
      <c r="LQT70" s="2"/>
      <c r="LQU70" s="2"/>
      <c r="LQV70" s="2"/>
      <c r="LQW70" s="2"/>
      <c r="LQX70" s="2"/>
      <c r="LQY70" s="2"/>
      <c r="LQZ70" s="2"/>
      <c r="LRA70" s="2"/>
      <c r="LRB70" s="2"/>
      <c r="LRC70" s="2"/>
      <c r="LRD70" s="2"/>
      <c r="LRE70" s="2"/>
      <c r="LRF70" s="2"/>
      <c r="LRG70" s="2"/>
      <c r="LRH70" s="2"/>
      <c r="LRI70" s="2"/>
      <c r="LRJ70" s="2"/>
      <c r="LRK70" s="2"/>
      <c r="LRL70" s="2"/>
      <c r="LRM70" s="2"/>
      <c r="LRN70" s="2"/>
      <c r="LRO70" s="2"/>
      <c r="LRP70" s="2"/>
      <c r="LRQ70" s="2"/>
      <c r="LRR70" s="2"/>
      <c r="LRS70" s="2"/>
      <c r="LRT70" s="2"/>
      <c r="LRU70" s="2"/>
      <c r="LRV70" s="2"/>
      <c r="LRW70" s="2"/>
      <c r="LRX70" s="2"/>
      <c r="LRY70" s="2"/>
      <c r="LRZ70" s="2"/>
      <c r="LSA70" s="2"/>
      <c r="LSB70" s="2"/>
      <c r="LSC70" s="2"/>
      <c r="LSD70" s="2"/>
      <c r="LSE70" s="2"/>
      <c r="LSF70" s="2"/>
      <c r="LSG70" s="2"/>
      <c r="LSH70" s="2"/>
      <c r="LSI70" s="2"/>
      <c r="LSJ70" s="2"/>
      <c r="LSK70" s="2"/>
      <c r="LSL70" s="2"/>
      <c r="LSM70" s="2"/>
      <c r="LSN70" s="2"/>
      <c r="LSO70" s="2"/>
      <c r="LSP70" s="2"/>
      <c r="LSQ70" s="2"/>
      <c r="LSR70" s="2"/>
      <c r="LSS70" s="2"/>
      <c r="LST70" s="2"/>
      <c r="LSU70" s="2"/>
      <c r="LSV70" s="2"/>
      <c r="LSW70" s="2"/>
      <c r="LSX70" s="2"/>
      <c r="LSY70" s="2"/>
      <c r="LSZ70" s="2"/>
      <c r="LTA70" s="2"/>
      <c r="LTB70" s="2"/>
      <c r="LTC70" s="2"/>
      <c r="LTD70" s="2"/>
      <c r="LTE70" s="2"/>
      <c r="LTF70" s="2"/>
      <c r="LTG70" s="2"/>
      <c r="LTH70" s="2"/>
      <c r="LTI70" s="2"/>
      <c r="LTJ70" s="2"/>
      <c r="LTK70" s="2"/>
      <c r="LTL70" s="2"/>
      <c r="LTM70" s="2"/>
      <c r="LTN70" s="2"/>
      <c r="LTO70" s="2"/>
      <c r="LTP70" s="2"/>
      <c r="LTQ70" s="2"/>
      <c r="LTR70" s="2"/>
      <c r="LTS70" s="2"/>
      <c r="LTT70" s="2"/>
      <c r="LTU70" s="2"/>
      <c r="LTV70" s="2"/>
      <c r="LTW70" s="2"/>
      <c r="LTX70" s="2"/>
      <c r="LTY70" s="2"/>
      <c r="LTZ70" s="2"/>
      <c r="LUA70" s="2"/>
      <c r="LUB70" s="2"/>
      <c r="LUC70" s="2"/>
      <c r="LUD70" s="2"/>
      <c r="LUE70" s="2"/>
      <c r="LUF70" s="2"/>
      <c r="LUG70" s="2"/>
      <c r="LUH70" s="2"/>
      <c r="LUI70" s="2"/>
      <c r="LUJ70" s="2"/>
      <c r="LUK70" s="2"/>
      <c r="LUL70" s="2"/>
      <c r="LUM70" s="2"/>
      <c r="LUN70" s="2"/>
      <c r="LUO70" s="2"/>
      <c r="LUP70" s="2"/>
      <c r="LUQ70" s="2"/>
      <c r="LUR70" s="2"/>
      <c r="LUS70" s="2"/>
      <c r="LUT70" s="2"/>
      <c r="LUU70" s="2"/>
      <c r="LUV70" s="2"/>
      <c r="LUW70" s="2"/>
      <c r="LUX70" s="2"/>
      <c r="LUY70" s="2"/>
      <c r="LUZ70" s="2"/>
      <c r="LVA70" s="2"/>
      <c r="LVB70" s="2"/>
      <c r="LVC70" s="2"/>
      <c r="LVD70" s="2"/>
      <c r="LVE70" s="2"/>
      <c r="LVF70" s="2"/>
      <c r="LVG70" s="2"/>
      <c r="LVH70" s="2"/>
      <c r="LVI70" s="2"/>
      <c r="LVJ70" s="2"/>
      <c r="LVK70" s="2"/>
      <c r="LVL70" s="2"/>
      <c r="LVM70" s="2"/>
      <c r="LVN70" s="2"/>
      <c r="LVO70" s="2"/>
      <c r="LVP70" s="2"/>
      <c r="LVQ70" s="2"/>
      <c r="LVR70" s="2"/>
      <c r="LVS70" s="2"/>
      <c r="LVT70" s="2"/>
      <c r="LVU70" s="2"/>
      <c r="LVV70" s="2"/>
      <c r="LVW70" s="2"/>
      <c r="LVX70" s="2"/>
      <c r="LVY70" s="2"/>
      <c r="LVZ70" s="2"/>
      <c r="LWA70" s="2"/>
      <c r="LWB70" s="2"/>
      <c r="LWC70" s="2"/>
      <c r="LWD70" s="2"/>
      <c r="LWE70" s="2"/>
      <c r="LWF70" s="2"/>
      <c r="LWG70" s="2"/>
      <c r="LWH70" s="2"/>
      <c r="LWI70" s="2"/>
      <c r="LWJ70" s="2"/>
      <c r="LWK70" s="2"/>
      <c r="LWL70" s="2"/>
      <c r="LWM70" s="2"/>
      <c r="LWN70" s="2"/>
      <c r="LWO70" s="2"/>
      <c r="LWP70" s="2"/>
      <c r="LWQ70" s="2"/>
      <c r="LWR70" s="2"/>
      <c r="LWS70" s="2"/>
      <c r="LWT70" s="2"/>
      <c r="LWU70" s="2"/>
      <c r="LWV70" s="2"/>
      <c r="LWW70" s="2"/>
      <c r="LWX70" s="2"/>
      <c r="LWY70" s="2"/>
      <c r="LWZ70" s="2"/>
      <c r="LXA70" s="2"/>
      <c r="LXB70" s="2"/>
      <c r="LXC70" s="2"/>
      <c r="LXD70" s="2"/>
      <c r="LXE70" s="2"/>
      <c r="LXF70" s="2"/>
      <c r="LXG70" s="2"/>
      <c r="LXH70" s="2"/>
      <c r="LXI70" s="2"/>
      <c r="LXJ70" s="2"/>
      <c r="LXK70" s="2"/>
      <c r="LXL70" s="2"/>
      <c r="LXM70" s="2"/>
      <c r="LXN70" s="2"/>
      <c r="LXO70" s="2"/>
      <c r="LXP70" s="2"/>
      <c r="LXQ70" s="2"/>
      <c r="LXR70" s="2"/>
      <c r="LXS70" s="2"/>
      <c r="LXT70" s="2"/>
      <c r="LXU70" s="2"/>
      <c r="LXV70" s="2"/>
      <c r="LXW70" s="2"/>
      <c r="LXX70" s="2"/>
      <c r="LXY70" s="2"/>
      <c r="LXZ70" s="2"/>
      <c r="LYA70" s="2"/>
      <c r="LYB70" s="2"/>
      <c r="LYC70" s="2"/>
      <c r="LYD70" s="2"/>
      <c r="LYE70" s="2"/>
      <c r="LYF70" s="2"/>
      <c r="LYG70" s="2"/>
      <c r="LYH70" s="2"/>
      <c r="LYI70" s="2"/>
      <c r="LYJ70" s="2"/>
      <c r="LYK70" s="2"/>
      <c r="LYL70" s="2"/>
      <c r="LYM70" s="2"/>
      <c r="LYN70" s="2"/>
      <c r="LYO70" s="2"/>
      <c r="LYP70" s="2"/>
      <c r="LYQ70" s="2"/>
      <c r="LYR70" s="2"/>
      <c r="LYS70" s="2"/>
      <c r="LYT70" s="2"/>
      <c r="LYU70" s="2"/>
      <c r="LYV70" s="2"/>
      <c r="LYW70" s="2"/>
      <c r="LYX70" s="2"/>
      <c r="LYY70" s="2"/>
      <c r="LYZ70" s="2"/>
      <c r="LZA70" s="2"/>
      <c r="LZB70" s="2"/>
      <c r="LZC70" s="2"/>
      <c r="LZD70" s="2"/>
      <c r="LZE70" s="2"/>
      <c r="LZF70" s="2"/>
      <c r="LZG70" s="2"/>
      <c r="LZH70" s="2"/>
      <c r="LZI70" s="2"/>
      <c r="LZJ70" s="2"/>
      <c r="LZK70" s="2"/>
      <c r="LZL70" s="2"/>
      <c r="LZM70" s="2"/>
      <c r="LZN70" s="2"/>
      <c r="LZO70" s="2"/>
      <c r="LZP70" s="2"/>
      <c r="LZQ70" s="2"/>
      <c r="LZR70" s="2"/>
      <c r="LZS70" s="2"/>
      <c r="LZT70" s="2"/>
      <c r="LZU70" s="2"/>
      <c r="LZV70" s="2"/>
      <c r="LZW70" s="2"/>
      <c r="LZX70" s="2"/>
      <c r="LZY70" s="2"/>
      <c r="LZZ70" s="2"/>
      <c r="MAA70" s="2"/>
      <c r="MAB70" s="2"/>
      <c r="MAC70" s="2"/>
      <c r="MAD70" s="2"/>
      <c r="MAE70" s="2"/>
      <c r="MAF70" s="2"/>
      <c r="MAG70" s="2"/>
      <c r="MAH70" s="2"/>
      <c r="MAI70" s="2"/>
      <c r="MAJ70" s="2"/>
      <c r="MAK70" s="2"/>
      <c r="MAL70" s="2"/>
      <c r="MAM70" s="2"/>
      <c r="MAN70" s="2"/>
      <c r="MAO70" s="2"/>
      <c r="MAP70" s="2"/>
      <c r="MAQ70" s="2"/>
      <c r="MAR70" s="2"/>
      <c r="MAS70" s="2"/>
      <c r="MAT70" s="2"/>
      <c r="MAU70" s="2"/>
      <c r="MAV70" s="2"/>
      <c r="MAW70" s="2"/>
      <c r="MAX70" s="2"/>
      <c r="MAY70" s="2"/>
      <c r="MAZ70" s="2"/>
      <c r="MBA70" s="2"/>
      <c r="MBB70" s="2"/>
      <c r="MBC70" s="2"/>
      <c r="MBD70" s="2"/>
      <c r="MBE70" s="2"/>
      <c r="MBF70" s="2"/>
      <c r="MBG70" s="2"/>
      <c r="MBH70" s="2"/>
      <c r="MBI70" s="2"/>
      <c r="MBJ70" s="2"/>
      <c r="MBK70" s="2"/>
      <c r="MBL70" s="2"/>
      <c r="MBM70" s="2"/>
      <c r="MBN70" s="2"/>
      <c r="MBO70" s="2"/>
      <c r="MBP70" s="2"/>
      <c r="MBQ70" s="2"/>
      <c r="MBR70" s="2"/>
      <c r="MBS70" s="2"/>
      <c r="MBT70" s="2"/>
      <c r="MBU70" s="2"/>
      <c r="MBV70" s="2"/>
      <c r="MBW70" s="2"/>
      <c r="MBX70" s="2"/>
      <c r="MBY70" s="2"/>
      <c r="MBZ70" s="2"/>
      <c r="MCA70" s="2"/>
      <c r="MCB70" s="2"/>
      <c r="MCC70" s="2"/>
      <c r="MCD70" s="2"/>
      <c r="MCE70" s="2"/>
      <c r="MCF70" s="2"/>
      <c r="MCG70" s="2"/>
      <c r="MCH70" s="2"/>
      <c r="MCI70" s="2"/>
      <c r="MCJ70" s="2"/>
      <c r="MCK70" s="2"/>
      <c r="MCL70" s="2"/>
      <c r="MCM70" s="2"/>
      <c r="MCN70" s="2"/>
      <c r="MCO70" s="2"/>
      <c r="MCP70" s="2"/>
      <c r="MCQ70" s="2"/>
      <c r="MCR70" s="2"/>
      <c r="MCS70" s="2"/>
      <c r="MCT70" s="2"/>
      <c r="MCU70" s="2"/>
      <c r="MCV70" s="2"/>
      <c r="MCW70" s="2"/>
      <c r="MCX70" s="2"/>
      <c r="MCY70" s="2"/>
      <c r="MCZ70" s="2"/>
      <c r="MDA70" s="2"/>
      <c r="MDB70" s="2"/>
      <c r="MDC70" s="2"/>
      <c r="MDD70" s="2"/>
      <c r="MDE70" s="2"/>
      <c r="MDF70" s="2"/>
      <c r="MDG70" s="2"/>
      <c r="MDH70" s="2"/>
      <c r="MDI70" s="2"/>
      <c r="MDJ70" s="2"/>
      <c r="MDK70" s="2"/>
      <c r="MDL70" s="2"/>
      <c r="MDM70" s="2"/>
      <c r="MDN70" s="2"/>
      <c r="MDO70" s="2"/>
      <c r="MDP70" s="2"/>
      <c r="MDQ70" s="2"/>
      <c r="MDR70" s="2"/>
      <c r="MDS70" s="2"/>
      <c r="MDT70" s="2"/>
      <c r="MDU70" s="2"/>
      <c r="MDV70" s="2"/>
      <c r="MDW70" s="2"/>
      <c r="MDX70" s="2"/>
      <c r="MDY70" s="2"/>
      <c r="MDZ70" s="2"/>
      <c r="MEA70" s="2"/>
      <c r="MEB70" s="2"/>
      <c r="MEC70" s="2"/>
      <c r="MED70" s="2"/>
      <c r="MEE70" s="2"/>
      <c r="MEF70" s="2"/>
      <c r="MEG70" s="2"/>
      <c r="MEH70" s="2"/>
      <c r="MEI70" s="2"/>
      <c r="MEJ70" s="2"/>
      <c r="MEK70" s="2"/>
      <c r="MEL70" s="2"/>
      <c r="MEM70" s="2"/>
      <c r="MEN70" s="2"/>
      <c r="MEO70" s="2"/>
      <c r="MEP70" s="2"/>
      <c r="MEQ70" s="2"/>
      <c r="MER70" s="2"/>
      <c r="MES70" s="2"/>
      <c r="MET70" s="2"/>
      <c r="MEU70" s="2"/>
      <c r="MEV70" s="2"/>
      <c r="MEW70" s="2"/>
      <c r="MEX70" s="2"/>
      <c r="MEY70" s="2"/>
      <c r="MEZ70" s="2"/>
      <c r="MFA70" s="2"/>
      <c r="MFB70" s="2"/>
      <c r="MFC70" s="2"/>
      <c r="MFD70" s="2"/>
      <c r="MFE70" s="2"/>
      <c r="MFF70" s="2"/>
      <c r="MFG70" s="2"/>
      <c r="MFH70" s="2"/>
      <c r="MFI70" s="2"/>
      <c r="MFJ70" s="2"/>
      <c r="MFK70" s="2"/>
      <c r="MFL70" s="2"/>
      <c r="MFM70" s="2"/>
      <c r="MFN70" s="2"/>
      <c r="MFO70" s="2"/>
      <c r="MFP70" s="2"/>
      <c r="MFQ70" s="2"/>
      <c r="MFR70" s="2"/>
      <c r="MFS70" s="2"/>
      <c r="MFT70" s="2"/>
      <c r="MFU70" s="2"/>
      <c r="MFV70" s="2"/>
      <c r="MFW70" s="2"/>
      <c r="MFX70" s="2"/>
      <c r="MFY70" s="2"/>
      <c r="MFZ70" s="2"/>
      <c r="MGA70" s="2"/>
      <c r="MGB70" s="2"/>
      <c r="MGC70" s="2"/>
      <c r="MGD70" s="2"/>
      <c r="MGE70" s="2"/>
      <c r="MGF70" s="2"/>
      <c r="MGG70" s="2"/>
      <c r="MGH70" s="2"/>
      <c r="MGI70" s="2"/>
      <c r="MGJ70" s="2"/>
      <c r="MGK70" s="2"/>
      <c r="MGL70" s="2"/>
      <c r="MGM70" s="2"/>
      <c r="MGN70" s="2"/>
      <c r="MGO70" s="2"/>
      <c r="MGP70" s="2"/>
      <c r="MGQ70" s="2"/>
      <c r="MGR70" s="2"/>
      <c r="MGS70" s="2"/>
      <c r="MGT70" s="2"/>
      <c r="MGU70" s="2"/>
      <c r="MGV70" s="2"/>
      <c r="MGW70" s="2"/>
      <c r="MGX70" s="2"/>
      <c r="MGY70" s="2"/>
      <c r="MGZ70" s="2"/>
      <c r="MHA70" s="2"/>
      <c r="MHB70" s="2"/>
      <c r="MHC70" s="2"/>
      <c r="MHD70" s="2"/>
      <c r="MHE70" s="2"/>
      <c r="MHF70" s="2"/>
      <c r="MHG70" s="2"/>
      <c r="MHH70" s="2"/>
      <c r="MHI70" s="2"/>
      <c r="MHJ70" s="2"/>
      <c r="MHK70" s="2"/>
      <c r="MHL70" s="2"/>
      <c r="MHM70" s="2"/>
      <c r="MHN70" s="2"/>
      <c r="MHO70" s="2"/>
      <c r="MHP70" s="2"/>
      <c r="MHQ70" s="2"/>
      <c r="MHR70" s="2"/>
      <c r="MHS70" s="2"/>
      <c r="MHT70" s="2"/>
      <c r="MHU70" s="2"/>
      <c r="MHV70" s="2"/>
      <c r="MHW70" s="2"/>
      <c r="MHX70" s="2"/>
      <c r="MHY70" s="2"/>
      <c r="MHZ70" s="2"/>
      <c r="MIA70" s="2"/>
      <c r="MIB70" s="2"/>
      <c r="MIC70" s="2"/>
      <c r="MID70" s="2"/>
      <c r="MIE70" s="2"/>
      <c r="MIF70" s="2"/>
      <c r="MIG70" s="2"/>
      <c r="MIH70" s="2"/>
      <c r="MII70" s="2"/>
      <c r="MIJ70" s="2"/>
      <c r="MIK70" s="2"/>
      <c r="MIL70" s="2"/>
      <c r="MIM70" s="2"/>
      <c r="MIN70" s="2"/>
      <c r="MIO70" s="2"/>
      <c r="MIP70" s="2"/>
      <c r="MIQ70" s="2"/>
      <c r="MIR70" s="2"/>
      <c r="MIS70" s="2"/>
      <c r="MIT70" s="2"/>
      <c r="MIU70" s="2"/>
      <c r="MIV70" s="2"/>
      <c r="MIW70" s="2"/>
      <c r="MIX70" s="2"/>
      <c r="MIY70" s="2"/>
      <c r="MIZ70" s="2"/>
      <c r="MJA70" s="2"/>
      <c r="MJB70" s="2"/>
      <c r="MJC70" s="2"/>
      <c r="MJD70" s="2"/>
      <c r="MJE70" s="2"/>
      <c r="MJF70" s="2"/>
      <c r="MJG70" s="2"/>
      <c r="MJH70" s="2"/>
      <c r="MJI70" s="2"/>
      <c r="MJJ70" s="2"/>
      <c r="MJK70" s="2"/>
      <c r="MJL70" s="2"/>
      <c r="MJM70" s="2"/>
      <c r="MJN70" s="2"/>
      <c r="MJO70" s="2"/>
      <c r="MJP70" s="2"/>
      <c r="MJQ70" s="2"/>
      <c r="MJR70" s="2"/>
      <c r="MJS70" s="2"/>
      <c r="MJT70" s="2"/>
      <c r="MJU70" s="2"/>
      <c r="MJV70" s="2"/>
      <c r="MJW70" s="2"/>
      <c r="MJX70" s="2"/>
      <c r="MJY70" s="2"/>
      <c r="MJZ70" s="2"/>
      <c r="MKA70" s="2"/>
      <c r="MKB70" s="2"/>
      <c r="MKC70" s="2"/>
      <c r="MKD70" s="2"/>
      <c r="MKE70" s="2"/>
      <c r="MKF70" s="2"/>
      <c r="MKG70" s="2"/>
      <c r="MKH70" s="2"/>
      <c r="MKI70" s="2"/>
      <c r="MKJ70" s="2"/>
      <c r="MKK70" s="2"/>
      <c r="MKL70" s="2"/>
      <c r="MKM70" s="2"/>
      <c r="MKN70" s="2"/>
      <c r="MKO70" s="2"/>
      <c r="MKP70" s="2"/>
      <c r="MKQ70" s="2"/>
      <c r="MKR70" s="2"/>
      <c r="MKS70" s="2"/>
      <c r="MKT70" s="2"/>
      <c r="MKU70" s="2"/>
      <c r="MKV70" s="2"/>
      <c r="MKW70" s="2"/>
      <c r="MKX70" s="2"/>
      <c r="MKY70" s="2"/>
      <c r="MKZ70" s="2"/>
      <c r="MLA70" s="2"/>
      <c r="MLB70" s="2"/>
      <c r="MLC70" s="2"/>
      <c r="MLD70" s="2"/>
      <c r="MLE70" s="2"/>
      <c r="MLF70" s="2"/>
      <c r="MLG70" s="2"/>
      <c r="MLH70" s="2"/>
      <c r="MLI70" s="2"/>
      <c r="MLJ70" s="2"/>
      <c r="MLK70" s="2"/>
      <c r="MLL70" s="2"/>
      <c r="MLM70" s="2"/>
      <c r="MLN70" s="2"/>
      <c r="MLO70" s="2"/>
      <c r="MLP70" s="2"/>
      <c r="MLQ70" s="2"/>
      <c r="MLR70" s="2"/>
      <c r="MLS70" s="2"/>
      <c r="MLT70" s="2"/>
      <c r="MLU70" s="2"/>
      <c r="MLV70" s="2"/>
      <c r="MLW70" s="2"/>
      <c r="MLX70" s="2"/>
      <c r="MLY70" s="2"/>
      <c r="MLZ70" s="2"/>
      <c r="MMA70" s="2"/>
      <c r="MMB70" s="2"/>
      <c r="MMC70" s="2"/>
      <c r="MMD70" s="2"/>
      <c r="MME70" s="2"/>
      <c r="MMF70" s="2"/>
      <c r="MMG70" s="2"/>
      <c r="MMH70" s="2"/>
      <c r="MMI70" s="2"/>
      <c r="MMJ70" s="2"/>
      <c r="MMK70" s="2"/>
      <c r="MML70" s="2"/>
      <c r="MMM70" s="2"/>
      <c r="MMN70" s="2"/>
      <c r="MMO70" s="2"/>
      <c r="MMP70" s="2"/>
      <c r="MMQ70" s="2"/>
      <c r="MMR70" s="2"/>
      <c r="MMS70" s="2"/>
      <c r="MMT70" s="2"/>
      <c r="MMU70" s="2"/>
      <c r="MMV70" s="2"/>
      <c r="MMW70" s="2"/>
      <c r="MMX70" s="2"/>
      <c r="MMY70" s="2"/>
      <c r="MMZ70" s="2"/>
      <c r="MNA70" s="2"/>
      <c r="MNB70" s="2"/>
      <c r="MNC70" s="2"/>
      <c r="MND70" s="2"/>
      <c r="MNE70" s="2"/>
      <c r="MNF70" s="2"/>
      <c r="MNG70" s="2"/>
      <c r="MNH70" s="2"/>
      <c r="MNI70" s="2"/>
      <c r="MNJ70" s="2"/>
      <c r="MNK70" s="2"/>
      <c r="MNL70" s="2"/>
      <c r="MNM70" s="2"/>
      <c r="MNN70" s="2"/>
      <c r="MNO70" s="2"/>
      <c r="MNP70" s="2"/>
      <c r="MNQ70" s="2"/>
      <c r="MNR70" s="2"/>
      <c r="MNS70" s="2"/>
      <c r="MNT70" s="2"/>
      <c r="MNU70" s="2"/>
      <c r="MNV70" s="2"/>
      <c r="MNW70" s="2"/>
      <c r="MNX70" s="2"/>
      <c r="MNY70" s="2"/>
      <c r="MNZ70" s="2"/>
      <c r="MOA70" s="2"/>
      <c r="MOB70" s="2"/>
      <c r="MOC70" s="2"/>
      <c r="MOD70" s="2"/>
      <c r="MOE70" s="2"/>
      <c r="MOF70" s="2"/>
      <c r="MOG70" s="2"/>
      <c r="MOH70" s="2"/>
      <c r="MOI70" s="2"/>
      <c r="MOJ70" s="2"/>
      <c r="MOK70" s="2"/>
      <c r="MOL70" s="2"/>
      <c r="MOM70" s="2"/>
      <c r="MON70" s="2"/>
      <c r="MOO70" s="2"/>
      <c r="MOP70" s="2"/>
      <c r="MOQ70" s="2"/>
      <c r="MOR70" s="2"/>
      <c r="MOS70" s="2"/>
      <c r="MOT70" s="2"/>
      <c r="MOU70" s="2"/>
      <c r="MOV70" s="2"/>
      <c r="MOW70" s="2"/>
      <c r="MOX70" s="2"/>
      <c r="MOY70" s="2"/>
      <c r="MOZ70" s="2"/>
      <c r="MPA70" s="2"/>
      <c r="MPB70" s="2"/>
      <c r="MPC70" s="2"/>
      <c r="MPD70" s="2"/>
      <c r="MPE70" s="2"/>
      <c r="MPF70" s="2"/>
      <c r="MPG70" s="2"/>
      <c r="MPH70" s="2"/>
      <c r="MPI70" s="2"/>
      <c r="MPJ70" s="2"/>
      <c r="MPK70" s="2"/>
      <c r="MPL70" s="2"/>
      <c r="MPM70" s="2"/>
      <c r="MPN70" s="2"/>
      <c r="MPO70" s="2"/>
      <c r="MPP70" s="2"/>
      <c r="MPQ70" s="2"/>
      <c r="MPR70" s="2"/>
      <c r="MPS70" s="2"/>
      <c r="MPT70" s="2"/>
      <c r="MPU70" s="2"/>
      <c r="MPV70" s="2"/>
      <c r="MPW70" s="2"/>
      <c r="MPX70" s="2"/>
      <c r="MPY70" s="2"/>
      <c r="MPZ70" s="2"/>
      <c r="MQA70" s="2"/>
      <c r="MQB70" s="2"/>
      <c r="MQC70" s="2"/>
      <c r="MQD70" s="2"/>
      <c r="MQE70" s="2"/>
      <c r="MQF70" s="2"/>
      <c r="MQG70" s="2"/>
      <c r="MQH70" s="2"/>
      <c r="MQI70" s="2"/>
      <c r="MQJ70" s="2"/>
      <c r="MQK70" s="2"/>
      <c r="MQL70" s="2"/>
      <c r="MQM70" s="2"/>
      <c r="MQN70" s="2"/>
      <c r="MQO70" s="2"/>
      <c r="MQP70" s="2"/>
      <c r="MQQ70" s="2"/>
      <c r="MQR70" s="2"/>
      <c r="MQS70" s="2"/>
      <c r="MQT70" s="2"/>
      <c r="MQU70" s="2"/>
      <c r="MQV70" s="2"/>
      <c r="MQW70" s="2"/>
      <c r="MQX70" s="2"/>
      <c r="MQY70" s="2"/>
      <c r="MQZ70" s="2"/>
      <c r="MRA70" s="2"/>
      <c r="MRB70" s="2"/>
      <c r="MRC70" s="2"/>
      <c r="MRD70" s="2"/>
      <c r="MRE70" s="2"/>
      <c r="MRF70" s="2"/>
      <c r="MRG70" s="2"/>
      <c r="MRH70" s="2"/>
      <c r="MRI70" s="2"/>
      <c r="MRJ70" s="2"/>
      <c r="MRK70" s="2"/>
      <c r="MRL70" s="2"/>
      <c r="MRM70" s="2"/>
      <c r="MRN70" s="2"/>
      <c r="MRO70" s="2"/>
      <c r="MRP70" s="2"/>
      <c r="MRQ70" s="2"/>
      <c r="MRR70" s="2"/>
      <c r="MRS70" s="2"/>
      <c r="MRT70" s="2"/>
      <c r="MRU70" s="2"/>
      <c r="MRV70" s="2"/>
      <c r="MRW70" s="2"/>
      <c r="MRX70" s="2"/>
      <c r="MRY70" s="2"/>
      <c r="MRZ70" s="2"/>
      <c r="MSA70" s="2"/>
      <c r="MSB70" s="2"/>
      <c r="MSC70" s="2"/>
      <c r="MSD70" s="2"/>
      <c r="MSE70" s="2"/>
      <c r="MSF70" s="2"/>
      <c r="MSG70" s="2"/>
      <c r="MSH70" s="2"/>
      <c r="MSI70" s="2"/>
      <c r="MSJ70" s="2"/>
      <c r="MSK70" s="2"/>
      <c r="MSL70" s="2"/>
      <c r="MSM70" s="2"/>
      <c r="MSN70" s="2"/>
      <c r="MSO70" s="2"/>
      <c r="MSP70" s="2"/>
      <c r="MSQ70" s="2"/>
      <c r="MSR70" s="2"/>
      <c r="MSS70" s="2"/>
      <c r="MST70" s="2"/>
      <c r="MSU70" s="2"/>
      <c r="MSV70" s="2"/>
      <c r="MSW70" s="2"/>
      <c r="MSX70" s="2"/>
      <c r="MSY70" s="2"/>
      <c r="MSZ70" s="2"/>
      <c r="MTA70" s="2"/>
      <c r="MTB70" s="2"/>
      <c r="MTC70" s="2"/>
      <c r="MTD70" s="2"/>
      <c r="MTE70" s="2"/>
      <c r="MTF70" s="2"/>
      <c r="MTG70" s="2"/>
      <c r="MTH70" s="2"/>
      <c r="MTI70" s="2"/>
      <c r="MTJ70" s="2"/>
      <c r="MTK70" s="2"/>
      <c r="MTL70" s="2"/>
      <c r="MTM70" s="2"/>
      <c r="MTN70" s="2"/>
      <c r="MTO70" s="2"/>
      <c r="MTP70" s="2"/>
      <c r="MTQ70" s="2"/>
      <c r="MTR70" s="2"/>
      <c r="MTS70" s="2"/>
      <c r="MTT70" s="2"/>
      <c r="MTU70" s="2"/>
      <c r="MTV70" s="2"/>
      <c r="MTW70" s="2"/>
      <c r="MTX70" s="2"/>
      <c r="MTY70" s="2"/>
      <c r="MTZ70" s="2"/>
      <c r="MUA70" s="2"/>
      <c r="MUB70" s="2"/>
      <c r="MUC70" s="2"/>
      <c r="MUD70" s="2"/>
      <c r="MUE70" s="2"/>
      <c r="MUF70" s="2"/>
      <c r="MUG70" s="2"/>
      <c r="MUH70" s="2"/>
      <c r="MUI70" s="2"/>
      <c r="MUJ70" s="2"/>
      <c r="MUK70" s="2"/>
      <c r="MUL70" s="2"/>
      <c r="MUM70" s="2"/>
      <c r="MUN70" s="2"/>
      <c r="MUO70" s="2"/>
      <c r="MUP70" s="2"/>
      <c r="MUQ70" s="2"/>
      <c r="MUR70" s="2"/>
      <c r="MUS70" s="2"/>
      <c r="MUT70" s="2"/>
      <c r="MUU70" s="2"/>
      <c r="MUV70" s="2"/>
      <c r="MUW70" s="2"/>
      <c r="MUX70" s="2"/>
      <c r="MUY70" s="2"/>
      <c r="MUZ70" s="2"/>
      <c r="MVA70" s="2"/>
      <c r="MVB70" s="2"/>
      <c r="MVC70" s="2"/>
      <c r="MVD70" s="2"/>
      <c r="MVE70" s="2"/>
      <c r="MVF70" s="2"/>
      <c r="MVG70" s="2"/>
      <c r="MVH70" s="2"/>
      <c r="MVI70" s="2"/>
      <c r="MVJ70" s="2"/>
      <c r="MVK70" s="2"/>
      <c r="MVL70" s="2"/>
      <c r="MVM70" s="2"/>
      <c r="MVN70" s="2"/>
      <c r="MVO70" s="2"/>
      <c r="MVP70" s="2"/>
      <c r="MVQ70" s="2"/>
      <c r="MVR70" s="2"/>
      <c r="MVS70" s="2"/>
      <c r="MVT70" s="2"/>
      <c r="MVU70" s="2"/>
      <c r="MVV70" s="2"/>
      <c r="MVW70" s="2"/>
      <c r="MVX70" s="2"/>
      <c r="MVY70" s="2"/>
      <c r="MVZ70" s="2"/>
      <c r="MWA70" s="2"/>
      <c r="MWB70" s="2"/>
      <c r="MWC70" s="2"/>
      <c r="MWD70" s="2"/>
      <c r="MWE70" s="2"/>
      <c r="MWF70" s="2"/>
      <c r="MWG70" s="2"/>
      <c r="MWH70" s="2"/>
      <c r="MWI70" s="2"/>
      <c r="MWJ70" s="2"/>
      <c r="MWK70" s="2"/>
      <c r="MWL70" s="2"/>
      <c r="MWM70" s="2"/>
      <c r="MWN70" s="2"/>
      <c r="MWO70" s="2"/>
      <c r="MWP70" s="2"/>
      <c r="MWQ70" s="2"/>
      <c r="MWR70" s="2"/>
      <c r="MWS70" s="2"/>
      <c r="MWT70" s="2"/>
      <c r="MWU70" s="2"/>
      <c r="MWV70" s="2"/>
      <c r="MWW70" s="2"/>
      <c r="MWX70" s="2"/>
      <c r="MWY70" s="2"/>
      <c r="MWZ70" s="2"/>
      <c r="MXA70" s="2"/>
      <c r="MXB70" s="2"/>
      <c r="MXC70" s="2"/>
      <c r="MXD70" s="2"/>
      <c r="MXE70" s="2"/>
      <c r="MXF70" s="2"/>
      <c r="MXG70" s="2"/>
      <c r="MXH70" s="2"/>
      <c r="MXI70" s="2"/>
      <c r="MXJ70" s="2"/>
      <c r="MXK70" s="2"/>
      <c r="MXL70" s="2"/>
      <c r="MXM70" s="2"/>
      <c r="MXN70" s="2"/>
      <c r="MXO70" s="2"/>
      <c r="MXP70" s="2"/>
      <c r="MXQ70" s="2"/>
      <c r="MXR70" s="2"/>
      <c r="MXS70" s="2"/>
      <c r="MXT70" s="2"/>
      <c r="MXU70" s="2"/>
      <c r="MXV70" s="2"/>
      <c r="MXW70" s="2"/>
      <c r="MXX70" s="2"/>
      <c r="MXY70" s="2"/>
      <c r="MXZ70" s="2"/>
      <c r="MYA70" s="2"/>
      <c r="MYB70" s="2"/>
      <c r="MYC70" s="2"/>
      <c r="MYD70" s="2"/>
      <c r="MYE70" s="2"/>
      <c r="MYF70" s="2"/>
      <c r="MYG70" s="2"/>
      <c r="MYH70" s="2"/>
      <c r="MYI70" s="2"/>
      <c r="MYJ70" s="2"/>
      <c r="MYK70" s="2"/>
      <c r="MYL70" s="2"/>
      <c r="MYM70" s="2"/>
      <c r="MYN70" s="2"/>
      <c r="MYO70" s="2"/>
      <c r="MYP70" s="2"/>
      <c r="MYQ70" s="2"/>
      <c r="MYR70" s="2"/>
      <c r="MYS70" s="2"/>
      <c r="MYT70" s="2"/>
      <c r="MYU70" s="2"/>
      <c r="MYV70" s="2"/>
      <c r="MYW70" s="2"/>
      <c r="MYX70" s="2"/>
      <c r="MYY70" s="2"/>
      <c r="MYZ70" s="2"/>
      <c r="MZA70" s="2"/>
      <c r="MZB70" s="2"/>
      <c r="MZC70" s="2"/>
      <c r="MZD70" s="2"/>
      <c r="MZE70" s="2"/>
      <c r="MZF70" s="2"/>
      <c r="MZG70" s="2"/>
      <c r="MZH70" s="2"/>
      <c r="MZI70" s="2"/>
      <c r="MZJ70" s="2"/>
      <c r="MZK70" s="2"/>
      <c r="MZL70" s="2"/>
      <c r="MZM70" s="2"/>
      <c r="MZN70" s="2"/>
      <c r="MZO70" s="2"/>
      <c r="MZP70" s="2"/>
      <c r="MZQ70" s="2"/>
      <c r="MZR70" s="2"/>
      <c r="MZS70" s="2"/>
      <c r="MZT70" s="2"/>
      <c r="MZU70" s="2"/>
      <c r="MZV70" s="2"/>
      <c r="MZW70" s="2"/>
      <c r="MZX70" s="2"/>
      <c r="MZY70" s="2"/>
      <c r="MZZ70" s="2"/>
      <c r="NAA70" s="2"/>
      <c r="NAB70" s="2"/>
      <c r="NAC70" s="2"/>
      <c r="NAD70" s="2"/>
      <c r="NAE70" s="2"/>
      <c r="NAF70" s="2"/>
      <c r="NAG70" s="2"/>
      <c r="NAH70" s="2"/>
      <c r="NAI70" s="2"/>
      <c r="NAJ70" s="2"/>
      <c r="NAK70" s="2"/>
      <c r="NAL70" s="2"/>
      <c r="NAM70" s="2"/>
      <c r="NAN70" s="2"/>
      <c r="NAO70" s="2"/>
      <c r="NAP70" s="2"/>
      <c r="NAQ70" s="2"/>
      <c r="NAR70" s="2"/>
      <c r="NAS70" s="2"/>
      <c r="NAT70" s="2"/>
      <c r="NAU70" s="2"/>
      <c r="NAV70" s="2"/>
      <c r="NAW70" s="2"/>
      <c r="NAX70" s="2"/>
      <c r="NAY70" s="2"/>
      <c r="NAZ70" s="2"/>
      <c r="NBA70" s="2"/>
      <c r="NBB70" s="2"/>
      <c r="NBC70" s="2"/>
      <c r="NBD70" s="2"/>
      <c r="NBE70" s="2"/>
      <c r="NBF70" s="2"/>
      <c r="NBG70" s="2"/>
      <c r="NBH70" s="2"/>
      <c r="NBI70" s="2"/>
      <c r="NBJ70" s="2"/>
      <c r="NBK70" s="2"/>
      <c r="NBL70" s="2"/>
      <c r="NBM70" s="2"/>
      <c r="NBN70" s="2"/>
      <c r="NBO70" s="2"/>
      <c r="NBP70" s="2"/>
      <c r="NBQ70" s="2"/>
      <c r="NBR70" s="2"/>
      <c r="NBS70" s="2"/>
      <c r="NBT70" s="2"/>
      <c r="NBU70" s="2"/>
      <c r="NBV70" s="2"/>
      <c r="NBW70" s="2"/>
      <c r="NBX70" s="2"/>
      <c r="NBY70" s="2"/>
      <c r="NBZ70" s="2"/>
      <c r="NCA70" s="2"/>
      <c r="NCB70" s="2"/>
      <c r="NCC70" s="2"/>
      <c r="NCD70" s="2"/>
      <c r="NCE70" s="2"/>
      <c r="NCF70" s="2"/>
      <c r="NCG70" s="2"/>
      <c r="NCH70" s="2"/>
      <c r="NCI70" s="2"/>
      <c r="NCJ70" s="2"/>
      <c r="NCK70" s="2"/>
      <c r="NCL70" s="2"/>
      <c r="NCM70" s="2"/>
      <c r="NCN70" s="2"/>
      <c r="NCO70" s="2"/>
      <c r="NCP70" s="2"/>
      <c r="NCQ70" s="2"/>
      <c r="NCR70" s="2"/>
      <c r="NCS70" s="2"/>
      <c r="NCT70" s="2"/>
      <c r="NCU70" s="2"/>
      <c r="NCV70" s="2"/>
      <c r="NCW70" s="2"/>
      <c r="NCX70" s="2"/>
      <c r="NCY70" s="2"/>
      <c r="NCZ70" s="2"/>
      <c r="NDA70" s="2"/>
      <c r="NDB70" s="2"/>
      <c r="NDC70" s="2"/>
      <c r="NDD70" s="2"/>
      <c r="NDE70" s="2"/>
      <c r="NDF70" s="2"/>
      <c r="NDG70" s="2"/>
      <c r="NDH70" s="2"/>
      <c r="NDI70" s="2"/>
      <c r="NDJ70" s="2"/>
      <c r="NDK70" s="2"/>
      <c r="NDL70" s="2"/>
      <c r="NDM70" s="2"/>
      <c r="NDN70" s="2"/>
      <c r="NDO70" s="2"/>
      <c r="NDP70" s="2"/>
      <c r="NDQ70" s="2"/>
      <c r="NDR70" s="2"/>
      <c r="NDS70" s="2"/>
      <c r="NDT70" s="2"/>
      <c r="NDU70" s="2"/>
      <c r="NDV70" s="2"/>
      <c r="NDW70" s="2"/>
      <c r="NDX70" s="2"/>
      <c r="NDY70" s="2"/>
      <c r="NDZ70" s="2"/>
      <c r="NEA70" s="2"/>
      <c r="NEB70" s="2"/>
      <c r="NEC70" s="2"/>
      <c r="NED70" s="2"/>
      <c r="NEE70" s="2"/>
      <c r="NEF70" s="2"/>
      <c r="NEG70" s="2"/>
      <c r="NEH70" s="2"/>
      <c r="NEI70" s="2"/>
      <c r="NEJ70" s="2"/>
      <c r="NEK70" s="2"/>
      <c r="NEL70" s="2"/>
      <c r="NEM70" s="2"/>
      <c r="NEN70" s="2"/>
      <c r="NEO70" s="2"/>
      <c r="NEP70" s="2"/>
      <c r="NEQ70" s="2"/>
      <c r="NER70" s="2"/>
      <c r="NES70" s="2"/>
      <c r="NET70" s="2"/>
      <c r="NEU70" s="2"/>
      <c r="NEV70" s="2"/>
      <c r="NEW70" s="2"/>
      <c r="NEX70" s="2"/>
      <c r="NEY70" s="2"/>
      <c r="NEZ70" s="2"/>
      <c r="NFA70" s="2"/>
      <c r="NFB70" s="2"/>
      <c r="NFC70" s="2"/>
      <c r="NFD70" s="2"/>
      <c r="NFE70" s="2"/>
      <c r="NFF70" s="2"/>
      <c r="NFG70" s="2"/>
      <c r="NFH70" s="2"/>
      <c r="NFI70" s="2"/>
      <c r="NFJ70" s="2"/>
      <c r="NFK70" s="2"/>
      <c r="NFL70" s="2"/>
      <c r="NFM70" s="2"/>
      <c r="NFN70" s="2"/>
      <c r="NFO70" s="2"/>
      <c r="NFP70" s="2"/>
      <c r="NFQ70" s="2"/>
      <c r="NFR70" s="2"/>
      <c r="NFS70" s="2"/>
      <c r="NFT70" s="2"/>
      <c r="NFU70" s="2"/>
      <c r="NFV70" s="2"/>
      <c r="NFW70" s="2"/>
      <c r="NFX70" s="2"/>
      <c r="NFY70" s="2"/>
      <c r="NFZ70" s="2"/>
      <c r="NGA70" s="2"/>
      <c r="NGB70" s="2"/>
      <c r="NGC70" s="2"/>
      <c r="NGD70" s="2"/>
      <c r="NGE70" s="2"/>
      <c r="NGF70" s="2"/>
      <c r="NGG70" s="2"/>
      <c r="NGH70" s="2"/>
      <c r="NGI70" s="2"/>
      <c r="NGJ70" s="2"/>
      <c r="NGK70" s="2"/>
      <c r="NGL70" s="2"/>
      <c r="NGM70" s="2"/>
      <c r="NGN70" s="2"/>
      <c r="NGO70" s="2"/>
      <c r="NGP70" s="2"/>
      <c r="NGQ70" s="2"/>
      <c r="NGR70" s="2"/>
      <c r="NGS70" s="2"/>
      <c r="NGT70" s="2"/>
      <c r="NGU70" s="2"/>
      <c r="NGV70" s="2"/>
      <c r="NGW70" s="2"/>
      <c r="NGX70" s="2"/>
      <c r="NGY70" s="2"/>
      <c r="NGZ70" s="2"/>
      <c r="NHA70" s="2"/>
      <c r="NHB70" s="2"/>
      <c r="NHC70" s="2"/>
      <c r="NHD70" s="2"/>
      <c r="NHE70" s="2"/>
      <c r="NHF70" s="2"/>
      <c r="NHG70" s="2"/>
      <c r="NHH70" s="2"/>
      <c r="NHI70" s="2"/>
      <c r="NHJ70" s="2"/>
      <c r="NHK70" s="2"/>
      <c r="NHL70" s="2"/>
      <c r="NHM70" s="2"/>
      <c r="NHN70" s="2"/>
      <c r="NHO70" s="2"/>
      <c r="NHP70" s="2"/>
      <c r="NHQ70" s="2"/>
      <c r="NHR70" s="2"/>
      <c r="NHS70" s="2"/>
      <c r="NHT70" s="2"/>
      <c r="NHU70" s="2"/>
      <c r="NHV70" s="2"/>
      <c r="NHW70" s="2"/>
      <c r="NHX70" s="2"/>
      <c r="NHY70" s="2"/>
      <c r="NHZ70" s="2"/>
      <c r="NIA70" s="2"/>
      <c r="NIB70" s="2"/>
      <c r="NIC70" s="2"/>
      <c r="NID70" s="2"/>
      <c r="NIE70" s="2"/>
      <c r="NIF70" s="2"/>
      <c r="NIG70" s="2"/>
      <c r="NIH70" s="2"/>
      <c r="NII70" s="2"/>
      <c r="NIJ70" s="2"/>
      <c r="NIK70" s="2"/>
      <c r="NIL70" s="2"/>
      <c r="NIM70" s="2"/>
      <c r="NIN70" s="2"/>
      <c r="NIO70" s="2"/>
      <c r="NIP70" s="2"/>
      <c r="NIQ70" s="2"/>
      <c r="NIR70" s="2"/>
      <c r="NIS70" s="2"/>
      <c r="NIT70" s="2"/>
      <c r="NIU70" s="2"/>
      <c r="NIV70" s="2"/>
      <c r="NIW70" s="2"/>
      <c r="NIX70" s="2"/>
      <c r="NIY70" s="2"/>
      <c r="NIZ70" s="2"/>
      <c r="NJA70" s="2"/>
      <c r="NJB70" s="2"/>
      <c r="NJC70" s="2"/>
      <c r="NJD70" s="2"/>
      <c r="NJE70" s="2"/>
      <c r="NJF70" s="2"/>
      <c r="NJG70" s="2"/>
      <c r="NJH70" s="2"/>
      <c r="NJI70" s="2"/>
      <c r="NJJ70" s="2"/>
      <c r="NJK70" s="2"/>
      <c r="NJL70" s="2"/>
      <c r="NJM70" s="2"/>
      <c r="NJN70" s="2"/>
      <c r="NJO70" s="2"/>
      <c r="NJP70" s="2"/>
      <c r="NJQ70" s="2"/>
      <c r="NJR70" s="2"/>
      <c r="NJS70" s="2"/>
      <c r="NJT70" s="2"/>
      <c r="NJU70" s="2"/>
      <c r="NJV70" s="2"/>
      <c r="NJW70" s="2"/>
      <c r="NJX70" s="2"/>
      <c r="NJY70" s="2"/>
      <c r="NJZ70" s="2"/>
      <c r="NKA70" s="2"/>
      <c r="NKB70" s="2"/>
      <c r="NKC70" s="2"/>
      <c r="NKD70" s="2"/>
      <c r="NKE70" s="2"/>
      <c r="NKF70" s="2"/>
      <c r="NKG70" s="2"/>
      <c r="NKH70" s="2"/>
      <c r="NKI70" s="2"/>
      <c r="NKJ70" s="2"/>
      <c r="NKK70" s="2"/>
      <c r="NKL70" s="2"/>
      <c r="NKM70" s="2"/>
      <c r="NKN70" s="2"/>
      <c r="NKO70" s="2"/>
      <c r="NKP70" s="2"/>
      <c r="NKQ70" s="2"/>
      <c r="NKR70" s="2"/>
      <c r="NKS70" s="2"/>
      <c r="NKT70" s="2"/>
      <c r="NKU70" s="2"/>
      <c r="NKV70" s="2"/>
      <c r="NKW70" s="2"/>
      <c r="NKX70" s="2"/>
      <c r="NKY70" s="2"/>
      <c r="NKZ70" s="2"/>
      <c r="NLA70" s="2"/>
      <c r="NLB70" s="2"/>
      <c r="NLC70" s="2"/>
      <c r="NLD70" s="2"/>
      <c r="NLE70" s="2"/>
      <c r="NLF70" s="2"/>
      <c r="NLG70" s="2"/>
      <c r="NLH70" s="2"/>
      <c r="NLI70" s="2"/>
      <c r="NLJ70" s="2"/>
      <c r="NLK70" s="2"/>
      <c r="NLL70" s="2"/>
      <c r="NLM70" s="2"/>
      <c r="NLN70" s="2"/>
      <c r="NLO70" s="2"/>
      <c r="NLP70" s="2"/>
      <c r="NLQ70" s="2"/>
      <c r="NLR70" s="2"/>
      <c r="NLS70" s="2"/>
      <c r="NLT70" s="2"/>
      <c r="NLU70" s="2"/>
      <c r="NLV70" s="2"/>
      <c r="NLW70" s="2"/>
      <c r="NLX70" s="2"/>
      <c r="NLY70" s="2"/>
      <c r="NLZ70" s="2"/>
      <c r="NMA70" s="2"/>
      <c r="NMB70" s="2"/>
      <c r="NMC70" s="2"/>
      <c r="NMD70" s="2"/>
      <c r="NME70" s="2"/>
      <c r="NMF70" s="2"/>
      <c r="NMG70" s="2"/>
      <c r="NMH70" s="2"/>
      <c r="NMI70" s="2"/>
      <c r="NMJ70" s="2"/>
      <c r="NMK70" s="2"/>
      <c r="NML70" s="2"/>
      <c r="NMM70" s="2"/>
      <c r="NMN70" s="2"/>
      <c r="NMO70" s="2"/>
      <c r="NMP70" s="2"/>
      <c r="NMQ70" s="2"/>
      <c r="NMR70" s="2"/>
      <c r="NMS70" s="2"/>
      <c r="NMT70" s="2"/>
      <c r="NMU70" s="2"/>
      <c r="NMV70" s="2"/>
      <c r="NMW70" s="2"/>
      <c r="NMX70" s="2"/>
      <c r="NMY70" s="2"/>
      <c r="NMZ70" s="2"/>
      <c r="NNA70" s="2"/>
      <c r="NNB70" s="2"/>
      <c r="NNC70" s="2"/>
      <c r="NND70" s="2"/>
      <c r="NNE70" s="2"/>
      <c r="NNF70" s="2"/>
      <c r="NNG70" s="2"/>
      <c r="NNH70" s="2"/>
      <c r="NNI70" s="2"/>
      <c r="NNJ70" s="2"/>
      <c r="NNK70" s="2"/>
      <c r="NNL70" s="2"/>
      <c r="NNM70" s="2"/>
      <c r="NNN70" s="2"/>
      <c r="NNO70" s="2"/>
      <c r="NNP70" s="2"/>
      <c r="NNQ70" s="2"/>
      <c r="NNR70" s="2"/>
      <c r="NNS70" s="2"/>
      <c r="NNT70" s="2"/>
      <c r="NNU70" s="2"/>
      <c r="NNV70" s="2"/>
      <c r="NNW70" s="2"/>
      <c r="NNX70" s="2"/>
      <c r="NNY70" s="2"/>
      <c r="NNZ70" s="2"/>
      <c r="NOA70" s="2"/>
      <c r="NOB70" s="2"/>
      <c r="NOC70" s="2"/>
      <c r="NOD70" s="2"/>
      <c r="NOE70" s="2"/>
      <c r="NOF70" s="2"/>
      <c r="NOG70" s="2"/>
      <c r="NOH70" s="2"/>
      <c r="NOI70" s="2"/>
      <c r="NOJ70" s="2"/>
      <c r="NOK70" s="2"/>
      <c r="NOL70" s="2"/>
      <c r="NOM70" s="2"/>
      <c r="NON70" s="2"/>
      <c r="NOO70" s="2"/>
      <c r="NOP70" s="2"/>
      <c r="NOQ70" s="2"/>
      <c r="NOR70" s="2"/>
      <c r="NOS70" s="2"/>
      <c r="NOT70" s="2"/>
      <c r="NOU70" s="2"/>
      <c r="NOV70" s="2"/>
      <c r="NOW70" s="2"/>
      <c r="NOX70" s="2"/>
      <c r="NOY70" s="2"/>
      <c r="NOZ70" s="2"/>
      <c r="NPA70" s="2"/>
      <c r="NPB70" s="2"/>
      <c r="NPC70" s="2"/>
      <c r="NPD70" s="2"/>
      <c r="NPE70" s="2"/>
      <c r="NPF70" s="2"/>
      <c r="NPG70" s="2"/>
      <c r="NPH70" s="2"/>
      <c r="NPI70" s="2"/>
      <c r="NPJ70" s="2"/>
      <c r="NPK70" s="2"/>
      <c r="NPL70" s="2"/>
      <c r="NPM70" s="2"/>
      <c r="NPN70" s="2"/>
      <c r="NPO70" s="2"/>
      <c r="NPP70" s="2"/>
      <c r="NPQ70" s="2"/>
      <c r="NPR70" s="2"/>
      <c r="NPS70" s="2"/>
      <c r="NPT70" s="2"/>
      <c r="NPU70" s="2"/>
      <c r="NPV70" s="2"/>
      <c r="NPW70" s="2"/>
      <c r="NPX70" s="2"/>
      <c r="NPY70" s="2"/>
      <c r="NPZ70" s="2"/>
      <c r="NQA70" s="2"/>
      <c r="NQB70" s="2"/>
      <c r="NQC70" s="2"/>
      <c r="NQD70" s="2"/>
      <c r="NQE70" s="2"/>
      <c r="NQF70" s="2"/>
      <c r="NQG70" s="2"/>
      <c r="NQH70" s="2"/>
      <c r="NQI70" s="2"/>
      <c r="NQJ70" s="2"/>
      <c r="NQK70" s="2"/>
      <c r="NQL70" s="2"/>
      <c r="NQM70" s="2"/>
      <c r="NQN70" s="2"/>
      <c r="NQO70" s="2"/>
      <c r="NQP70" s="2"/>
      <c r="NQQ70" s="2"/>
      <c r="NQR70" s="2"/>
      <c r="NQS70" s="2"/>
      <c r="NQT70" s="2"/>
      <c r="NQU70" s="2"/>
      <c r="NQV70" s="2"/>
      <c r="NQW70" s="2"/>
      <c r="NQX70" s="2"/>
      <c r="NQY70" s="2"/>
      <c r="NQZ70" s="2"/>
      <c r="NRA70" s="2"/>
      <c r="NRB70" s="2"/>
      <c r="NRC70" s="2"/>
      <c r="NRD70" s="2"/>
      <c r="NRE70" s="2"/>
      <c r="NRF70" s="2"/>
      <c r="NRG70" s="2"/>
      <c r="NRH70" s="2"/>
      <c r="NRI70" s="2"/>
      <c r="NRJ70" s="2"/>
      <c r="NRK70" s="2"/>
      <c r="NRL70" s="2"/>
      <c r="NRM70" s="2"/>
      <c r="NRN70" s="2"/>
      <c r="NRO70" s="2"/>
      <c r="NRP70" s="2"/>
      <c r="NRQ70" s="2"/>
      <c r="NRR70" s="2"/>
      <c r="NRS70" s="2"/>
      <c r="NRT70" s="2"/>
      <c r="NRU70" s="2"/>
      <c r="NRV70" s="2"/>
      <c r="NRW70" s="2"/>
      <c r="NRX70" s="2"/>
      <c r="NRY70" s="2"/>
      <c r="NRZ70" s="2"/>
      <c r="NSA70" s="2"/>
      <c r="NSB70" s="2"/>
      <c r="NSC70" s="2"/>
      <c r="NSD70" s="2"/>
      <c r="NSE70" s="2"/>
      <c r="NSF70" s="2"/>
      <c r="NSG70" s="2"/>
      <c r="NSH70" s="2"/>
      <c r="NSI70" s="2"/>
      <c r="NSJ70" s="2"/>
      <c r="NSK70" s="2"/>
      <c r="NSL70" s="2"/>
      <c r="NSM70" s="2"/>
      <c r="NSN70" s="2"/>
      <c r="NSO70" s="2"/>
      <c r="NSP70" s="2"/>
      <c r="NSQ70" s="2"/>
      <c r="NSR70" s="2"/>
      <c r="NSS70" s="2"/>
      <c r="NST70" s="2"/>
      <c r="NSU70" s="2"/>
      <c r="NSV70" s="2"/>
      <c r="NSW70" s="2"/>
      <c r="NSX70" s="2"/>
      <c r="NSY70" s="2"/>
      <c r="NSZ70" s="2"/>
      <c r="NTA70" s="2"/>
      <c r="NTB70" s="2"/>
      <c r="NTC70" s="2"/>
      <c r="NTD70" s="2"/>
      <c r="NTE70" s="2"/>
      <c r="NTF70" s="2"/>
      <c r="NTG70" s="2"/>
      <c r="NTH70" s="2"/>
      <c r="NTI70" s="2"/>
      <c r="NTJ70" s="2"/>
      <c r="NTK70" s="2"/>
      <c r="NTL70" s="2"/>
      <c r="NTM70" s="2"/>
      <c r="NTN70" s="2"/>
      <c r="NTO70" s="2"/>
      <c r="NTP70" s="2"/>
      <c r="NTQ70" s="2"/>
      <c r="NTR70" s="2"/>
      <c r="NTS70" s="2"/>
      <c r="NTT70" s="2"/>
      <c r="NTU70" s="2"/>
      <c r="NTV70" s="2"/>
      <c r="NTW70" s="2"/>
      <c r="NTX70" s="2"/>
      <c r="NTY70" s="2"/>
      <c r="NTZ70" s="2"/>
      <c r="NUA70" s="2"/>
      <c r="NUB70" s="2"/>
      <c r="NUC70" s="2"/>
      <c r="NUD70" s="2"/>
      <c r="NUE70" s="2"/>
      <c r="NUF70" s="2"/>
      <c r="NUG70" s="2"/>
      <c r="NUH70" s="2"/>
      <c r="NUI70" s="2"/>
      <c r="NUJ70" s="2"/>
      <c r="NUK70" s="2"/>
      <c r="NUL70" s="2"/>
      <c r="NUM70" s="2"/>
      <c r="NUN70" s="2"/>
      <c r="NUO70" s="2"/>
      <c r="NUP70" s="2"/>
      <c r="NUQ70" s="2"/>
      <c r="NUR70" s="2"/>
      <c r="NUS70" s="2"/>
      <c r="NUT70" s="2"/>
      <c r="NUU70" s="2"/>
      <c r="NUV70" s="2"/>
      <c r="NUW70" s="2"/>
      <c r="NUX70" s="2"/>
      <c r="NUY70" s="2"/>
      <c r="NUZ70" s="2"/>
      <c r="NVA70" s="2"/>
      <c r="NVB70" s="2"/>
      <c r="NVC70" s="2"/>
      <c r="NVD70" s="2"/>
      <c r="NVE70" s="2"/>
      <c r="NVF70" s="2"/>
      <c r="NVG70" s="2"/>
      <c r="NVH70" s="2"/>
      <c r="NVI70" s="2"/>
      <c r="NVJ70" s="2"/>
      <c r="NVK70" s="2"/>
      <c r="NVL70" s="2"/>
      <c r="NVM70" s="2"/>
      <c r="NVN70" s="2"/>
      <c r="NVO70" s="2"/>
      <c r="NVP70" s="2"/>
      <c r="NVQ70" s="2"/>
      <c r="NVR70" s="2"/>
      <c r="NVS70" s="2"/>
      <c r="NVT70" s="2"/>
      <c r="NVU70" s="2"/>
      <c r="NVV70" s="2"/>
      <c r="NVW70" s="2"/>
      <c r="NVX70" s="2"/>
      <c r="NVY70" s="2"/>
      <c r="NVZ70" s="2"/>
      <c r="NWA70" s="2"/>
      <c r="NWB70" s="2"/>
      <c r="NWC70" s="2"/>
      <c r="NWD70" s="2"/>
      <c r="NWE70" s="2"/>
      <c r="NWF70" s="2"/>
      <c r="NWG70" s="2"/>
      <c r="NWH70" s="2"/>
      <c r="NWI70" s="2"/>
      <c r="NWJ70" s="2"/>
      <c r="NWK70" s="2"/>
      <c r="NWL70" s="2"/>
      <c r="NWM70" s="2"/>
      <c r="NWN70" s="2"/>
      <c r="NWO70" s="2"/>
      <c r="NWP70" s="2"/>
      <c r="NWQ70" s="2"/>
      <c r="NWR70" s="2"/>
      <c r="NWS70" s="2"/>
      <c r="NWT70" s="2"/>
      <c r="NWU70" s="2"/>
      <c r="NWV70" s="2"/>
      <c r="NWW70" s="2"/>
      <c r="NWX70" s="2"/>
      <c r="NWY70" s="2"/>
      <c r="NWZ70" s="2"/>
      <c r="NXA70" s="2"/>
      <c r="NXB70" s="2"/>
      <c r="NXC70" s="2"/>
      <c r="NXD70" s="2"/>
      <c r="NXE70" s="2"/>
      <c r="NXF70" s="2"/>
      <c r="NXG70" s="2"/>
      <c r="NXH70" s="2"/>
      <c r="NXI70" s="2"/>
      <c r="NXJ70" s="2"/>
      <c r="NXK70" s="2"/>
      <c r="NXL70" s="2"/>
      <c r="NXM70" s="2"/>
      <c r="NXN70" s="2"/>
      <c r="NXO70" s="2"/>
      <c r="NXP70" s="2"/>
      <c r="NXQ70" s="2"/>
      <c r="NXR70" s="2"/>
      <c r="NXS70" s="2"/>
      <c r="NXT70" s="2"/>
      <c r="NXU70" s="2"/>
      <c r="NXV70" s="2"/>
      <c r="NXW70" s="2"/>
      <c r="NXX70" s="2"/>
      <c r="NXY70" s="2"/>
      <c r="NXZ70" s="2"/>
      <c r="NYA70" s="2"/>
      <c r="NYB70" s="2"/>
      <c r="NYC70" s="2"/>
      <c r="NYD70" s="2"/>
      <c r="NYE70" s="2"/>
      <c r="NYF70" s="2"/>
      <c r="NYG70" s="2"/>
      <c r="NYH70" s="2"/>
      <c r="NYI70" s="2"/>
      <c r="NYJ70" s="2"/>
      <c r="NYK70" s="2"/>
      <c r="NYL70" s="2"/>
      <c r="NYM70" s="2"/>
      <c r="NYN70" s="2"/>
      <c r="NYO70" s="2"/>
      <c r="NYP70" s="2"/>
      <c r="NYQ70" s="2"/>
      <c r="NYR70" s="2"/>
      <c r="NYS70" s="2"/>
      <c r="NYT70" s="2"/>
      <c r="NYU70" s="2"/>
      <c r="NYV70" s="2"/>
      <c r="NYW70" s="2"/>
      <c r="NYX70" s="2"/>
      <c r="NYY70" s="2"/>
      <c r="NYZ70" s="2"/>
      <c r="NZA70" s="2"/>
      <c r="NZB70" s="2"/>
      <c r="NZC70" s="2"/>
      <c r="NZD70" s="2"/>
      <c r="NZE70" s="2"/>
      <c r="NZF70" s="2"/>
      <c r="NZG70" s="2"/>
      <c r="NZH70" s="2"/>
      <c r="NZI70" s="2"/>
      <c r="NZJ70" s="2"/>
      <c r="NZK70" s="2"/>
      <c r="NZL70" s="2"/>
      <c r="NZM70" s="2"/>
      <c r="NZN70" s="2"/>
      <c r="NZO70" s="2"/>
      <c r="NZP70" s="2"/>
      <c r="NZQ70" s="2"/>
      <c r="NZR70" s="2"/>
      <c r="NZS70" s="2"/>
      <c r="NZT70" s="2"/>
      <c r="NZU70" s="2"/>
      <c r="NZV70" s="2"/>
      <c r="NZW70" s="2"/>
      <c r="NZX70" s="2"/>
      <c r="NZY70" s="2"/>
      <c r="NZZ70" s="2"/>
      <c r="OAA70" s="2"/>
      <c r="OAB70" s="2"/>
      <c r="OAC70" s="2"/>
      <c r="OAD70" s="2"/>
      <c r="OAE70" s="2"/>
      <c r="OAF70" s="2"/>
      <c r="OAG70" s="2"/>
      <c r="OAH70" s="2"/>
      <c r="OAI70" s="2"/>
      <c r="OAJ70" s="2"/>
      <c r="OAK70" s="2"/>
      <c r="OAL70" s="2"/>
      <c r="OAM70" s="2"/>
      <c r="OAN70" s="2"/>
      <c r="OAO70" s="2"/>
      <c r="OAP70" s="2"/>
      <c r="OAQ70" s="2"/>
      <c r="OAR70" s="2"/>
      <c r="OAS70" s="2"/>
      <c r="OAT70" s="2"/>
      <c r="OAU70" s="2"/>
      <c r="OAV70" s="2"/>
      <c r="OAW70" s="2"/>
      <c r="OAX70" s="2"/>
      <c r="OAY70" s="2"/>
      <c r="OAZ70" s="2"/>
      <c r="OBA70" s="2"/>
      <c r="OBB70" s="2"/>
      <c r="OBC70" s="2"/>
      <c r="OBD70" s="2"/>
      <c r="OBE70" s="2"/>
      <c r="OBF70" s="2"/>
      <c r="OBG70" s="2"/>
      <c r="OBH70" s="2"/>
      <c r="OBI70" s="2"/>
      <c r="OBJ70" s="2"/>
      <c r="OBK70" s="2"/>
      <c r="OBL70" s="2"/>
      <c r="OBM70" s="2"/>
      <c r="OBN70" s="2"/>
      <c r="OBO70" s="2"/>
      <c r="OBP70" s="2"/>
      <c r="OBQ70" s="2"/>
      <c r="OBR70" s="2"/>
      <c r="OBS70" s="2"/>
      <c r="OBT70" s="2"/>
      <c r="OBU70" s="2"/>
      <c r="OBV70" s="2"/>
      <c r="OBW70" s="2"/>
      <c r="OBX70" s="2"/>
      <c r="OBY70" s="2"/>
      <c r="OBZ70" s="2"/>
      <c r="OCA70" s="2"/>
      <c r="OCB70" s="2"/>
      <c r="OCC70" s="2"/>
      <c r="OCD70" s="2"/>
      <c r="OCE70" s="2"/>
      <c r="OCF70" s="2"/>
      <c r="OCG70" s="2"/>
      <c r="OCH70" s="2"/>
      <c r="OCI70" s="2"/>
      <c r="OCJ70" s="2"/>
      <c r="OCK70" s="2"/>
      <c r="OCL70" s="2"/>
      <c r="OCM70" s="2"/>
      <c r="OCN70" s="2"/>
      <c r="OCO70" s="2"/>
      <c r="OCP70" s="2"/>
      <c r="OCQ70" s="2"/>
      <c r="OCR70" s="2"/>
      <c r="OCS70" s="2"/>
      <c r="OCT70" s="2"/>
      <c r="OCU70" s="2"/>
      <c r="OCV70" s="2"/>
      <c r="OCW70" s="2"/>
      <c r="OCX70" s="2"/>
      <c r="OCY70" s="2"/>
      <c r="OCZ70" s="2"/>
      <c r="ODA70" s="2"/>
      <c r="ODB70" s="2"/>
      <c r="ODC70" s="2"/>
      <c r="ODD70" s="2"/>
      <c r="ODE70" s="2"/>
      <c r="ODF70" s="2"/>
      <c r="ODG70" s="2"/>
      <c r="ODH70" s="2"/>
      <c r="ODI70" s="2"/>
      <c r="ODJ70" s="2"/>
      <c r="ODK70" s="2"/>
      <c r="ODL70" s="2"/>
      <c r="ODM70" s="2"/>
      <c r="ODN70" s="2"/>
      <c r="ODO70" s="2"/>
      <c r="ODP70" s="2"/>
      <c r="ODQ70" s="2"/>
      <c r="ODR70" s="2"/>
      <c r="ODS70" s="2"/>
      <c r="ODT70" s="2"/>
      <c r="ODU70" s="2"/>
      <c r="ODV70" s="2"/>
      <c r="ODW70" s="2"/>
      <c r="ODX70" s="2"/>
      <c r="ODY70" s="2"/>
      <c r="ODZ70" s="2"/>
      <c r="OEA70" s="2"/>
      <c r="OEB70" s="2"/>
      <c r="OEC70" s="2"/>
      <c r="OED70" s="2"/>
      <c r="OEE70" s="2"/>
      <c r="OEF70" s="2"/>
      <c r="OEG70" s="2"/>
      <c r="OEH70" s="2"/>
      <c r="OEI70" s="2"/>
      <c r="OEJ70" s="2"/>
      <c r="OEK70" s="2"/>
      <c r="OEL70" s="2"/>
      <c r="OEM70" s="2"/>
      <c r="OEN70" s="2"/>
      <c r="OEO70" s="2"/>
      <c r="OEP70" s="2"/>
      <c r="OEQ70" s="2"/>
      <c r="OER70" s="2"/>
      <c r="OES70" s="2"/>
      <c r="OET70" s="2"/>
      <c r="OEU70" s="2"/>
      <c r="OEV70" s="2"/>
      <c r="OEW70" s="2"/>
      <c r="OEX70" s="2"/>
      <c r="OEY70" s="2"/>
      <c r="OEZ70" s="2"/>
      <c r="OFA70" s="2"/>
      <c r="OFB70" s="2"/>
      <c r="OFC70" s="2"/>
      <c r="OFD70" s="2"/>
      <c r="OFE70" s="2"/>
      <c r="OFF70" s="2"/>
      <c r="OFG70" s="2"/>
      <c r="OFH70" s="2"/>
      <c r="OFI70" s="2"/>
      <c r="OFJ70" s="2"/>
      <c r="OFK70" s="2"/>
      <c r="OFL70" s="2"/>
      <c r="OFM70" s="2"/>
      <c r="OFN70" s="2"/>
      <c r="OFO70" s="2"/>
      <c r="OFP70" s="2"/>
      <c r="OFQ70" s="2"/>
      <c r="OFR70" s="2"/>
      <c r="OFS70" s="2"/>
      <c r="OFT70" s="2"/>
      <c r="OFU70" s="2"/>
      <c r="OFV70" s="2"/>
      <c r="OFW70" s="2"/>
      <c r="OFX70" s="2"/>
      <c r="OFY70" s="2"/>
      <c r="OFZ70" s="2"/>
      <c r="OGA70" s="2"/>
      <c r="OGB70" s="2"/>
      <c r="OGC70" s="2"/>
      <c r="OGD70" s="2"/>
      <c r="OGE70" s="2"/>
      <c r="OGF70" s="2"/>
      <c r="OGG70" s="2"/>
      <c r="OGH70" s="2"/>
      <c r="OGI70" s="2"/>
      <c r="OGJ70" s="2"/>
      <c r="OGK70" s="2"/>
      <c r="OGL70" s="2"/>
      <c r="OGM70" s="2"/>
      <c r="OGN70" s="2"/>
      <c r="OGO70" s="2"/>
      <c r="OGP70" s="2"/>
      <c r="OGQ70" s="2"/>
      <c r="OGR70" s="2"/>
      <c r="OGS70" s="2"/>
      <c r="OGT70" s="2"/>
      <c r="OGU70" s="2"/>
      <c r="OGV70" s="2"/>
      <c r="OGW70" s="2"/>
      <c r="OGX70" s="2"/>
      <c r="OGY70" s="2"/>
      <c r="OGZ70" s="2"/>
      <c r="OHA70" s="2"/>
      <c r="OHB70" s="2"/>
      <c r="OHC70" s="2"/>
      <c r="OHD70" s="2"/>
      <c r="OHE70" s="2"/>
      <c r="OHF70" s="2"/>
      <c r="OHG70" s="2"/>
      <c r="OHH70" s="2"/>
      <c r="OHI70" s="2"/>
      <c r="OHJ70" s="2"/>
      <c r="OHK70" s="2"/>
      <c r="OHL70" s="2"/>
      <c r="OHM70" s="2"/>
      <c r="OHN70" s="2"/>
      <c r="OHO70" s="2"/>
      <c r="OHP70" s="2"/>
      <c r="OHQ70" s="2"/>
      <c r="OHR70" s="2"/>
      <c r="OHS70" s="2"/>
      <c r="OHT70" s="2"/>
      <c r="OHU70" s="2"/>
      <c r="OHV70" s="2"/>
      <c r="OHW70" s="2"/>
      <c r="OHX70" s="2"/>
      <c r="OHY70" s="2"/>
      <c r="OHZ70" s="2"/>
      <c r="OIA70" s="2"/>
      <c r="OIB70" s="2"/>
      <c r="OIC70" s="2"/>
      <c r="OID70" s="2"/>
      <c r="OIE70" s="2"/>
      <c r="OIF70" s="2"/>
      <c r="OIG70" s="2"/>
      <c r="OIH70" s="2"/>
      <c r="OII70" s="2"/>
      <c r="OIJ70" s="2"/>
      <c r="OIK70" s="2"/>
      <c r="OIL70" s="2"/>
      <c r="OIM70" s="2"/>
      <c r="OIN70" s="2"/>
      <c r="OIO70" s="2"/>
      <c r="OIP70" s="2"/>
      <c r="OIQ70" s="2"/>
      <c r="OIR70" s="2"/>
      <c r="OIS70" s="2"/>
      <c r="OIT70" s="2"/>
      <c r="OIU70" s="2"/>
      <c r="OIV70" s="2"/>
      <c r="OIW70" s="2"/>
      <c r="OIX70" s="2"/>
      <c r="OIY70" s="2"/>
      <c r="OIZ70" s="2"/>
      <c r="OJA70" s="2"/>
      <c r="OJB70" s="2"/>
      <c r="OJC70" s="2"/>
      <c r="OJD70" s="2"/>
      <c r="OJE70" s="2"/>
      <c r="OJF70" s="2"/>
      <c r="OJG70" s="2"/>
      <c r="OJH70" s="2"/>
      <c r="OJI70" s="2"/>
      <c r="OJJ70" s="2"/>
      <c r="OJK70" s="2"/>
      <c r="OJL70" s="2"/>
      <c r="OJM70" s="2"/>
      <c r="OJN70" s="2"/>
      <c r="OJO70" s="2"/>
      <c r="OJP70" s="2"/>
      <c r="OJQ70" s="2"/>
      <c r="OJR70" s="2"/>
      <c r="OJS70" s="2"/>
      <c r="OJT70" s="2"/>
      <c r="OJU70" s="2"/>
      <c r="OJV70" s="2"/>
      <c r="OJW70" s="2"/>
      <c r="OJX70" s="2"/>
      <c r="OJY70" s="2"/>
      <c r="OJZ70" s="2"/>
      <c r="OKA70" s="2"/>
      <c r="OKB70" s="2"/>
      <c r="OKC70" s="2"/>
      <c r="OKD70" s="2"/>
      <c r="OKE70" s="2"/>
      <c r="OKF70" s="2"/>
      <c r="OKG70" s="2"/>
      <c r="OKH70" s="2"/>
      <c r="OKI70" s="2"/>
      <c r="OKJ70" s="2"/>
      <c r="OKK70" s="2"/>
      <c r="OKL70" s="2"/>
      <c r="OKM70" s="2"/>
      <c r="OKN70" s="2"/>
      <c r="OKO70" s="2"/>
      <c r="OKP70" s="2"/>
      <c r="OKQ70" s="2"/>
      <c r="OKR70" s="2"/>
      <c r="OKS70" s="2"/>
      <c r="OKT70" s="2"/>
      <c r="OKU70" s="2"/>
      <c r="OKV70" s="2"/>
      <c r="OKW70" s="2"/>
      <c r="OKX70" s="2"/>
      <c r="OKY70" s="2"/>
      <c r="OKZ70" s="2"/>
      <c r="OLA70" s="2"/>
      <c r="OLB70" s="2"/>
      <c r="OLC70" s="2"/>
      <c r="OLD70" s="2"/>
      <c r="OLE70" s="2"/>
      <c r="OLF70" s="2"/>
      <c r="OLG70" s="2"/>
      <c r="OLH70" s="2"/>
      <c r="OLI70" s="2"/>
      <c r="OLJ70" s="2"/>
      <c r="OLK70" s="2"/>
      <c r="OLL70" s="2"/>
      <c r="OLM70" s="2"/>
      <c r="OLN70" s="2"/>
      <c r="OLO70" s="2"/>
      <c r="OLP70" s="2"/>
      <c r="OLQ70" s="2"/>
      <c r="OLR70" s="2"/>
      <c r="OLS70" s="2"/>
      <c r="OLT70" s="2"/>
      <c r="OLU70" s="2"/>
      <c r="OLV70" s="2"/>
      <c r="OLW70" s="2"/>
      <c r="OLX70" s="2"/>
      <c r="OLY70" s="2"/>
      <c r="OLZ70" s="2"/>
      <c r="OMA70" s="2"/>
      <c r="OMB70" s="2"/>
      <c r="OMC70" s="2"/>
      <c r="OMD70" s="2"/>
      <c r="OME70" s="2"/>
      <c r="OMF70" s="2"/>
      <c r="OMG70" s="2"/>
      <c r="OMH70" s="2"/>
      <c r="OMI70" s="2"/>
      <c r="OMJ70" s="2"/>
      <c r="OMK70" s="2"/>
      <c r="OML70" s="2"/>
      <c r="OMM70" s="2"/>
      <c r="OMN70" s="2"/>
      <c r="OMO70" s="2"/>
      <c r="OMP70" s="2"/>
      <c r="OMQ70" s="2"/>
      <c r="OMR70" s="2"/>
      <c r="OMS70" s="2"/>
      <c r="OMT70" s="2"/>
      <c r="OMU70" s="2"/>
      <c r="OMV70" s="2"/>
      <c r="OMW70" s="2"/>
      <c r="OMX70" s="2"/>
      <c r="OMY70" s="2"/>
      <c r="OMZ70" s="2"/>
      <c r="ONA70" s="2"/>
      <c r="ONB70" s="2"/>
      <c r="ONC70" s="2"/>
      <c r="OND70" s="2"/>
      <c r="ONE70" s="2"/>
      <c r="ONF70" s="2"/>
      <c r="ONG70" s="2"/>
      <c r="ONH70" s="2"/>
      <c r="ONI70" s="2"/>
      <c r="ONJ70" s="2"/>
      <c r="ONK70" s="2"/>
      <c r="ONL70" s="2"/>
      <c r="ONM70" s="2"/>
      <c r="ONN70" s="2"/>
      <c r="ONO70" s="2"/>
      <c r="ONP70" s="2"/>
      <c r="ONQ70" s="2"/>
      <c r="ONR70" s="2"/>
      <c r="ONS70" s="2"/>
      <c r="ONT70" s="2"/>
      <c r="ONU70" s="2"/>
      <c r="ONV70" s="2"/>
      <c r="ONW70" s="2"/>
      <c r="ONX70" s="2"/>
      <c r="ONY70" s="2"/>
      <c r="ONZ70" s="2"/>
      <c r="OOA70" s="2"/>
      <c r="OOB70" s="2"/>
      <c r="OOC70" s="2"/>
      <c r="OOD70" s="2"/>
      <c r="OOE70" s="2"/>
      <c r="OOF70" s="2"/>
      <c r="OOG70" s="2"/>
      <c r="OOH70" s="2"/>
      <c r="OOI70" s="2"/>
      <c r="OOJ70" s="2"/>
      <c r="OOK70" s="2"/>
      <c r="OOL70" s="2"/>
      <c r="OOM70" s="2"/>
      <c r="OON70" s="2"/>
      <c r="OOO70" s="2"/>
      <c r="OOP70" s="2"/>
      <c r="OOQ70" s="2"/>
      <c r="OOR70" s="2"/>
      <c r="OOS70" s="2"/>
      <c r="OOT70" s="2"/>
      <c r="OOU70" s="2"/>
      <c r="OOV70" s="2"/>
      <c r="OOW70" s="2"/>
      <c r="OOX70" s="2"/>
      <c r="OOY70" s="2"/>
      <c r="OOZ70" s="2"/>
      <c r="OPA70" s="2"/>
      <c r="OPB70" s="2"/>
      <c r="OPC70" s="2"/>
      <c r="OPD70" s="2"/>
      <c r="OPE70" s="2"/>
      <c r="OPF70" s="2"/>
      <c r="OPG70" s="2"/>
      <c r="OPH70" s="2"/>
      <c r="OPI70" s="2"/>
      <c r="OPJ70" s="2"/>
      <c r="OPK70" s="2"/>
      <c r="OPL70" s="2"/>
      <c r="OPM70" s="2"/>
      <c r="OPN70" s="2"/>
      <c r="OPO70" s="2"/>
      <c r="OPP70" s="2"/>
      <c r="OPQ70" s="2"/>
      <c r="OPR70" s="2"/>
      <c r="OPS70" s="2"/>
      <c r="OPT70" s="2"/>
      <c r="OPU70" s="2"/>
      <c r="OPV70" s="2"/>
      <c r="OPW70" s="2"/>
      <c r="OPX70" s="2"/>
      <c r="OPY70" s="2"/>
      <c r="OPZ70" s="2"/>
      <c r="OQA70" s="2"/>
      <c r="OQB70" s="2"/>
      <c r="OQC70" s="2"/>
      <c r="OQD70" s="2"/>
      <c r="OQE70" s="2"/>
      <c r="OQF70" s="2"/>
      <c r="OQG70" s="2"/>
      <c r="OQH70" s="2"/>
      <c r="OQI70" s="2"/>
      <c r="OQJ70" s="2"/>
      <c r="OQK70" s="2"/>
      <c r="OQL70" s="2"/>
      <c r="OQM70" s="2"/>
      <c r="OQN70" s="2"/>
      <c r="OQO70" s="2"/>
      <c r="OQP70" s="2"/>
      <c r="OQQ70" s="2"/>
      <c r="OQR70" s="2"/>
      <c r="OQS70" s="2"/>
      <c r="OQT70" s="2"/>
      <c r="OQU70" s="2"/>
      <c r="OQV70" s="2"/>
      <c r="OQW70" s="2"/>
      <c r="OQX70" s="2"/>
      <c r="OQY70" s="2"/>
      <c r="OQZ70" s="2"/>
      <c r="ORA70" s="2"/>
      <c r="ORB70" s="2"/>
      <c r="ORC70" s="2"/>
      <c r="ORD70" s="2"/>
      <c r="ORE70" s="2"/>
      <c r="ORF70" s="2"/>
      <c r="ORG70" s="2"/>
      <c r="ORH70" s="2"/>
      <c r="ORI70" s="2"/>
      <c r="ORJ70" s="2"/>
      <c r="ORK70" s="2"/>
      <c r="ORL70" s="2"/>
      <c r="ORM70" s="2"/>
      <c r="ORN70" s="2"/>
      <c r="ORO70" s="2"/>
      <c r="ORP70" s="2"/>
      <c r="ORQ70" s="2"/>
      <c r="ORR70" s="2"/>
      <c r="ORS70" s="2"/>
      <c r="ORT70" s="2"/>
      <c r="ORU70" s="2"/>
      <c r="ORV70" s="2"/>
      <c r="ORW70" s="2"/>
      <c r="ORX70" s="2"/>
      <c r="ORY70" s="2"/>
      <c r="ORZ70" s="2"/>
      <c r="OSA70" s="2"/>
      <c r="OSB70" s="2"/>
      <c r="OSC70" s="2"/>
      <c r="OSD70" s="2"/>
      <c r="OSE70" s="2"/>
      <c r="OSF70" s="2"/>
      <c r="OSG70" s="2"/>
      <c r="OSH70" s="2"/>
      <c r="OSI70" s="2"/>
      <c r="OSJ70" s="2"/>
      <c r="OSK70" s="2"/>
      <c r="OSL70" s="2"/>
      <c r="OSM70" s="2"/>
      <c r="OSN70" s="2"/>
      <c r="OSO70" s="2"/>
      <c r="OSP70" s="2"/>
      <c r="OSQ70" s="2"/>
      <c r="OSR70" s="2"/>
      <c r="OSS70" s="2"/>
      <c r="OST70" s="2"/>
      <c r="OSU70" s="2"/>
      <c r="OSV70" s="2"/>
      <c r="OSW70" s="2"/>
      <c r="OSX70" s="2"/>
      <c r="OSY70" s="2"/>
      <c r="OSZ70" s="2"/>
      <c r="OTA70" s="2"/>
      <c r="OTB70" s="2"/>
      <c r="OTC70" s="2"/>
      <c r="OTD70" s="2"/>
      <c r="OTE70" s="2"/>
      <c r="OTF70" s="2"/>
      <c r="OTG70" s="2"/>
      <c r="OTH70" s="2"/>
      <c r="OTI70" s="2"/>
      <c r="OTJ70" s="2"/>
      <c r="OTK70" s="2"/>
      <c r="OTL70" s="2"/>
      <c r="OTM70" s="2"/>
      <c r="OTN70" s="2"/>
      <c r="OTO70" s="2"/>
      <c r="OTP70" s="2"/>
      <c r="OTQ70" s="2"/>
      <c r="OTR70" s="2"/>
      <c r="OTS70" s="2"/>
      <c r="OTT70" s="2"/>
      <c r="OTU70" s="2"/>
      <c r="OTV70" s="2"/>
      <c r="OTW70" s="2"/>
      <c r="OTX70" s="2"/>
      <c r="OTY70" s="2"/>
      <c r="OTZ70" s="2"/>
      <c r="OUA70" s="2"/>
      <c r="OUB70" s="2"/>
      <c r="OUC70" s="2"/>
      <c r="OUD70" s="2"/>
      <c r="OUE70" s="2"/>
      <c r="OUF70" s="2"/>
      <c r="OUG70" s="2"/>
      <c r="OUH70" s="2"/>
      <c r="OUI70" s="2"/>
      <c r="OUJ70" s="2"/>
      <c r="OUK70" s="2"/>
      <c r="OUL70" s="2"/>
      <c r="OUM70" s="2"/>
      <c r="OUN70" s="2"/>
      <c r="OUO70" s="2"/>
      <c r="OUP70" s="2"/>
      <c r="OUQ70" s="2"/>
      <c r="OUR70" s="2"/>
      <c r="OUS70" s="2"/>
      <c r="OUT70" s="2"/>
      <c r="OUU70" s="2"/>
      <c r="OUV70" s="2"/>
      <c r="OUW70" s="2"/>
      <c r="OUX70" s="2"/>
      <c r="OUY70" s="2"/>
      <c r="OUZ70" s="2"/>
      <c r="OVA70" s="2"/>
      <c r="OVB70" s="2"/>
      <c r="OVC70" s="2"/>
      <c r="OVD70" s="2"/>
      <c r="OVE70" s="2"/>
      <c r="OVF70" s="2"/>
      <c r="OVG70" s="2"/>
      <c r="OVH70" s="2"/>
      <c r="OVI70" s="2"/>
      <c r="OVJ70" s="2"/>
      <c r="OVK70" s="2"/>
      <c r="OVL70" s="2"/>
      <c r="OVM70" s="2"/>
      <c r="OVN70" s="2"/>
      <c r="OVO70" s="2"/>
      <c r="OVP70" s="2"/>
      <c r="OVQ70" s="2"/>
      <c r="OVR70" s="2"/>
      <c r="OVS70" s="2"/>
      <c r="OVT70" s="2"/>
      <c r="OVU70" s="2"/>
      <c r="OVV70" s="2"/>
      <c r="OVW70" s="2"/>
      <c r="OVX70" s="2"/>
      <c r="OVY70" s="2"/>
      <c r="OVZ70" s="2"/>
      <c r="OWA70" s="2"/>
      <c r="OWB70" s="2"/>
      <c r="OWC70" s="2"/>
      <c r="OWD70" s="2"/>
      <c r="OWE70" s="2"/>
      <c r="OWF70" s="2"/>
      <c r="OWG70" s="2"/>
      <c r="OWH70" s="2"/>
      <c r="OWI70" s="2"/>
      <c r="OWJ70" s="2"/>
      <c r="OWK70" s="2"/>
      <c r="OWL70" s="2"/>
      <c r="OWM70" s="2"/>
      <c r="OWN70" s="2"/>
      <c r="OWO70" s="2"/>
      <c r="OWP70" s="2"/>
      <c r="OWQ70" s="2"/>
      <c r="OWR70" s="2"/>
      <c r="OWS70" s="2"/>
      <c r="OWT70" s="2"/>
      <c r="OWU70" s="2"/>
      <c r="OWV70" s="2"/>
      <c r="OWW70" s="2"/>
      <c r="OWX70" s="2"/>
      <c r="OWY70" s="2"/>
      <c r="OWZ70" s="2"/>
      <c r="OXA70" s="2"/>
      <c r="OXB70" s="2"/>
      <c r="OXC70" s="2"/>
      <c r="OXD70" s="2"/>
      <c r="OXE70" s="2"/>
      <c r="OXF70" s="2"/>
      <c r="OXG70" s="2"/>
      <c r="OXH70" s="2"/>
      <c r="OXI70" s="2"/>
      <c r="OXJ70" s="2"/>
      <c r="OXK70" s="2"/>
      <c r="OXL70" s="2"/>
      <c r="OXM70" s="2"/>
      <c r="OXN70" s="2"/>
      <c r="OXO70" s="2"/>
      <c r="OXP70" s="2"/>
      <c r="OXQ70" s="2"/>
      <c r="OXR70" s="2"/>
      <c r="OXS70" s="2"/>
      <c r="OXT70" s="2"/>
      <c r="OXU70" s="2"/>
      <c r="OXV70" s="2"/>
      <c r="OXW70" s="2"/>
      <c r="OXX70" s="2"/>
      <c r="OXY70" s="2"/>
      <c r="OXZ70" s="2"/>
      <c r="OYA70" s="2"/>
      <c r="OYB70" s="2"/>
      <c r="OYC70" s="2"/>
      <c r="OYD70" s="2"/>
      <c r="OYE70" s="2"/>
      <c r="OYF70" s="2"/>
      <c r="OYG70" s="2"/>
      <c r="OYH70" s="2"/>
      <c r="OYI70" s="2"/>
      <c r="OYJ70" s="2"/>
      <c r="OYK70" s="2"/>
      <c r="OYL70" s="2"/>
      <c r="OYM70" s="2"/>
      <c r="OYN70" s="2"/>
      <c r="OYO70" s="2"/>
      <c r="OYP70" s="2"/>
      <c r="OYQ70" s="2"/>
      <c r="OYR70" s="2"/>
      <c r="OYS70" s="2"/>
      <c r="OYT70" s="2"/>
      <c r="OYU70" s="2"/>
      <c r="OYV70" s="2"/>
      <c r="OYW70" s="2"/>
      <c r="OYX70" s="2"/>
      <c r="OYY70" s="2"/>
      <c r="OYZ70" s="2"/>
      <c r="OZA70" s="2"/>
      <c r="OZB70" s="2"/>
      <c r="OZC70" s="2"/>
      <c r="OZD70" s="2"/>
      <c r="OZE70" s="2"/>
      <c r="OZF70" s="2"/>
      <c r="OZG70" s="2"/>
      <c r="OZH70" s="2"/>
      <c r="OZI70" s="2"/>
      <c r="OZJ70" s="2"/>
      <c r="OZK70" s="2"/>
      <c r="OZL70" s="2"/>
      <c r="OZM70" s="2"/>
      <c r="OZN70" s="2"/>
      <c r="OZO70" s="2"/>
      <c r="OZP70" s="2"/>
      <c r="OZQ70" s="2"/>
      <c r="OZR70" s="2"/>
      <c r="OZS70" s="2"/>
      <c r="OZT70" s="2"/>
      <c r="OZU70" s="2"/>
      <c r="OZV70" s="2"/>
      <c r="OZW70" s="2"/>
      <c r="OZX70" s="2"/>
      <c r="OZY70" s="2"/>
      <c r="OZZ70" s="2"/>
      <c r="PAA70" s="2"/>
      <c r="PAB70" s="2"/>
      <c r="PAC70" s="2"/>
      <c r="PAD70" s="2"/>
      <c r="PAE70" s="2"/>
      <c r="PAF70" s="2"/>
      <c r="PAG70" s="2"/>
      <c r="PAH70" s="2"/>
      <c r="PAI70" s="2"/>
      <c r="PAJ70" s="2"/>
      <c r="PAK70" s="2"/>
      <c r="PAL70" s="2"/>
      <c r="PAM70" s="2"/>
      <c r="PAN70" s="2"/>
      <c r="PAO70" s="2"/>
      <c r="PAP70" s="2"/>
      <c r="PAQ70" s="2"/>
      <c r="PAR70" s="2"/>
      <c r="PAS70" s="2"/>
      <c r="PAT70" s="2"/>
      <c r="PAU70" s="2"/>
      <c r="PAV70" s="2"/>
      <c r="PAW70" s="2"/>
      <c r="PAX70" s="2"/>
      <c r="PAY70" s="2"/>
      <c r="PAZ70" s="2"/>
      <c r="PBA70" s="2"/>
      <c r="PBB70" s="2"/>
      <c r="PBC70" s="2"/>
      <c r="PBD70" s="2"/>
      <c r="PBE70" s="2"/>
      <c r="PBF70" s="2"/>
      <c r="PBG70" s="2"/>
      <c r="PBH70" s="2"/>
      <c r="PBI70" s="2"/>
      <c r="PBJ70" s="2"/>
      <c r="PBK70" s="2"/>
      <c r="PBL70" s="2"/>
      <c r="PBM70" s="2"/>
      <c r="PBN70" s="2"/>
      <c r="PBO70" s="2"/>
      <c r="PBP70" s="2"/>
      <c r="PBQ70" s="2"/>
      <c r="PBR70" s="2"/>
      <c r="PBS70" s="2"/>
      <c r="PBT70" s="2"/>
      <c r="PBU70" s="2"/>
      <c r="PBV70" s="2"/>
      <c r="PBW70" s="2"/>
      <c r="PBX70" s="2"/>
      <c r="PBY70" s="2"/>
      <c r="PBZ70" s="2"/>
      <c r="PCA70" s="2"/>
      <c r="PCB70" s="2"/>
      <c r="PCC70" s="2"/>
      <c r="PCD70" s="2"/>
      <c r="PCE70" s="2"/>
      <c r="PCF70" s="2"/>
      <c r="PCG70" s="2"/>
      <c r="PCH70" s="2"/>
      <c r="PCI70" s="2"/>
      <c r="PCJ70" s="2"/>
      <c r="PCK70" s="2"/>
      <c r="PCL70" s="2"/>
      <c r="PCM70" s="2"/>
      <c r="PCN70" s="2"/>
      <c r="PCO70" s="2"/>
      <c r="PCP70" s="2"/>
      <c r="PCQ70" s="2"/>
      <c r="PCR70" s="2"/>
      <c r="PCS70" s="2"/>
      <c r="PCT70" s="2"/>
      <c r="PCU70" s="2"/>
      <c r="PCV70" s="2"/>
      <c r="PCW70" s="2"/>
      <c r="PCX70" s="2"/>
      <c r="PCY70" s="2"/>
      <c r="PCZ70" s="2"/>
      <c r="PDA70" s="2"/>
      <c r="PDB70" s="2"/>
      <c r="PDC70" s="2"/>
      <c r="PDD70" s="2"/>
      <c r="PDE70" s="2"/>
      <c r="PDF70" s="2"/>
      <c r="PDG70" s="2"/>
      <c r="PDH70" s="2"/>
      <c r="PDI70" s="2"/>
      <c r="PDJ70" s="2"/>
      <c r="PDK70" s="2"/>
      <c r="PDL70" s="2"/>
      <c r="PDM70" s="2"/>
      <c r="PDN70" s="2"/>
      <c r="PDO70" s="2"/>
      <c r="PDP70" s="2"/>
      <c r="PDQ70" s="2"/>
      <c r="PDR70" s="2"/>
      <c r="PDS70" s="2"/>
      <c r="PDT70" s="2"/>
      <c r="PDU70" s="2"/>
      <c r="PDV70" s="2"/>
      <c r="PDW70" s="2"/>
      <c r="PDX70" s="2"/>
      <c r="PDY70" s="2"/>
      <c r="PDZ70" s="2"/>
      <c r="PEA70" s="2"/>
      <c r="PEB70" s="2"/>
      <c r="PEC70" s="2"/>
      <c r="PED70" s="2"/>
      <c r="PEE70" s="2"/>
      <c r="PEF70" s="2"/>
      <c r="PEG70" s="2"/>
      <c r="PEH70" s="2"/>
      <c r="PEI70" s="2"/>
      <c r="PEJ70" s="2"/>
      <c r="PEK70" s="2"/>
      <c r="PEL70" s="2"/>
      <c r="PEM70" s="2"/>
      <c r="PEN70" s="2"/>
      <c r="PEO70" s="2"/>
      <c r="PEP70" s="2"/>
      <c r="PEQ70" s="2"/>
      <c r="PER70" s="2"/>
      <c r="PES70" s="2"/>
      <c r="PET70" s="2"/>
      <c r="PEU70" s="2"/>
      <c r="PEV70" s="2"/>
      <c r="PEW70" s="2"/>
      <c r="PEX70" s="2"/>
      <c r="PEY70" s="2"/>
      <c r="PEZ70" s="2"/>
      <c r="PFA70" s="2"/>
      <c r="PFB70" s="2"/>
      <c r="PFC70" s="2"/>
      <c r="PFD70" s="2"/>
      <c r="PFE70" s="2"/>
      <c r="PFF70" s="2"/>
      <c r="PFG70" s="2"/>
      <c r="PFH70" s="2"/>
      <c r="PFI70" s="2"/>
      <c r="PFJ70" s="2"/>
      <c r="PFK70" s="2"/>
      <c r="PFL70" s="2"/>
      <c r="PFM70" s="2"/>
      <c r="PFN70" s="2"/>
      <c r="PFO70" s="2"/>
      <c r="PFP70" s="2"/>
      <c r="PFQ70" s="2"/>
      <c r="PFR70" s="2"/>
      <c r="PFS70" s="2"/>
      <c r="PFT70" s="2"/>
      <c r="PFU70" s="2"/>
      <c r="PFV70" s="2"/>
      <c r="PFW70" s="2"/>
      <c r="PFX70" s="2"/>
      <c r="PFY70" s="2"/>
      <c r="PFZ70" s="2"/>
      <c r="PGA70" s="2"/>
      <c r="PGB70" s="2"/>
      <c r="PGC70" s="2"/>
      <c r="PGD70" s="2"/>
      <c r="PGE70" s="2"/>
      <c r="PGF70" s="2"/>
      <c r="PGG70" s="2"/>
      <c r="PGH70" s="2"/>
      <c r="PGI70" s="2"/>
      <c r="PGJ70" s="2"/>
      <c r="PGK70" s="2"/>
      <c r="PGL70" s="2"/>
      <c r="PGM70" s="2"/>
      <c r="PGN70" s="2"/>
      <c r="PGO70" s="2"/>
      <c r="PGP70" s="2"/>
      <c r="PGQ70" s="2"/>
      <c r="PGR70" s="2"/>
      <c r="PGS70" s="2"/>
      <c r="PGT70" s="2"/>
      <c r="PGU70" s="2"/>
      <c r="PGV70" s="2"/>
      <c r="PGW70" s="2"/>
      <c r="PGX70" s="2"/>
      <c r="PGY70" s="2"/>
      <c r="PGZ70" s="2"/>
      <c r="PHA70" s="2"/>
      <c r="PHB70" s="2"/>
      <c r="PHC70" s="2"/>
      <c r="PHD70" s="2"/>
      <c r="PHE70" s="2"/>
      <c r="PHF70" s="2"/>
      <c r="PHG70" s="2"/>
      <c r="PHH70" s="2"/>
      <c r="PHI70" s="2"/>
      <c r="PHJ70" s="2"/>
      <c r="PHK70" s="2"/>
      <c r="PHL70" s="2"/>
      <c r="PHM70" s="2"/>
      <c r="PHN70" s="2"/>
      <c r="PHO70" s="2"/>
      <c r="PHP70" s="2"/>
      <c r="PHQ70" s="2"/>
      <c r="PHR70" s="2"/>
      <c r="PHS70" s="2"/>
      <c r="PHT70" s="2"/>
      <c r="PHU70" s="2"/>
      <c r="PHV70" s="2"/>
      <c r="PHW70" s="2"/>
      <c r="PHX70" s="2"/>
      <c r="PHY70" s="2"/>
      <c r="PHZ70" s="2"/>
      <c r="PIA70" s="2"/>
      <c r="PIB70" s="2"/>
      <c r="PIC70" s="2"/>
      <c r="PID70" s="2"/>
      <c r="PIE70" s="2"/>
      <c r="PIF70" s="2"/>
      <c r="PIG70" s="2"/>
      <c r="PIH70" s="2"/>
      <c r="PII70" s="2"/>
      <c r="PIJ70" s="2"/>
      <c r="PIK70" s="2"/>
      <c r="PIL70" s="2"/>
      <c r="PIM70" s="2"/>
      <c r="PIN70" s="2"/>
      <c r="PIO70" s="2"/>
      <c r="PIP70" s="2"/>
      <c r="PIQ70" s="2"/>
      <c r="PIR70" s="2"/>
      <c r="PIS70" s="2"/>
      <c r="PIT70" s="2"/>
      <c r="PIU70" s="2"/>
      <c r="PIV70" s="2"/>
      <c r="PIW70" s="2"/>
      <c r="PIX70" s="2"/>
      <c r="PIY70" s="2"/>
      <c r="PIZ70" s="2"/>
      <c r="PJA70" s="2"/>
      <c r="PJB70" s="2"/>
      <c r="PJC70" s="2"/>
      <c r="PJD70" s="2"/>
      <c r="PJE70" s="2"/>
      <c r="PJF70" s="2"/>
      <c r="PJG70" s="2"/>
      <c r="PJH70" s="2"/>
      <c r="PJI70" s="2"/>
      <c r="PJJ70" s="2"/>
      <c r="PJK70" s="2"/>
      <c r="PJL70" s="2"/>
      <c r="PJM70" s="2"/>
      <c r="PJN70" s="2"/>
      <c r="PJO70" s="2"/>
      <c r="PJP70" s="2"/>
      <c r="PJQ70" s="2"/>
      <c r="PJR70" s="2"/>
      <c r="PJS70" s="2"/>
      <c r="PJT70" s="2"/>
      <c r="PJU70" s="2"/>
      <c r="PJV70" s="2"/>
      <c r="PJW70" s="2"/>
      <c r="PJX70" s="2"/>
      <c r="PJY70" s="2"/>
      <c r="PJZ70" s="2"/>
      <c r="PKA70" s="2"/>
      <c r="PKB70" s="2"/>
      <c r="PKC70" s="2"/>
      <c r="PKD70" s="2"/>
      <c r="PKE70" s="2"/>
      <c r="PKF70" s="2"/>
      <c r="PKG70" s="2"/>
      <c r="PKH70" s="2"/>
      <c r="PKI70" s="2"/>
      <c r="PKJ70" s="2"/>
      <c r="PKK70" s="2"/>
      <c r="PKL70" s="2"/>
      <c r="PKM70" s="2"/>
      <c r="PKN70" s="2"/>
      <c r="PKO70" s="2"/>
      <c r="PKP70" s="2"/>
      <c r="PKQ70" s="2"/>
      <c r="PKR70" s="2"/>
      <c r="PKS70" s="2"/>
      <c r="PKT70" s="2"/>
      <c r="PKU70" s="2"/>
      <c r="PKV70" s="2"/>
      <c r="PKW70" s="2"/>
      <c r="PKX70" s="2"/>
      <c r="PKY70" s="2"/>
      <c r="PKZ70" s="2"/>
      <c r="PLA70" s="2"/>
      <c r="PLB70" s="2"/>
      <c r="PLC70" s="2"/>
      <c r="PLD70" s="2"/>
      <c r="PLE70" s="2"/>
      <c r="PLF70" s="2"/>
      <c r="PLG70" s="2"/>
      <c r="PLH70" s="2"/>
      <c r="PLI70" s="2"/>
      <c r="PLJ70" s="2"/>
      <c r="PLK70" s="2"/>
      <c r="PLL70" s="2"/>
      <c r="PLM70" s="2"/>
      <c r="PLN70" s="2"/>
      <c r="PLO70" s="2"/>
      <c r="PLP70" s="2"/>
      <c r="PLQ70" s="2"/>
      <c r="PLR70" s="2"/>
      <c r="PLS70" s="2"/>
      <c r="PLT70" s="2"/>
      <c r="PLU70" s="2"/>
      <c r="PLV70" s="2"/>
      <c r="PLW70" s="2"/>
      <c r="PLX70" s="2"/>
      <c r="PLY70" s="2"/>
      <c r="PLZ70" s="2"/>
      <c r="PMA70" s="2"/>
      <c r="PMB70" s="2"/>
      <c r="PMC70" s="2"/>
      <c r="PMD70" s="2"/>
      <c r="PME70" s="2"/>
      <c r="PMF70" s="2"/>
      <c r="PMG70" s="2"/>
      <c r="PMH70" s="2"/>
      <c r="PMI70" s="2"/>
      <c r="PMJ70" s="2"/>
      <c r="PMK70" s="2"/>
      <c r="PML70" s="2"/>
      <c r="PMM70" s="2"/>
      <c r="PMN70" s="2"/>
      <c r="PMO70" s="2"/>
      <c r="PMP70" s="2"/>
      <c r="PMQ70" s="2"/>
      <c r="PMR70" s="2"/>
      <c r="PMS70" s="2"/>
      <c r="PMT70" s="2"/>
      <c r="PMU70" s="2"/>
      <c r="PMV70" s="2"/>
      <c r="PMW70" s="2"/>
      <c r="PMX70" s="2"/>
      <c r="PMY70" s="2"/>
      <c r="PMZ70" s="2"/>
      <c r="PNA70" s="2"/>
      <c r="PNB70" s="2"/>
      <c r="PNC70" s="2"/>
      <c r="PND70" s="2"/>
      <c r="PNE70" s="2"/>
      <c r="PNF70" s="2"/>
      <c r="PNG70" s="2"/>
      <c r="PNH70" s="2"/>
      <c r="PNI70" s="2"/>
      <c r="PNJ70" s="2"/>
      <c r="PNK70" s="2"/>
      <c r="PNL70" s="2"/>
      <c r="PNM70" s="2"/>
      <c r="PNN70" s="2"/>
      <c r="PNO70" s="2"/>
      <c r="PNP70" s="2"/>
      <c r="PNQ70" s="2"/>
      <c r="PNR70" s="2"/>
      <c r="PNS70" s="2"/>
      <c r="PNT70" s="2"/>
      <c r="PNU70" s="2"/>
      <c r="PNV70" s="2"/>
      <c r="PNW70" s="2"/>
      <c r="PNX70" s="2"/>
      <c r="PNY70" s="2"/>
      <c r="PNZ70" s="2"/>
      <c r="POA70" s="2"/>
      <c r="POB70" s="2"/>
      <c r="POC70" s="2"/>
      <c r="POD70" s="2"/>
      <c r="POE70" s="2"/>
      <c r="POF70" s="2"/>
      <c r="POG70" s="2"/>
      <c r="POH70" s="2"/>
      <c r="POI70" s="2"/>
      <c r="POJ70" s="2"/>
      <c r="POK70" s="2"/>
      <c r="POL70" s="2"/>
      <c r="POM70" s="2"/>
      <c r="PON70" s="2"/>
      <c r="POO70" s="2"/>
      <c r="POP70" s="2"/>
      <c r="POQ70" s="2"/>
      <c r="POR70" s="2"/>
      <c r="POS70" s="2"/>
      <c r="POT70" s="2"/>
      <c r="POU70" s="2"/>
      <c r="POV70" s="2"/>
      <c r="POW70" s="2"/>
      <c r="POX70" s="2"/>
      <c r="POY70" s="2"/>
      <c r="POZ70" s="2"/>
      <c r="PPA70" s="2"/>
      <c r="PPB70" s="2"/>
      <c r="PPC70" s="2"/>
      <c r="PPD70" s="2"/>
      <c r="PPE70" s="2"/>
      <c r="PPF70" s="2"/>
      <c r="PPG70" s="2"/>
      <c r="PPH70" s="2"/>
      <c r="PPI70" s="2"/>
      <c r="PPJ70" s="2"/>
      <c r="PPK70" s="2"/>
      <c r="PPL70" s="2"/>
      <c r="PPM70" s="2"/>
      <c r="PPN70" s="2"/>
      <c r="PPO70" s="2"/>
      <c r="PPP70" s="2"/>
      <c r="PPQ70" s="2"/>
      <c r="PPR70" s="2"/>
      <c r="PPS70" s="2"/>
      <c r="PPT70" s="2"/>
      <c r="PPU70" s="2"/>
      <c r="PPV70" s="2"/>
      <c r="PPW70" s="2"/>
      <c r="PPX70" s="2"/>
      <c r="PPY70" s="2"/>
      <c r="PPZ70" s="2"/>
      <c r="PQA70" s="2"/>
      <c r="PQB70" s="2"/>
      <c r="PQC70" s="2"/>
      <c r="PQD70" s="2"/>
      <c r="PQE70" s="2"/>
      <c r="PQF70" s="2"/>
      <c r="PQG70" s="2"/>
      <c r="PQH70" s="2"/>
      <c r="PQI70" s="2"/>
      <c r="PQJ70" s="2"/>
      <c r="PQK70" s="2"/>
      <c r="PQL70" s="2"/>
      <c r="PQM70" s="2"/>
      <c r="PQN70" s="2"/>
      <c r="PQO70" s="2"/>
      <c r="PQP70" s="2"/>
      <c r="PQQ70" s="2"/>
      <c r="PQR70" s="2"/>
      <c r="PQS70" s="2"/>
      <c r="PQT70" s="2"/>
      <c r="PQU70" s="2"/>
      <c r="PQV70" s="2"/>
      <c r="PQW70" s="2"/>
      <c r="PQX70" s="2"/>
      <c r="PQY70" s="2"/>
      <c r="PQZ70" s="2"/>
      <c r="PRA70" s="2"/>
      <c r="PRB70" s="2"/>
      <c r="PRC70" s="2"/>
      <c r="PRD70" s="2"/>
      <c r="PRE70" s="2"/>
      <c r="PRF70" s="2"/>
      <c r="PRG70" s="2"/>
      <c r="PRH70" s="2"/>
      <c r="PRI70" s="2"/>
      <c r="PRJ70" s="2"/>
      <c r="PRK70" s="2"/>
      <c r="PRL70" s="2"/>
      <c r="PRM70" s="2"/>
      <c r="PRN70" s="2"/>
      <c r="PRO70" s="2"/>
      <c r="PRP70" s="2"/>
      <c r="PRQ70" s="2"/>
      <c r="PRR70" s="2"/>
      <c r="PRS70" s="2"/>
      <c r="PRT70" s="2"/>
      <c r="PRU70" s="2"/>
      <c r="PRV70" s="2"/>
      <c r="PRW70" s="2"/>
      <c r="PRX70" s="2"/>
      <c r="PRY70" s="2"/>
      <c r="PRZ70" s="2"/>
      <c r="PSA70" s="2"/>
      <c r="PSB70" s="2"/>
      <c r="PSC70" s="2"/>
      <c r="PSD70" s="2"/>
      <c r="PSE70" s="2"/>
      <c r="PSF70" s="2"/>
      <c r="PSG70" s="2"/>
      <c r="PSH70" s="2"/>
      <c r="PSI70" s="2"/>
      <c r="PSJ70" s="2"/>
      <c r="PSK70" s="2"/>
      <c r="PSL70" s="2"/>
      <c r="PSM70" s="2"/>
      <c r="PSN70" s="2"/>
      <c r="PSO70" s="2"/>
      <c r="PSP70" s="2"/>
      <c r="PSQ70" s="2"/>
      <c r="PSR70" s="2"/>
      <c r="PSS70" s="2"/>
      <c r="PST70" s="2"/>
      <c r="PSU70" s="2"/>
      <c r="PSV70" s="2"/>
      <c r="PSW70" s="2"/>
      <c r="PSX70" s="2"/>
      <c r="PSY70" s="2"/>
      <c r="PSZ70" s="2"/>
      <c r="PTA70" s="2"/>
      <c r="PTB70" s="2"/>
      <c r="PTC70" s="2"/>
      <c r="PTD70" s="2"/>
      <c r="PTE70" s="2"/>
      <c r="PTF70" s="2"/>
      <c r="PTG70" s="2"/>
      <c r="PTH70" s="2"/>
      <c r="PTI70" s="2"/>
      <c r="PTJ70" s="2"/>
      <c r="PTK70" s="2"/>
      <c r="PTL70" s="2"/>
      <c r="PTM70" s="2"/>
      <c r="PTN70" s="2"/>
      <c r="PTO70" s="2"/>
      <c r="PTP70" s="2"/>
      <c r="PTQ70" s="2"/>
      <c r="PTR70" s="2"/>
      <c r="PTS70" s="2"/>
      <c r="PTT70" s="2"/>
      <c r="PTU70" s="2"/>
      <c r="PTV70" s="2"/>
      <c r="PTW70" s="2"/>
      <c r="PTX70" s="2"/>
      <c r="PTY70" s="2"/>
      <c r="PTZ70" s="2"/>
      <c r="PUA70" s="2"/>
      <c r="PUB70" s="2"/>
      <c r="PUC70" s="2"/>
      <c r="PUD70" s="2"/>
      <c r="PUE70" s="2"/>
      <c r="PUF70" s="2"/>
      <c r="PUG70" s="2"/>
      <c r="PUH70" s="2"/>
      <c r="PUI70" s="2"/>
      <c r="PUJ70" s="2"/>
      <c r="PUK70" s="2"/>
      <c r="PUL70" s="2"/>
      <c r="PUM70" s="2"/>
      <c r="PUN70" s="2"/>
      <c r="PUO70" s="2"/>
      <c r="PUP70" s="2"/>
      <c r="PUQ70" s="2"/>
      <c r="PUR70" s="2"/>
      <c r="PUS70" s="2"/>
      <c r="PUT70" s="2"/>
      <c r="PUU70" s="2"/>
      <c r="PUV70" s="2"/>
      <c r="PUW70" s="2"/>
      <c r="PUX70" s="2"/>
      <c r="PUY70" s="2"/>
      <c r="PUZ70" s="2"/>
      <c r="PVA70" s="2"/>
      <c r="PVB70" s="2"/>
      <c r="PVC70" s="2"/>
      <c r="PVD70" s="2"/>
      <c r="PVE70" s="2"/>
      <c r="PVF70" s="2"/>
      <c r="PVG70" s="2"/>
      <c r="PVH70" s="2"/>
      <c r="PVI70" s="2"/>
      <c r="PVJ70" s="2"/>
      <c r="PVK70" s="2"/>
      <c r="PVL70" s="2"/>
      <c r="PVM70" s="2"/>
      <c r="PVN70" s="2"/>
      <c r="PVO70" s="2"/>
      <c r="PVP70" s="2"/>
      <c r="PVQ70" s="2"/>
      <c r="PVR70" s="2"/>
      <c r="PVS70" s="2"/>
      <c r="PVT70" s="2"/>
      <c r="PVU70" s="2"/>
      <c r="PVV70" s="2"/>
      <c r="PVW70" s="2"/>
      <c r="PVX70" s="2"/>
      <c r="PVY70" s="2"/>
      <c r="PVZ70" s="2"/>
      <c r="PWA70" s="2"/>
      <c r="PWB70" s="2"/>
      <c r="PWC70" s="2"/>
      <c r="PWD70" s="2"/>
      <c r="PWE70" s="2"/>
      <c r="PWF70" s="2"/>
      <c r="PWG70" s="2"/>
      <c r="PWH70" s="2"/>
      <c r="PWI70" s="2"/>
      <c r="PWJ70" s="2"/>
      <c r="PWK70" s="2"/>
      <c r="PWL70" s="2"/>
      <c r="PWM70" s="2"/>
      <c r="PWN70" s="2"/>
      <c r="PWO70" s="2"/>
      <c r="PWP70" s="2"/>
      <c r="PWQ70" s="2"/>
      <c r="PWR70" s="2"/>
      <c r="PWS70" s="2"/>
      <c r="PWT70" s="2"/>
      <c r="PWU70" s="2"/>
      <c r="PWV70" s="2"/>
      <c r="PWW70" s="2"/>
      <c r="PWX70" s="2"/>
      <c r="PWY70" s="2"/>
      <c r="PWZ70" s="2"/>
      <c r="PXA70" s="2"/>
      <c r="PXB70" s="2"/>
      <c r="PXC70" s="2"/>
      <c r="PXD70" s="2"/>
      <c r="PXE70" s="2"/>
      <c r="PXF70" s="2"/>
      <c r="PXG70" s="2"/>
      <c r="PXH70" s="2"/>
      <c r="PXI70" s="2"/>
      <c r="PXJ70" s="2"/>
      <c r="PXK70" s="2"/>
      <c r="PXL70" s="2"/>
      <c r="PXM70" s="2"/>
      <c r="PXN70" s="2"/>
      <c r="PXO70" s="2"/>
      <c r="PXP70" s="2"/>
      <c r="PXQ70" s="2"/>
      <c r="PXR70" s="2"/>
      <c r="PXS70" s="2"/>
      <c r="PXT70" s="2"/>
      <c r="PXU70" s="2"/>
      <c r="PXV70" s="2"/>
      <c r="PXW70" s="2"/>
      <c r="PXX70" s="2"/>
      <c r="PXY70" s="2"/>
      <c r="PXZ70" s="2"/>
      <c r="PYA70" s="2"/>
      <c r="PYB70" s="2"/>
      <c r="PYC70" s="2"/>
      <c r="PYD70" s="2"/>
      <c r="PYE70" s="2"/>
      <c r="PYF70" s="2"/>
      <c r="PYG70" s="2"/>
      <c r="PYH70" s="2"/>
      <c r="PYI70" s="2"/>
      <c r="PYJ70" s="2"/>
      <c r="PYK70" s="2"/>
      <c r="PYL70" s="2"/>
      <c r="PYM70" s="2"/>
      <c r="PYN70" s="2"/>
      <c r="PYO70" s="2"/>
      <c r="PYP70" s="2"/>
      <c r="PYQ70" s="2"/>
      <c r="PYR70" s="2"/>
      <c r="PYS70" s="2"/>
      <c r="PYT70" s="2"/>
      <c r="PYU70" s="2"/>
      <c r="PYV70" s="2"/>
      <c r="PYW70" s="2"/>
      <c r="PYX70" s="2"/>
      <c r="PYY70" s="2"/>
      <c r="PYZ70" s="2"/>
      <c r="PZA70" s="2"/>
      <c r="PZB70" s="2"/>
      <c r="PZC70" s="2"/>
      <c r="PZD70" s="2"/>
      <c r="PZE70" s="2"/>
      <c r="PZF70" s="2"/>
      <c r="PZG70" s="2"/>
      <c r="PZH70" s="2"/>
      <c r="PZI70" s="2"/>
      <c r="PZJ70" s="2"/>
      <c r="PZK70" s="2"/>
      <c r="PZL70" s="2"/>
      <c r="PZM70" s="2"/>
      <c r="PZN70" s="2"/>
      <c r="PZO70" s="2"/>
      <c r="PZP70" s="2"/>
      <c r="PZQ70" s="2"/>
      <c r="PZR70" s="2"/>
      <c r="PZS70" s="2"/>
      <c r="PZT70" s="2"/>
      <c r="PZU70" s="2"/>
      <c r="PZV70" s="2"/>
      <c r="PZW70" s="2"/>
      <c r="PZX70" s="2"/>
      <c r="PZY70" s="2"/>
      <c r="PZZ70" s="2"/>
      <c r="QAA70" s="2"/>
      <c r="QAB70" s="2"/>
      <c r="QAC70" s="2"/>
      <c r="QAD70" s="2"/>
      <c r="QAE70" s="2"/>
      <c r="QAF70" s="2"/>
      <c r="QAG70" s="2"/>
      <c r="QAH70" s="2"/>
      <c r="QAI70" s="2"/>
      <c r="QAJ70" s="2"/>
      <c r="QAK70" s="2"/>
      <c r="QAL70" s="2"/>
      <c r="QAM70" s="2"/>
      <c r="QAN70" s="2"/>
      <c r="QAO70" s="2"/>
      <c r="QAP70" s="2"/>
      <c r="QAQ70" s="2"/>
      <c r="QAR70" s="2"/>
      <c r="QAS70" s="2"/>
      <c r="QAT70" s="2"/>
      <c r="QAU70" s="2"/>
      <c r="QAV70" s="2"/>
      <c r="QAW70" s="2"/>
      <c r="QAX70" s="2"/>
      <c r="QAY70" s="2"/>
      <c r="QAZ70" s="2"/>
      <c r="QBA70" s="2"/>
      <c r="QBB70" s="2"/>
      <c r="QBC70" s="2"/>
      <c r="QBD70" s="2"/>
      <c r="QBE70" s="2"/>
      <c r="QBF70" s="2"/>
      <c r="QBG70" s="2"/>
      <c r="QBH70" s="2"/>
      <c r="QBI70" s="2"/>
      <c r="QBJ70" s="2"/>
      <c r="QBK70" s="2"/>
      <c r="QBL70" s="2"/>
      <c r="QBM70" s="2"/>
      <c r="QBN70" s="2"/>
      <c r="QBO70" s="2"/>
      <c r="QBP70" s="2"/>
      <c r="QBQ70" s="2"/>
      <c r="QBR70" s="2"/>
      <c r="QBS70" s="2"/>
      <c r="QBT70" s="2"/>
      <c r="QBU70" s="2"/>
      <c r="QBV70" s="2"/>
      <c r="QBW70" s="2"/>
      <c r="QBX70" s="2"/>
      <c r="QBY70" s="2"/>
      <c r="QBZ70" s="2"/>
      <c r="QCA70" s="2"/>
      <c r="QCB70" s="2"/>
      <c r="QCC70" s="2"/>
      <c r="QCD70" s="2"/>
      <c r="QCE70" s="2"/>
      <c r="QCF70" s="2"/>
      <c r="QCG70" s="2"/>
      <c r="QCH70" s="2"/>
      <c r="QCI70" s="2"/>
      <c r="QCJ70" s="2"/>
      <c r="QCK70" s="2"/>
      <c r="QCL70" s="2"/>
      <c r="QCM70" s="2"/>
      <c r="QCN70" s="2"/>
      <c r="QCO70" s="2"/>
      <c r="QCP70" s="2"/>
      <c r="QCQ70" s="2"/>
      <c r="QCR70" s="2"/>
      <c r="QCS70" s="2"/>
      <c r="QCT70" s="2"/>
      <c r="QCU70" s="2"/>
      <c r="QCV70" s="2"/>
      <c r="QCW70" s="2"/>
      <c r="QCX70" s="2"/>
      <c r="QCY70" s="2"/>
      <c r="QCZ70" s="2"/>
      <c r="QDA70" s="2"/>
      <c r="QDB70" s="2"/>
      <c r="QDC70" s="2"/>
      <c r="QDD70" s="2"/>
      <c r="QDE70" s="2"/>
      <c r="QDF70" s="2"/>
      <c r="QDG70" s="2"/>
      <c r="QDH70" s="2"/>
      <c r="QDI70" s="2"/>
      <c r="QDJ70" s="2"/>
      <c r="QDK70" s="2"/>
      <c r="QDL70" s="2"/>
      <c r="QDM70" s="2"/>
      <c r="QDN70" s="2"/>
      <c r="QDO70" s="2"/>
      <c r="QDP70" s="2"/>
      <c r="QDQ70" s="2"/>
      <c r="QDR70" s="2"/>
      <c r="QDS70" s="2"/>
      <c r="QDT70" s="2"/>
      <c r="QDU70" s="2"/>
      <c r="QDV70" s="2"/>
      <c r="QDW70" s="2"/>
      <c r="QDX70" s="2"/>
      <c r="QDY70" s="2"/>
      <c r="QDZ70" s="2"/>
      <c r="QEA70" s="2"/>
      <c r="QEB70" s="2"/>
      <c r="QEC70" s="2"/>
      <c r="QED70" s="2"/>
      <c r="QEE70" s="2"/>
      <c r="QEF70" s="2"/>
      <c r="QEG70" s="2"/>
      <c r="QEH70" s="2"/>
      <c r="QEI70" s="2"/>
      <c r="QEJ70" s="2"/>
      <c r="QEK70" s="2"/>
      <c r="QEL70" s="2"/>
      <c r="QEM70" s="2"/>
      <c r="QEN70" s="2"/>
      <c r="QEO70" s="2"/>
      <c r="QEP70" s="2"/>
      <c r="QEQ70" s="2"/>
      <c r="QER70" s="2"/>
      <c r="QES70" s="2"/>
      <c r="QET70" s="2"/>
      <c r="QEU70" s="2"/>
      <c r="QEV70" s="2"/>
      <c r="QEW70" s="2"/>
      <c r="QEX70" s="2"/>
      <c r="QEY70" s="2"/>
      <c r="QEZ70" s="2"/>
      <c r="QFA70" s="2"/>
      <c r="QFB70" s="2"/>
      <c r="QFC70" s="2"/>
      <c r="QFD70" s="2"/>
      <c r="QFE70" s="2"/>
      <c r="QFF70" s="2"/>
      <c r="QFG70" s="2"/>
      <c r="QFH70" s="2"/>
      <c r="QFI70" s="2"/>
      <c r="QFJ70" s="2"/>
      <c r="QFK70" s="2"/>
      <c r="QFL70" s="2"/>
      <c r="QFM70" s="2"/>
      <c r="QFN70" s="2"/>
      <c r="QFO70" s="2"/>
      <c r="QFP70" s="2"/>
      <c r="QFQ70" s="2"/>
      <c r="QFR70" s="2"/>
      <c r="QFS70" s="2"/>
      <c r="QFT70" s="2"/>
      <c r="QFU70" s="2"/>
      <c r="QFV70" s="2"/>
      <c r="QFW70" s="2"/>
      <c r="QFX70" s="2"/>
      <c r="QFY70" s="2"/>
      <c r="QFZ70" s="2"/>
      <c r="QGA70" s="2"/>
      <c r="QGB70" s="2"/>
      <c r="QGC70" s="2"/>
      <c r="QGD70" s="2"/>
      <c r="QGE70" s="2"/>
      <c r="QGF70" s="2"/>
      <c r="QGG70" s="2"/>
      <c r="QGH70" s="2"/>
      <c r="QGI70" s="2"/>
      <c r="QGJ70" s="2"/>
      <c r="QGK70" s="2"/>
      <c r="QGL70" s="2"/>
      <c r="QGM70" s="2"/>
      <c r="QGN70" s="2"/>
      <c r="QGO70" s="2"/>
      <c r="QGP70" s="2"/>
      <c r="QGQ70" s="2"/>
      <c r="QGR70" s="2"/>
      <c r="QGS70" s="2"/>
      <c r="QGT70" s="2"/>
      <c r="QGU70" s="2"/>
      <c r="QGV70" s="2"/>
      <c r="QGW70" s="2"/>
      <c r="QGX70" s="2"/>
      <c r="QGY70" s="2"/>
      <c r="QGZ70" s="2"/>
      <c r="QHA70" s="2"/>
      <c r="QHB70" s="2"/>
      <c r="QHC70" s="2"/>
      <c r="QHD70" s="2"/>
      <c r="QHE70" s="2"/>
      <c r="QHF70" s="2"/>
      <c r="QHG70" s="2"/>
      <c r="QHH70" s="2"/>
      <c r="QHI70" s="2"/>
      <c r="QHJ70" s="2"/>
      <c r="QHK70" s="2"/>
      <c r="QHL70" s="2"/>
      <c r="QHM70" s="2"/>
      <c r="QHN70" s="2"/>
      <c r="QHO70" s="2"/>
      <c r="QHP70" s="2"/>
      <c r="QHQ70" s="2"/>
      <c r="QHR70" s="2"/>
      <c r="QHS70" s="2"/>
      <c r="QHT70" s="2"/>
      <c r="QHU70" s="2"/>
      <c r="QHV70" s="2"/>
      <c r="QHW70" s="2"/>
      <c r="QHX70" s="2"/>
      <c r="QHY70" s="2"/>
      <c r="QHZ70" s="2"/>
      <c r="QIA70" s="2"/>
      <c r="QIB70" s="2"/>
      <c r="QIC70" s="2"/>
      <c r="QID70" s="2"/>
      <c r="QIE70" s="2"/>
      <c r="QIF70" s="2"/>
      <c r="QIG70" s="2"/>
      <c r="QIH70" s="2"/>
      <c r="QII70" s="2"/>
      <c r="QIJ70" s="2"/>
      <c r="QIK70" s="2"/>
      <c r="QIL70" s="2"/>
      <c r="QIM70" s="2"/>
      <c r="QIN70" s="2"/>
      <c r="QIO70" s="2"/>
      <c r="QIP70" s="2"/>
      <c r="QIQ70" s="2"/>
      <c r="QIR70" s="2"/>
      <c r="QIS70" s="2"/>
      <c r="QIT70" s="2"/>
      <c r="QIU70" s="2"/>
      <c r="QIV70" s="2"/>
      <c r="QIW70" s="2"/>
      <c r="QIX70" s="2"/>
      <c r="QIY70" s="2"/>
      <c r="QIZ70" s="2"/>
      <c r="QJA70" s="2"/>
      <c r="QJB70" s="2"/>
      <c r="QJC70" s="2"/>
      <c r="QJD70" s="2"/>
      <c r="QJE70" s="2"/>
      <c r="QJF70" s="2"/>
      <c r="QJG70" s="2"/>
      <c r="QJH70" s="2"/>
      <c r="QJI70" s="2"/>
      <c r="QJJ70" s="2"/>
      <c r="QJK70" s="2"/>
      <c r="QJL70" s="2"/>
      <c r="QJM70" s="2"/>
      <c r="QJN70" s="2"/>
      <c r="QJO70" s="2"/>
      <c r="QJP70" s="2"/>
      <c r="QJQ70" s="2"/>
      <c r="QJR70" s="2"/>
      <c r="QJS70" s="2"/>
      <c r="QJT70" s="2"/>
      <c r="QJU70" s="2"/>
      <c r="QJV70" s="2"/>
      <c r="QJW70" s="2"/>
      <c r="QJX70" s="2"/>
      <c r="QJY70" s="2"/>
      <c r="QJZ70" s="2"/>
      <c r="QKA70" s="2"/>
      <c r="QKB70" s="2"/>
      <c r="QKC70" s="2"/>
      <c r="QKD70" s="2"/>
      <c r="QKE70" s="2"/>
      <c r="QKF70" s="2"/>
      <c r="QKG70" s="2"/>
      <c r="QKH70" s="2"/>
      <c r="QKI70" s="2"/>
      <c r="QKJ70" s="2"/>
      <c r="QKK70" s="2"/>
      <c r="QKL70" s="2"/>
      <c r="QKM70" s="2"/>
      <c r="QKN70" s="2"/>
      <c r="QKO70" s="2"/>
      <c r="QKP70" s="2"/>
      <c r="QKQ70" s="2"/>
      <c r="QKR70" s="2"/>
      <c r="QKS70" s="2"/>
      <c r="QKT70" s="2"/>
      <c r="QKU70" s="2"/>
      <c r="QKV70" s="2"/>
      <c r="QKW70" s="2"/>
      <c r="QKX70" s="2"/>
      <c r="QKY70" s="2"/>
      <c r="QKZ70" s="2"/>
      <c r="QLA70" s="2"/>
      <c r="QLB70" s="2"/>
      <c r="QLC70" s="2"/>
      <c r="QLD70" s="2"/>
      <c r="QLE70" s="2"/>
      <c r="QLF70" s="2"/>
      <c r="QLG70" s="2"/>
      <c r="QLH70" s="2"/>
      <c r="QLI70" s="2"/>
      <c r="QLJ70" s="2"/>
      <c r="QLK70" s="2"/>
      <c r="QLL70" s="2"/>
      <c r="QLM70" s="2"/>
      <c r="QLN70" s="2"/>
      <c r="QLO70" s="2"/>
      <c r="QLP70" s="2"/>
      <c r="QLQ70" s="2"/>
      <c r="QLR70" s="2"/>
      <c r="QLS70" s="2"/>
      <c r="QLT70" s="2"/>
      <c r="QLU70" s="2"/>
      <c r="QLV70" s="2"/>
      <c r="QLW70" s="2"/>
      <c r="QLX70" s="2"/>
      <c r="QLY70" s="2"/>
      <c r="QLZ70" s="2"/>
      <c r="QMA70" s="2"/>
      <c r="QMB70" s="2"/>
      <c r="QMC70" s="2"/>
      <c r="QMD70" s="2"/>
      <c r="QME70" s="2"/>
      <c r="QMF70" s="2"/>
      <c r="QMG70" s="2"/>
      <c r="QMH70" s="2"/>
      <c r="QMI70" s="2"/>
      <c r="QMJ70" s="2"/>
      <c r="QMK70" s="2"/>
      <c r="QML70" s="2"/>
      <c r="QMM70" s="2"/>
      <c r="QMN70" s="2"/>
      <c r="QMO70" s="2"/>
      <c r="QMP70" s="2"/>
      <c r="QMQ70" s="2"/>
      <c r="QMR70" s="2"/>
      <c r="QMS70" s="2"/>
      <c r="QMT70" s="2"/>
      <c r="QMU70" s="2"/>
      <c r="QMV70" s="2"/>
      <c r="QMW70" s="2"/>
      <c r="QMX70" s="2"/>
      <c r="QMY70" s="2"/>
      <c r="QMZ70" s="2"/>
      <c r="QNA70" s="2"/>
      <c r="QNB70" s="2"/>
      <c r="QNC70" s="2"/>
      <c r="QND70" s="2"/>
      <c r="QNE70" s="2"/>
      <c r="QNF70" s="2"/>
      <c r="QNG70" s="2"/>
      <c r="QNH70" s="2"/>
      <c r="QNI70" s="2"/>
      <c r="QNJ70" s="2"/>
      <c r="QNK70" s="2"/>
      <c r="QNL70" s="2"/>
      <c r="QNM70" s="2"/>
      <c r="QNN70" s="2"/>
      <c r="QNO70" s="2"/>
      <c r="QNP70" s="2"/>
      <c r="QNQ70" s="2"/>
      <c r="QNR70" s="2"/>
      <c r="QNS70" s="2"/>
      <c r="QNT70" s="2"/>
      <c r="QNU70" s="2"/>
      <c r="QNV70" s="2"/>
      <c r="QNW70" s="2"/>
      <c r="QNX70" s="2"/>
      <c r="QNY70" s="2"/>
      <c r="QNZ70" s="2"/>
      <c r="QOA70" s="2"/>
      <c r="QOB70" s="2"/>
      <c r="QOC70" s="2"/>
      <c r="QOD70" s="2"/>
      <c r="QOE70" s="2"/>
      <c r="QOF70" s="2"/>
      <c r="QOG70" s="2"/>
      <c r="QOH70" s="2"/>
      <c r="QOI70" s="2"/>
      <c r="QOJ70" s="2"/>
      <c r="QOK70" s="2"/>
      <c r="QOL70" s="2"/>
      <c r="QOM70" s="2"/>
      <c r="QON70" s="2"/>
      <c r="QOO70" s="2"/>
      <c r="QOP70" s="2"/>
      <c r="QOQ70" s="2"/>
      <c r="QOR70" s="2"/>
      <c r="QOS70" s="2"/>
      <c r="QOT70" s="2"/>
      <c r="QOU70" s="2"/>
      <c r="QOV70" s="2"/>
      <c r="QOW70" s="2"/>
      <c r="QOX70" s="2"/>
      <c r="QOY70" s="2"/>
      <c r="QOZ70" s="2"/>
      <c r="QPA70" s="2"/>
      <c r="QPB70" s="2"/>
      <c r="QPC70" s="2"/>
      <c r="QPD70" s="2"/>
      <c r="QPE70" s="2"/>
      <c r="QPF70" s="2"/>
      <c r="QPG70" s="2"/>
      <c r="QPH70" s="2"/>
      <c r="QPI70" s="2"/>
      <c r="QPJ70" s="2"/>
      <c r="QPK70" s="2"/>
      <c r="QPL70" s="2"/>
      <c r="QPM70" s="2"/>
      <c r="QPN70" s="2"/>
      <c r="QPO70" s="2"/>
      <c r="QPP70" s="2"/>
      <c r="QPQ70" s="2"/>
      <c r="QPR70" s="2"/>
      <c r="QPS70" s="2"/>
      <c r="QPT70" s="2"/>
      <c r="QPU70" s="2"/>
      <c r="QPV70" s="2"/>
      <c r="QPW70" s="2"/>
      <c r="QPX70" s="2"/>
      <c r="QPY70" s="2"/>
      <c r="QPZ70" s="2"/>
      <c r="QQA70" s="2"/>
      <c r="QQB70" s="2"/>
      <c r="QQC70" s="2"/>
      <c r="QQD70" s="2"/>
      <c r="QQE70" s="2"/>
      <c r="QQF70" s="2"/>
      <c r="QQG70" s="2"/>
      <c r="QQH70" s="2"/>
      <c r="QQI70" s="2"/>
      <c r="QQJ70" s="2"/>
      <c r="QQK70" s="2"/>
      <c r="QQL70" s="2"/>
      <c r="QQM70" s="2"/>
      <c r="QQN70" s="2"/>
      <c r="QQO70" s="2"/>
      <c r="QQP70" s="2"/>
      <c r="QQQ70" s="2"/>
      <c r="QQR70" s="2"/>
      <c r="QQS70" s="2"/>
      <c r="QQT70" s="2"/>
      <c r="QQU70" s="2"/>
      <c r="QQV70" s="2"/>
      <c r="QQW70" s="2"/>
      <c r="QQX70" s="2"/>
      <c r="QQY70" s="2"/>
      <c r="QQZ70" s="2"/>
      <c r="QRA70" s="2"/>
      <c r="QRB70" s="2"/>
      <c r="QRC70" s="2"/>
      <c r="QRD70" s="2"/>
      <c r="QRE70" s="2"/>
      <c r="QRF70" s="2"/>
      <c r="QRG70" s="2"/>
      <c r="QRH70" s="2"/>
      <c r="QRI70" s="2"/>
      <c r="QRJ70" s="2"/>
      <c r="QRK70" s="2"/>
      <c r="QRL70" s="2"/>
      <c r="QRM70" s="2"/>
      <c r="QRN70" s="2"/>
      <c r="QRO70" s="2"/>
      <c r="QRP70" s="2"/>
      <c r="QRQ70" s="2"/>
      <c r="QRR70" s="2"/>
      <c r="QRS70" s="2"/>
      <c r="QRT70" s="2"/>
      <c r="QRU70" s="2"/>
      <c r="QRV70" s="2"/>
      <c r="QRW70" s="2"/>
      <c r="QRX70" s="2"/>
      <c r="QRY70" s="2"/>
      <c r="QRZ70" s="2"/>
      <c r="QSA70" s="2"/>
      <c r="QSB70" s="2"/>
      <c r="QSC70" s="2"/>
      <c r="QSD70" s="2"/>
      <c r="QSE70" s="2"/>
      <c r="QSF70" s="2"/>
      <c r="QSG70" s="2"/>
      <c r="QSH70" s="2"/>
      <c r="QSI70" s="2"/>
      <c r="QSJ70" s="2"/>
      <c r="QSK70" s="2"/>
      <c r="QSL70" s="2"/>
      <c r="QSM70" s="2"/>
      <c r="QSN70" s="2"/>
      <c r="QSO70" s="2"/>
      <c r="QSP70" s="2"/>
      <c r="QSQ70" s="2"/>
      <c r="QSR70" s="2"/>
      <c r="QSS70" s="2"/>
      <c r="QST70" s="2"/>
      <c r="QSU70" s="2"/>
      <c r="QSV70" s="2"/>
      <c r="QSW70" s="2"/>
      <c r="QSX70" s="2"/>
      <c r="QSY70" s="2"/>
      <c r="QSZ70" s="2"/>
      <c r="QTA70" s="2"/>
      <c r="QTB70" s="2"/>
      <c r="QTC70" s="2"/>
      <c r="QTD70" s="2"/>
      <c r="QTE70" s="2"/>
      <c r="QTF70" s="2"/>
      <c r="QTG70" s="2"/>
      <c r="QTH70" s="2"/>
      <c r="QTI70" s="2"/>
      <c r="QTJ70" s="2"/>
      <c r="QTK70" s="2"/>
      <c r="QTL70" s="2"/>
      <c r="QTM70" s="2"/>
      <c r="QTN70" s="2"/>
      <c r="QTO70" s="2"/>
      <c r="QTP70" s="2"/>
      <c r="QTQ70" s="2"/>
      <c r="QTR70" s="2"/>
      <c r="QTS70" s="2"/>
      <c r="QTT70" s="2"/>
      <c r="QTU70" s="2"/>
      <c r="QTV70" s="2"/>
      <c r="QTW70" s="2"/>
      <c r="QTX70" s="2"/>
      <c r="QTY70" s="2"/>
      <c r="QTZ70" s="2"/>
      <c r="QUA70" s="2"/>
      <c r="QUB70" s="2"/>
      <c r="QUC70" s="2"/>
      <c r="QUD70" s="2"/>
      <c r="QUE70" s="2"/>
      <c r="QUF70" s="2"/>
      <c r="QUG70" s="2"/>
      <c r="QUH70" s="2"/>
      <c r="QUI70" s="2"/>
      <c r="QUJ70" s="2"/>
      <c r="QUK70" s="2"/>
      <c r="QUL70" s="2"/>
      <c r="QUM70" s="2"/>
      <c r="QUN70" s="2"/>
      <c r="QUO70" s="2"/>
      <c r="QUP70" s="2"/>
      <c r="QUQ70" s="2"/>
      <c r="QUR70" s="2"/>
      <c r="QUS70" s="2"/>
      <c r="QUT70" s="2"/>
      <c r="QUU70" s="2"/>
      <c r="QUV70" s="2"/>
      <c r="QUW70" s="2"/>
      <c r="QUX70" s="2"/>
      <c r="QUY70" s="2"/>
      <c r="QUZ70" s="2"/>
      <c r="QVA70" s="2"/>
      <c r="QVB70" s="2"/>
      <c r="QVC70" s="2"/>
      <c r="QVD70" s="2"/>
      <c r="QVE70" s="2"/>
      <c r="QVF70" s="2"/>
      <c r="QVG70" s="2"/>
      <c r="QVH70" s="2"/>
      <c r="QVI70" s="2"/>
      <c r="QVJ70" s="2"/>
      <c r="QVK70" s="2"/>
      <c r="QVL70" s="2"/>
      <c r="QVM70" s="2"/>
      <c r="QVN70" s="2"/>
      <c r="QVO70" s="2"/>
      <c r="QVP70" s="2"/>
      <c r="QVQ70" s="2"/>
      <c r="QVR70" s="2"/>
      <c r="QVS70" s="2"/>
      <c r="QVT70" s="2"/>
      <c r="QVU70" s="2"/>
      <c r="QVV70" s="2"/>
      <c r="QVW70" s="2"/>
      <c r="QVX70" s="2"/>
      <c r="QVY70" s="2"/>
      <c r="QVZ70" s="2"/>
      <c r="QWA70" s="2"/>
      <c r="QWB70" s="2"/>
      <c r="QWC70" s="2"/>
      <c r="QWD70" s="2"/>
      <c r="QWE70" s="2"/>
      <c r="QWF70" s="2"/>
      <c r="QWG70" s="2"/>
      <c r="QWH70" s="2"/>
      <c r="QWI70" s="2"/>
      <c r="QWJ70" s="2"/>
      <c r="QWK70" s="2"/>
      <c r="QWL70" s="2"/>
      <c r="QWM70" s="2"/>
      <c r="QWN70" s="2"/>
      <c r="QWO70" s="2"/>
      <c r="QWP70" s="2"/>
      <c r="QWQ70" s="2"/>
      <c r="QWR70" s="2"/>
      <c r="QWS70" s="2"/>
      <c r="QWT70" s="2"/>
      <c r="QWU70" s="2"/>
      <c r="QWV70" s="2"/>
      <c r="QWW70" s="2"/>
      <c r="QWX70" s="2"/>
      <c r="QWY70" s="2"/>
      <c r="QWZ70" s="2"/>
      <c r="QXA70" s="2"/>
      <c r="QXB70" s="2"/>
      <c r="QXC70" s="2"/>
      <c r="QXD70" s="2"/>
      <c r="QXE70" s="2"/>
      <c r="QXF70" s="2"/>
      <c r="QXG70" s="2"/>
      <c r="QXH70" s="2"/>
      <c r="QXI70" s="2"/>
      <c r="QXJ70" s="2"/>
      <c r="QXK70" s="2"/>
      <c r="QXL70" s="2"/>
      <c r="QXM70" s="2"/>
      <c r="QXN70" s="2"/>
      <c r="QXO70" s="2"/>
      <c r="QXP70" s="2"/>
      <c r="QXQ70" s="2"/>
      <c r="QXR70" s="2"/>
      <c r="QXS70" s="2"/>
      <c r="QXT70" s="2"/>
      <c r="QXU70" s="2"/>
      <c r="QXV70" s="2"/>
      <c r="QXW70" s="2"/>
      <c r="QXX70" s="2"/>
      <c r="QXY70" s="2"/>
      <c r="QXZ70" s="2"/>
      <c r="QYA70" s="2"/>
      <c r="QYB70" s="2"/>
      <c r="QYC70" s="2"/>
      <c r="QYD70" s="2"/>
      <c r="QYE70" s="2"/>
      <c r="QYF70" s="2"/>
      <c r="QYG70" s="2"/>
      <c r="QYH70" s="2"/>
      <c r="QYI70" s="2"/>
      <c r="QYJ70" s="2"/>
      <c r="QYK70" s="2"/>
      <c r="QYL70" s="2"/>
      <c r="QYM70" s="2"/>
      <c r="QYN70" s="2"/>
      <c r="QYO70" s="2"/>
      <c r="QYP70" s="2"/>
      <c r="QYQ70" s="2"/>
      <c r="QYR70" s="2"/>
      <c r="QYS70" s="2"/>
      <c r="QYT70" s="2"/>
      <c r="QYU70" s="2"/>
      <c r="QYV70" s="2"/>
      <c r="QYW70" s="2"/>
      <c r="QYX70" s="2"/>
      <c r="QYY70" s="2"/>
      <c r="QYZ70" s="2"/>
      <c r="QZA70" s="2"/>
      <c r="QZB70" s="2"/>
      <c r="QZC70" s="2"/>
      <c r="QZD70" s="2"/>
      <c r="QZE70" s="2"/>
      <c r="QZF70" s="2"/>
      <c r="QZG70" s="2"/>
      <c r="QZH70" s="2"/>
      <c r="QZI70" s="2"/>
      <c r="QZJ70" s="2"/>
      <c r="QZK70" s="2"/>
      <c r="QZL70" s="2"/>
      <c r="QZM70" s="2"/>
      <c r="QZN70" s="2"/>
      <c r="QZO70" s="2"/>
      <c r="QZP70" s="2"/>
      <c r="QZQ70" s="2"/>
      <c r="QZR70" s="2"/>
      <c r="QZS70" s="2"/>
      <c r="QZT70" s="2"/>
      <c r="QZU70" s="2"/>
      <c r="QZV70" s="2"/>
      <c r="QZW70" s="2"/>
      <c r="QZX70" s="2"/>
      <c r="QZY70" s="2"/>
      <c r="QZZ70" s="2"/>
      <c r="RAA70" s="2"/>
      <c r="RAB70" s="2"/>
      <c r="RAC70" s="2"/>
      <c r="RAD70" s="2"/>
      <c r="RAE70" s="2"/>
      <c r="RAF70" s="2"/>
      <c r="RAG70" s="2"/>
      <c r="RAH70" s="2"/>
      <c r="RAI70" s="2"/>
      <c r="RAJ70" s="2"/>
      <c r="RAK70" s="2"/>
      <c r="RAL70" s="2"/>
      <c r="RAM70" s="2"/>
      <c r="RAN70" s="2"/>
      <c r="RAO70" s="2"/>
      <c r="RAP70" s="2"/>
      <c r="RAQ70" s="2"/>
      <c r="RAR70" s="2"/>
      <c r="RAS70" s="2"/>
      <c r="RAT70" s="2"/>
      <c r="RAU70" s="2"/>
      <c r="RAV70" s="2"/>
      <c r="RAW70" s="2"/>
      <c r="RAX70" s="2"/>
      <c r="RAY70" s="2"/>
      <c r="RAZ70" s="2"/>
      <c r="RBA70" s="2"/>
      <c r="RBB70" s="2"/>
      <c r="RBC70" s="2"/>
      <c r="RBD70" s="2"/>
      <c r="RBE70" s="2"/>
      <c r="RBF70" s="2"/>
      <c r="RBG70" s="2"/>
      <c r="RBH70" s="2"/>
      <c r="RBI70" s="2"/>
      <c r="RBJ70" s="2"/>
      <c r="RBK70" s="2"/>
      <c r="RBL70" s="2"/>
      <c r="RBM70" s="2"/>
      <c r="RBN70" s="2"/>
      <c r="RBO70" s="2"/>
      <c r="RBP70" s="2"/>
      <c r="RBQ70" s="2"/>
      <c r="RBR70" s="2"/>
      <c r="RBS70" s="2"/>
      <c r="RBT70" s="2"/>
      <c r="RBU70" s="2"/>
      <c r="RBV70" s="2"/>
      <c r="RBW70" s="2"/>
      <c r="RBX70" s="2"/>
      <c r="RBY70" s="2"/>
      <c r="RBZ70" s="2"/>
      <c r="RCA70" s="2"/>
      <c r="RCB70" s="2"/>
      <c r="RCC70" s="2"/>
      <c r="RCD70" s="2"/>
      <c r="RCE70" s="2"/>
      <c r="RCF70" s="2"/>
      <c r="RCG70" s="2"/>
      <c r="RCH70" s="2"/>
      <c r="RCI70" s="2"/>
      <c r="RCJ70" s="2"/>
      <c r="RCK70" s="2"/>
      <c r="RCL70" s="2"/>
      <c r="RCM70" s="2"/>
      <c r="RCN70" s="2"/>
      <c r="RCO70" s="2"/>
      <c r="RCP70" s="2"/>
      <c r="RCQ70" s="2"/>
      <c r="RCR70" s="2"/>
      <c r="RCS70" s="2"/>
      <c r="RCT70" s="2"/>
      <c r="RCU70" s="2"/>
      <c r="RCV70" s="2"/>
      <c r="RCW70" s="2"/>
      <c r="RCX70" s="2"/>
      <c r="RCY70" s="2"/>
      <c r="RCZ70" s="2"/>
      <c r="RDA70" s="2"/>
      <c r="RDB70" s="2"/>
      <c r="RDC70" s="2"/>
      <c r="RDD70" s="2"/>
      <c r="RDE70" s="2"/>
      <c r="RDF70" s="2"/>
      <c r="RDG70" s="2"/>
      <c r="RDH70" s="2"/>
      <c r="RDI70" s="2"/>
      <c r="RDJ70" s="2"/>
      <c r="RDK70" s="2"/>
      <c r="RDL70" s="2"/>
      <c r="RDM70" s="2"/>
      <c r="RDN70" s="2"/>
      <c r="RDO70" s="2"/>
      <c r="RDP70" s="2"/>
      <c r="RDQ70" s="2"/>
      <c r="RDR70" s="2"/>
      <c r="RDS70" s="2"/>
      <c r="RDT70" s="2"/>
      <c r="RDU70" s="2"/>
      <c r="RDV70" s="2"/>
      <c r="RDW70" s="2"/>
      <c r="RDX70" s="2"/>
      <c r="RDY70" s="2"/>
      <c r="RDZ70" s="2"/>
      <c r="REA70" s="2"/>
      <c r="REB70" s="2"/>
      <c r="REC70" s="2"/>
      <c r="RED70" s="2"/>
      <c r="REE70" s="2"/>
      <c r="REF70" s="2"/>
      <c r="REG70" s="2"/>
      <c r="REH70" s="2"/>
      <c r="REI70" s="2"/>
      <c r="REJ70" s="2"/>
      <c r="REK70" s="2"/>
      <c r="REL70" s="2"/>
      <c r="REM70" s="2"/>
      <c r="REN70" s="2"/>
      <c r="REO70" s="2"/>
      <c r="REP70" s="2"/>
      <c r="REQ70" s="2"/>
      <c r="RER70" s="2"/>
      <c r="RES70" s="2"/>
      <c r="RET70" s="2"/>
      <c r="REU70" s="2"/>
      <c r="REV70" s="2"/>
      <c r="REW70" s="2"/>
      <c r="REX70" s="2"/>
      <c r="REY70" s="2"/>
      <c r="REZ70" s="2"/>
      <c r="RFA70" s="2"/>
      <c r="RFB70" s="2"/>
      <c r="RFC70" s="2"/>
      <c r="RFD70" s="2"/>
      <c r="RFE70" s="2"/>
      <c r="RFF70" s="2"/>
      <c r="RFG70" s="2"/>
      <c r="RFH70" s="2"/>
      <c r="RFI70" s="2"/>
      <c r="RFJ70" s="2"/>
      <c r="RFK70" s="2"/>
      <c r="RFL70" s="2"/>
      <c r="RFM70" s="2"/>
      <c r="RFN70" s="2"/>
      <c r="RFO70" s="2"/>
      <c r="RFP70" s="2"/>
      <c r="RFQ70" s="2"/>
      <c r="RFR70" s="2"/>
      <c r="RFS70" s="2"/>
      <c r="RFT70" s="2"/>
      <c r="RFU70" s="2"/>
      <c r="RFV70" s="2"/>
      <c r="RFW70" s="2"/>
      <c r="RFX70" s="2"/>
      <c r="RFY70" s="2"/>
      <c r="RFZ70" s="2"/>
      <c r="RGA70" s="2"/>
      <c r="RGB70" s="2"/>
      <c r="RGC70" s="2"/>
      <c r="RGD70" s="2"/>
      <c r="RGE70" s="2"/>
      <c r="RGF70" s="2"/>
      <c r="RGG70" s="2"/>
      <c r="RGH70" s="2"/>
      <c r="RGI70" s="2"/>
      <c r="RGJ70" s="2"/>
      <c r="RGK70" s="2"/>
      <c r="RGL70" s="2"/>
      <c r="RGM70" s="2"/>
      <c r="RGN70" s="2"/>
      <c r="RGO70" s="2"/>
      <c r="RGP70" s="2"/>
      <c r="RGQ70" s="2"/>
      <c r="RGR70" s="2"/>
      <c r="RGS70" s="2"/>
      <c r="RGT70" s="2"/>
      <c r="RGU70" s="2"/>
      <c r="RGV70" s="2"/>
      <c r="RGW70" s="2"/>
      <c r="RGX70" s="2"/>
      <c r="RGY70" s="2"/>
      <c r="RGZ70" s="2"/>
      <c r="RHA70" s="2"/>
      <c r="RHB70" s="2"/>
      <c r="RHC70" s="2"/>
      <c r="RHD70" s="2"/>
      <c r="RHE70" s="2"/>
      <c r="RHF70" s="2"/>
      <c r="RHG70" s="2"/>
      <c r="RHH70" s="2"/>
      <c r="RHI70" s="2"/>
      <c r="RHJ70" s="2"/>
      <c r="RHK70" s="2"/>
      <c r="RHL70" s="2"/>
      <c r="RHM70" s="2"/>
      <c r="RHN70" s="2"/>
      <c r="RHO70" s="2"/>
      <c r="RHP70" s="2"/>
      <c r="RHQ70" s="2"/>
      <c r="RHR70" s="2"/>
      <c r="RHS70" s="2"/>
      <c r="RHT70" s="2"/>
      <c r="RHU70" s="2"/>
      <c r="RHV70" s="2"/>
      <c r="RHW70" s="2"/>
      <c r="RHX70" s="2"/>
      <c r="RHY70" s="2"/>
      <c r="RHZ70" s="2"/>
      <c r="RIA70" s="2"/>
      <c r="RIB70" s="2"/>
      <c r="RIC70" s="2"/>
      <c r="RID70" s="2"/>
      <c r="RIE70" s="2"/>
      <c r="RIF70" s="2"/>
      <c r="RIG70" s="2"/>
      <c r="RIH70" s="2"/>
      <c r="RII70" s="2"/>
      <c r="RIJ70" s="2"/>
      <c r="RIK70" s="2"/>
      <c r="RIL70" s="2"/>
      <c r="RIM70" s="2"/>
      <c r="RIN70" s="2"/>
      <c r="RIO70" s="2"/>
      <c r="RIP70" s="2"/>
      <c r="RIQ70" s="2"/>
      <c r="RIR70" s="2"/>
      <c r="RIS70" s="2"/>
      <c r="RIT70" s="2"/>
      <c r="RIU70" s="2"/>
      <c r="RIV70" s="2"/>
      <c r="RIW70" s="2"/>
      <c r="RIX70" s="2"/>
      <c r="RIY70" s="2"/>
      <c r="RIZ70" s="2"/>
      <c r="RJA70" s="2"/>
      <c r="RJB70" s="2"/>
      <c r="RJC70" s="2"/>
      <c r="RJD70" s="2"/>
      <c r="RJE70" s="2"/>
      <c r="RJF70" s="2"/>
      <c r="RJG70" s="2"/>
      <c r="RJH70" s="2"/>
      <c r="RJI70" s="2"/>
      <c r="RJJ70" s="2"/>
      <c r="RJK70" s="2"/>
      <c r="RJL70" s="2"/>
      <c r="RJM70" s="2"/>
      <c r="RJN70" s="2"/>
      <c r="RJO70" s="2"/>
      <c r="RJP70" s="2"/>
      <c r="RJQ70" s="2"/>
      <c r="RJR70" s="2"/>
      <c r="RJS70" s="2"/>
      <c r="RJT70" s="2"/>
      <c r="RJU70" s="2"/>
      <c r="RJV70" s="2"/>
      <c r="RJW70" s="2"/>
      <c r="RJX70" s="2"/>
      <c r="RJY70" s="2"/>
      <c r="RJZ70" s="2"/>
      <c r="RKA70" s="2"/>
      <c r="RKB70" s="2"/>
      <c r="RKC70" s="2"/>
      <c r="RKD70" s="2"/>
      <c r="RKE70" s="2"/>
      <c r="RKF70" s="2"/>
      <c r="RKG70" s="2"/>
      <c r="RKH70" s="2"/>
      <c r="RKI70" s="2"/>
      <c r="RKJ70" s="2"/>
      <c r="RKK70" s="2"/>
      <c r="RKL70" s="2"/>
      <c r="RKM70" s="2"/>
      <c r="RKN70" s="2"/>
      <c r="RKO70" s="2"/>
      <c r="RKP70" s="2"/>
      <c r="RKQ70" s="2"/>
      <c r="RKR70" s="2"/>
      <c r="RKS70" s="2"/>
      <c r="RKT70" s="2"/>
      <c r="RKU70" s="2"/>
      <c r="RKV70" s="2"/>
      <c r="RKW70" s="2"/>
      <c r="RKX70" s="2"/>
      <c r="RKY70" s="2"/>
      <c r="RKZ70" s="2"/>
      <c r="RLA70" s="2"/>
      <c r="RLB70" s="2"/>
      <c r="RLC70" s="2"/>
      <c r="RLD70" s="2"/>
      <c r="RLE70" s="2"/>
      <c r="RLF70" s="2"/>
      <c r="RLG70" s="2"/>
      <c r="RLH70" s="2"/>
      <c r="RLI70" s="2"/>
      <c r="RLJ70" s="2"/>
      <c r="RLK70" s="2"/>
      <c r="RLL70" s="2"/>
      <c r="RLM70" s="2"/>
      <c r="RLN70" s="2"/>
      <c r="RLO70" s="2"/>
      <c r="RLP70" s="2"/>
      <c r="RLQ70" s="2"/>
      <c r="RLR70" s="2"/>
      <c r="RLS70" s="2"/>
      <c r="RLT70" s="2"/>
      <c r="RLU70" s="2"/>
      <c r="RLV70" s="2"/>
      <c r="RLW70" s="2"/>
      <c r="RLX70" s="2"/>
      <c r="RLY70" s="2"/>
      <c r="RLZ70" s="2"/>
      <c r="RMA70" s="2"/>
      <c r="RMB70" s="2"/>
      <c r="RMC70" s="2"/>
      <c r="RMD70" s="2"/>
      <c r="RME70" s="2"/>
      <c r="RMF70" s="2"/>
      <c r="RMG70" s="2"/>
      <c r="RMH70" s="2"/>
      <c r="RMI70" s="2"/>
      <c r="RMJ70" s="2"/>
      <c r="RMK70" s="2"/>
      <c r="RML70" s="2"/>
      <c r="RMM70" s="2"/>
      <c r="RMN70" s="2"/>
      <c r="RMO70" s="2"/>
      <c r="RMP70" s="2"/>
      <c r="RMQ70" s="2"/>
      <c r="RMR70" s="2"/>
      <c r="RMS70" s="2"/>
      <c r="RMT70" s="2"/>
      <c r="RMU70" s="2"/>
      <c r="RMV70" s="2"/>
      <c r="RMW70" s="2"/>
      <c r="RMX70" s="2"/>
      <c r="RMY70" s="2"/>
      <c r="RMZ70" s="2"/>
      <c r="RNA70" s="2"/>
      <c r="RNB70" s="2"/>
      <c r="RNC70" s="2"/>
      <c r="RND70" s="2"/>
      <c r="RNE70" s="2"/>
      <c r="RNF70" s="2"/>
      <c r="RNG70" s="2"/>
      <c r="RNH70" s="2"/>
      <c r="RNI70" s="2"/>
      <c r="RNJ70" s="2"/>
      <c r="RNK70" s="2"/>
      <c r="RNL70" s="2"/>
      <c r="RNM70" s="2"/>
      <c r="RNN70" s="2"/>
      <c r="RNO70" s="2"/>
      <c r="RNP70" s="2"/>
      <c r="RNQ70" s="2"/>
      <c r="RNR70" s="2"/>
      <c r="RNS70" s="2"/>
      <c r="RNT70" s="2"/>
      <c r="RNU70" s="2"/>
      <c r="RNV70" s="2"/>
      <c r="RNW70" s="2"/>
      <c r="RNX70" s="2"/>
      <c r="RNY70" s="2"/>
      <c r="RNZ70" s="2"/>
      <c r="ROA70" s="2"/>
      <c r="ROB70" s="2"/>
      <c r="ROC70" s="2"/>
      <c r="ROD70" s="2"/>
      <c r="ROE70" s="2"/>
      <c r="ROF70" s="2"/>
      <c r="ROG70" s="2"/>
      <c r="ROH70" s="2"/>
      <c r="ROI70" s="2"/>
      <c r="ROJ70" s="2"/>
      <c r="ROK70" s="2"/>
      <c r="ROL70" s="2"/>
      <c r="ROM70" s="2"/>
      <c r="RON70" s="2"/>
      <c r="ROO70" s="2"/>
      <c r="ROP70" s="2"/>
      <c r="ROQ70" s="2"/>
      <c r="ROR70" s="2"/>
      <c r="ROS70" s="2"/>
      <c r="ROT70" s="2"/>
      <c r="ROU70" s="2"/>
      <c r="ROV70" s="2"/>
      <c r="ROW70" s="2"/>
      <c r="ROX70" s="2"/>
      <c r="ROY70" s="2"/>
      <c r="ROZ70" s="2"/>
      <c r="RPA70" s="2"/>
      <c r="RPB70" s="2"/>
      <c r="RPC70" s="2"/>
      <c r="RPD70" s="2"/>
      <c r="RPE70" s="2"/>
      <c r="RPF70" s="2"/>
      <c r="RPG70" s="2"/>
      <c r="RPH70" s="2"/>
      <c r="RPI70" s="2"/>
      <c r="RPJ70" s="2"/>
      <c r="RPK70" s="2"/>
      <c r="RPL70" s="2"/>
      <c r="RPM70" s="2"/>
      <c r="RPN70" s="2"/>
      <c r="RPO70" s="2"/>
      <c r="RPP70" s="2"/>
      <c r="RPQ70" s="2"/>
      <c r="RPR70" s="2"/>
      <c r="RPS70" s="2"/>
      <c r="RPT70" s="2"/>
      <c r="RPU70" s="2"/>
      <c r="RPV70" s="2"/>
      <c r="RPW70" s="2"/>
      <c r="RPX70" s="2"/>
      <c r="RPY70" s="2"/>
      <c r="RPZ70" s="2"/>
      <c r="RQA70" s="2"/>
      <c r="RQB70" s="2"/>
      <c r="RQC70" s="2"/>
      <c r="RQD70" s="2"/>
      <c r="RQE70" s="2"/>
      <c r="RQF70" s="2"/>
      <c r="RQG70" s="2"/>
      <c r="RQH70" s="2"/>
      <c r="RQI70" s="2"/>
      <c r="RQJ70" s="2"/>
      <c r="RQK70" s="2"/>
      <c r="RQL70" s="2"/>
      <c r="RQM70" s="2"/>
      <c r="RQN70" s="2"/>
      <c r="RQO70" s="2"/>
      <c r="RQP70" s="2"/>
      <c r="RQQ70" s="2"/>
      <c r="RQR70" s="2"/>
      <c r="RQS70" s="2"/>
      <c r="RQT70" s="2"/>
      <c r="RQU70" s="2"/>
      <c r="RQV70" s="2"/>
      <c r="RQW70" s="2"/>
      <c r="RQX70" s="2"/>
      <c r="RQY70" s="2"/>
      <c r="RQZ70" s="2"/>
      <c r="RRA70" s="2"/>
      <c r="RRB70" s="2"/>
      <c r="RRC70" s="2"/>
      <c r="RRD70" s="2"/>
      <c r="RRE70" s="2"/>
      <c r="RRF70" s="2"/>
      <c r="RRG70" s="2"/>
      <c r="RRH70" s="2"/>
      <c r="RRI70" s="2"/>
      <c r="RRJ70" s="2"/>
      <c r="RRK70" s="2"/>
      <c r="RRL70" s="2"/>
      <c r="RRM70" s="2"/>
      <c r="RRN70" s="2"/>
      <c r="RRO70" s="2"/>
      <c r="RRP70" s="2"/>
      <c r="RRQ70" s="2"/>
      <c r="RRR70" s="2"/>
      <c r="RRS70" s="2"/>
      <c r="RRT70" s="2"/>
      <c r="RRU70" s="2"/>
      <c r="RRV70" s="2"/>
      <c r="RRW70" s="2"/>
      <c r="RRX70" s="2"/>
      <c r="RRY70" s="2"/>
      <c r="RRZ70" s="2"/>
      <c r="RSA70" s="2"/>
      <c r="RSB70" s="2"/>
      <c r="RSC70" s="2"/>
      <c r="RSD70" s="2"/>
      <c r="RSE70" s="2"/>
      <c r="RSF70" s="2"/>
      <c r="RSG70" s="2"/>
      <c r="RSH70" s="2"/>
      <c r="RSI70" s="2"/>
      <c r="RSJ70" s="2"/>
      <c r="RSK70" s="2"/>
      <c r="RSL70" s="2"/>
      <c r="RSM70" s="2"/>
      <c r="RSN70" s="2"/>
      <c r="RSO70" s="2"/>
      <c r="RSP70" s="2"/>
      <c r="RSQ70" s="2"/>
      <c r="RSR70" s="2"/>
      <c r="RSS70" s="2"/>
      <c r="RST70" s="2"/>
      <c r="RSU70" s="2"/>
      <c r="RSV70" s="2"/>
      <c r="RSW70" s="2"/>
      <c r="RSX70" s="2"/>
      <c r="RSY70" s="2"/>
      <c r="RSZ70" s="2"/>
      <c r="RTA70" s="2"/>
      <c r="RTB70" s="2"/>
      <c r="RTC70" s="2"/>
      <c r="RTD70" s="2"/>
      <c r="RTE70" s="2"/>
      <c r="RTF70" s="2"/>
      <c r="RTG70" s="2"/>
      <c r="RTH70" s="2"/>
      <c r="RTI70" s="2"/>
      <c r="RTJ70" s="2"/>
      <c r="RTK70" s="2"/>
      <c r="RTL70" s="2"/>
      <c r="RTM70" s="2"/>
      <c r="RTN70" s="2"/>
      <c r="RTO70" s="2"/>
      <c r="RTP70" s="2"/>
      <c r="RTQ70" s="2"/>
      <c r="RTR70" s="2"/>
      <c r="RTS70" s="2"/>
      <c r="RTT70" s="2"/>
      <c r="RTU70" s="2"/>
      <c r="RTV70" s="2"/>
      <c r="RTW70" s="2"/>
      <c r="RTX70" s="2"/>
      <c r="RTY70" s="2"/>
      <c r="RTZ70" s="2"/>
      <c r="RUA70" s="2"/>
      <c r="RUB70" s="2"/>
      <c r="RUC70" s="2"/>
      <c r="RUD70" s="2"/>
      <c r="RUE70" s="2"/>
      <c r="RUF70" s="2"/>
      <c r="RUG70" s="2"/>
      <c r="RUH70" s="2"/>
      <c r="RUI70" s="2"/>
      <c r="RUJ70" s="2"/>
      <c r="RUK70" s="2"/>
      <c r="RUL70" s="2"/>
      <c r="RUM70" s="2"/>
      <c r="RUN70" s="2"/>
      <c r="RUO70" s="2"/>
      <c r="RUP70" s="2"/>
      <c r="RUQ70" s="2"/>
      <c r="RUR70" s="2"/>
      <c r="RUS70" s="2"/>
      <c r="RUT70" s="2"/>
      <c r="RUU70" s="2"/>
      <c r="RUV70" s="2"/>
      <c r="RUW70" s="2"/>
      <c r="RUX70" s="2"/>
      <c r="RUY70" s="2"/>
      <c r="RUZ70" s="2"/>
      <c r="RVA70" s="2"/>
      <c r="RVB70" s="2"/>
      <c r="RVC70" s="2"/>
      <c r="RVD70" s="2"/>
      <c r="RVE70" s="2"/>
      <c r="RVF70" s="2"/>
      <c r="RVG70" s="2"/>
      <c r="RVH70" s="2"/>
      <c r="RVI70" s="2"/>
      <c r="RVJ70" s="2"/>
      <c r="RVK70" s="2"/>
      <c r="RVL70" s="2"/>
      <c r="RVM70" s="2"/>
      <c r="RVN70" s="2"/>
      <c r="RVO70" s="2"/>
      <c r="RVP70" s="2"/>
      <c r="RVQ70" s="2"/>
      <c r="RVR70" s="2"/>
      <c r="RVS70" s="2"/>
      <c r="RVT70" s="2"/>
      <c r="RVU70" s="2"/>
      <c r="RVV70" s="2"/>
      <c r="RVW70" s="2"/>
      <c r="RVX70" s="2"/>
      <c r="RVY70" s="2"/>
      <c r="RVZ70" s="2"/>
      <c r="RWA70" s="2"/>
      <c r="RWB70" s="2"/>
      <c r="RWC70" s="2"/>
      <c r="RWD70" s="2"/>
      <c r="RWE70" s="2"/>
      <c r="RWF70" s="2"/>
      <c r="RWG70" s="2"/>
      <c r="RWH70" s="2"/>
      <c r="RWI70" s="2"/>
      <c r="RWJ70" s="2"/>
      <c r="RWK70" s="2"/>
      <c r="RWL70" s="2"/>
      <c r="RWM70" s="2"/>
      <c r="RWN70" s="2"/>
      <c r="RWO70" s="2"/>
      <c r="RWP70" s="2"/>
      <c r="RWQ70" s="2"/>
      <c r="RWR70" s="2"/>
      <c r="RWS70" s="2"/>
      <c r="RWT70" s="2"/>
      <c r="RWU70" s="2"/>
      <c r="RWV70" s="2"/>
      <c r="RWW70" s="2"/>
      <c r="RWX70" s="2"/>
      <c r="RWY70" s="2"/>
      <c r="RWZ70" s="2"/>
      <c r="RXA70" s="2"/>
      <c r="RXB70" s="2"/>
      <c r="RXC70" s="2"/>
      <c r="RXD70" s="2"/>
      <c r="RXE70" s="2"/>
      <c r="RXF70" s="2"/>
      <c r="RXG70" s="2"/>
      <c r="RXH70" s="2"/>
      <c r="RXI70" s="2"/>
      <c r="RXJ70" s="2"/>
      <c r="RXK70" s="2"/>
      <c r="RXL70" s="2"/>
      <c r="RXM70" s="2"/>
      <c r="RXN70" s="2"/>
      <c r="RXO70" s="2"/>
      <c r="RXP70" s="2"/>
      <c r="RXQ70" s="2"/>
      <c r="RXR70" s="2"/>
      <c r="RXS70" s="2"/>
      <c r="RXT70" s="2"/>
      <c r="RXU70" s="2"/>
      <c r="RXV70" s="2"/>
      <c r="RXW70" s="2"/>
      <c r="RXX70" s="2"/>
      <c r="RXY70" s="2"/>
      <c r="RXZ70" s="2"/>
      <c r="RYA70" s="2"/>
      <c r="RYB70" s="2"/>
      <c r="RYC70" s="2"/>
      <c r="RYD70" s="2"/>
      <c r="RYE70" s="2"/>
      <c r="RYF70" s="2"/>
      <c r="RYG70" s="2"/>
      <c r="RYH70" s="2"/>
      <c r="RYI70" s="2"/>
      <c r="RYJ70" s="2"/>
      <c r="RYK70" s="2"/>
      <c r="RYL70" s="2"/>
      <c r="RYM70" s="2"/>
      <c r="RYN70" s="2"/>
      <c r="RYO70" s="2"/>
      <c r="RYP70" s="2"/>
      <c r="RYQ70" s="2"/>
      <c r="RYR70" s="2"/>
      <c r="RYS70" s="2"/>
      <c r="RYT70" s="2"/>
      <c r="RYU70" s="2"/>
      <c r="RYV70" s="2"/>
      <c r="RYW70" s="2"/>
      <c r="RYX70" s="2"/>
      <c r="RYY70" s="2"/>
      <c r="RYZ70" s="2"/>
      <c r="RZA70" s="2"/>
      <c r="RZB70" s="2"/>
      <c r="RZC70" s="2"/>
      <c r="RZD70" s="2"/>
      <c r="RZE70" s="2"/>
      <c r="RZF70" s="2"/>
      <c r="RZG70" s="2"/>
      <c r="RZH70" s="2"/>
      <c r="RZI70" s="2"/>
      <c r="RZJ70" s="2"/>
      <c r="RZK70" s="2"/>
      <c r="RZL70" s="2"/>
      <c r="RZM70" s="2"/>
      <c r="RZN70" s="2"/>
      <c r="RZO70" s="2"/>
      <c r="RZP70" s="2"/>
      <c r="RZQ70" s="2"/>
      <c r="RZR70" s="2"/>
      <c r="RZS70" s="2"/>
      <c r="RZT70" s="2"/>
      <c r="RZU70" s="2"/>
      <c r="RZV70" s="2"/>
      <c r="RZW70" s="2"/>
      <c r="RZX70" s="2"/>
      <c r="RZY70" s="2"/>
      <c r="RZZ70" s="2"/>
      <c r="SAA70" s="2"/>
      <c r="SAB70" s="2"/>
      <c r="SAC70" s="2"/>
      <c r="SAD70" s="2"/>
      <c r="SAE70" s="2"/>
      <c r="SAF70" s="2"/>
      <c r="SAG70" s="2"/>
      <c r="SAH70" s="2"/>
      <c r="SAI70" s="2"/>
      <c r="SAJ70" s="2"/>
      <c r="SAK70" s="2"/>
      <c r="SAL70" s="2"/>
      <c r="SAM70" s="2"/>
      <c r="SAN70" s="2"/>
      <c r="SAO70" s="2"/>
      <c r="SAP70" s="2"/>
      <c r="SAQ70" s="2"/>
      <c r="SAR70" s="2"/>
      <c r="SAS70" s="2"/>
      <c r="SAT70" s="2"/>
      <c r="SAU70" s="2"/>
      <c r="SAV70" s="2"/>
      <c r="SAW70" s="2"/>
      <c r="SAX70" s="2"/>
      <c r="SAY70" s="2"/>
      <c r="SAZ70" s="2"/>
      <c r="SBA70" s="2"/>
      <c r="SBB70" s="2"/>
      <c r="SBC70" s="2"/>
      <c r="SBD70" s="2"/>
      <c r="SBE70" s="2"/>
      <c r="SBF70" s="2"/>
      <c r="SBG70" s="2"/>
      <c r="SBH70" s="2"/>
      <c r="SBI70" s="2"/>
      <c r="SBJ70" s="2"/>
      <c r="SBK70" s="2"/>
      <c r="SBL70" s="2"/>
      <c r="SBM70" s="2"/>
      <c r="SBN70" s="2"/>
      <c r="SBO70" s="2"/>
      <c r="SBP70" s="2"/>
      <c r="SBQ70" s="2"/>
      <c r="SBR70" s="2"/>
      <c r="SBS70" s="2"/>
      <c r="SBT70" s="2"/>
      <c r="SBU70" s="2"/>
      <c r="SBV70" s="2"/>
      <c r="SBW70" s="2"/>
      <c r="SBX70" s="2"/>
      <c r="SBY70" s="2"/>
      <c r="SBZ70" s="2"/>
      <c r="SCA70" s="2"/>
      <c r="SCB70" s="2"/>
      <c r="SCC70" s="2"/>
      <c r="SCD70" s="2"/>
      <c r="SCE70" s="2"/>
      <c r="SCF70" s="2"/>
      <c r="SCG70" s="2"/>
      <c r="SCH70" s="2"/>
      <c r="SCI70" s="2"/>
      <c r="SCJ70" s="2"/>
      <c r="SCK70" s="2"/>
      <c r="SCL70" s="2"/>
      <c r="SCM70" s="2"/>
      <c r="SCN70" s="2"/>
      <c r="SCO70" s="2"/>
      <c r="SCP70" s="2"/>
      <c r="SCQ70" s="2"/>
      <c r="SCR70" s="2"/>
      <c r="SCS70" s="2"/>
      <c r="SCT70" s="2"/>
      <c r="SCU70" s="2"/>
      <c r="SCV70" s="2"/>
      <c r="SCW70" s="2"/>
      <c r="SCX70" s="2"/>
      <c r="SCY70" s="2"/>
      <c r="SCZ70" s="2"/>
      <c r="SDA70" s="2"/>
      <c r="SDB70" s="2"/>
      <c r="SDC70" s="2"/>
      <c r="SDD70" s="2"/>
      <c r="SDE70" s="2"/>
      <c r="SDF70" s="2"/>
      <c r="SDG70" s="2"/>
      <c r="SDH70" s="2"/>
      <c r="SDI70" s="2"/>
      <c r="SDJ70" s="2"/>
      <c r="SDK70" s="2"/>
      <c r="SDL70" s="2"/>
      <c r="SDM70" s="2"/>
      <c r="SDN70" s="2"/>
      <c r="SDO70" s="2"/>
      <c r="SDP70" s="2"/>
      <c r="SDQ70" s="2"/>
      <c r="SDR70" s="2"/>
      <c r="SDS70" s="2"/>
      <c r="SDT70" s="2"/>
      <c r="SDU70" s="2"/>
      <c r="SDV70" s="2"/>
      <c r="SDW70" s="2"/>
      <c r="SDX70" s="2"/>
      <c r="SDY70" s="2"/>
      <c r="SDZ70" s="2"/>
      <c r="SEA70" s="2"/>
      <c r="SEB70" s="2"/>
      <c r="SEC70" s="2"/>
      <c r="SED70" s="2"/>
      <c r="SEE70" s="2"/>
      <c r="SEF70" s="2"/>
      <c r="SEG70" s="2"/>
      <c r="SEH70" s="2"/>
      <c r="SEI70" s="2"/>
      <c r="SEJ70" s="2"/>
      <c r="SEK70" s="2"/>
      <c r="SEL70" s="2"/>
      <c r="SEM70" s="2"/>
      <c r="SEN70" s="2"/>
      <c r="SEO70" s="2"/>
      <c r="SEP70" s="2"/>
      <c r="SEQ70" s="2"/>
      <c r="SER70" s="2"/>
      <c r="SES70" s="2"/>
      <c r="SET70" s="2"/>
      <c r="SEU70" s="2"/>
      <c r="SEV70" s="2"/>
      <c r="SEW70" s="2"/>
      <c r="SEX70" s="2"/>
      <c r="SEY70" s="2"/>
      <c r="SEZ70" s="2"/>
      <c r="SFA70" s="2"/>
      <c r="SFB70" s="2"/>
      <c r="SFC70" s="2"/>
      <c r="SFD70" s="2"/>
      <c r="SFE70" s="2"/>
      <c r="SFF70" s="2"/>
      <c r="SFG70" s="2"/>
      <c r="SFH70" s="2"/>
      <c r="SFI70" s="2"/>
      <c r="SFJ70" s="2"/>
      <c r="SFK70" s="2"/>
      <c r="SFL70" s="2"/>
      <c r="SFM70" s="2"/>
      <c r="SFN70" s="2"/>
      <c r="SFO70" s="2"/>
      <c r="SFP70" s="2"/>
      <c r="SFQ70" s="2"/>
      <c r="SFR70" s="2"/>
      <c r="SFS70" s="2"/>
      <c r="SFT70" s="2"/>
      <c r="SFU70" s="2"/>
      <c r="SFV70" s="2"/>
      <c r="SFW70" s="2"/>
      <c r="SFX70" s="2"/>
      <c r="SFY70" s="2"/>
      <c r="SFZ70" s="2"/>
      <c r="SGA70" s="2"/>
      <c r="SGB70" s="2"/>
      <c r="SGC70" s="2"/>
      <c r="SGD70" s="2"/>
      <c r="SGE70" s="2"/>
      <c r="SGF70" s="2"/>
      <c r="SGG70" s="2"/>
      <c r="SGH70" s="2"/>
      <c r="SGI70" s="2"/>
      <c r="SGJ70" s="2"/>
      <c r="SGK70" s="2"/>
      <c r="SGL70" s="2"/>
      <c r="SGM70" s="2"/>
      <c r="SGN70" s="2"/>
      <c r="SGO70" s="2"/>
      <c r="SGP70" s="2"/>
      <c r="SGQ70" s="2"/>
      <c r="SGR70" s="2"/>
      <c r="SGS70" s="2"/>
      <c r="SGT70" s="2"/>
      <c r="SGU70" s="2"/>
      <c r="SGV70" s="2"/>
      <c r="SGW70" s="2"/>
      <c r="SGX70" s="2"/>
      <c r="SGY70" s="2"/>
      <c r="SGZ70" s="2"/>
      <c r="SHA70" s="2"/>
      <c r="SHB70" s="2"/>
      <c r="SHC70" s="2"/>
      <c r="SHD70" s="2"/>
      <c r="SHE70" s="2"/>
      <c r="SHF70" s="2"/>
      <c r="SHG70" s="2"/>
      <c r="SHH70" s="2"/>
      <c r="SHI70" s="2"/>
      <c r="SHJ70" s="2"/>
      <c r="SHK70" s="2"/>
      <c r="SHL70" s="2"/>
      <c r="SHM70" s="2"/>
      <c r="SHN70" s="2"/>
      <c r="SHO70" s="2"/>
      <c r="SHP70" s="2"/>
      <c r="SHQ70" s="2"/>
      <c r="SHR70" s="2"/>
      <c r="SHS70" s="2"/>
      <c r="SHT70" s="2"/>
      <c r="SHU70" s="2"/>
      <c r="SHV70" s="2"/>
      <c r="SHW70" s="2"/>
      <c r="SHX70" s="2"/>
      <c r="SHY70" s="2"/>
      <c r="SHZ70" s="2"/>
      <c r="SIA70" s="2"/>
      <c r="SIB70" s="2"/>
      <c r="SIC70" s="2"/>
      <c r="SID70" s="2"/>
      <c r="SIE70" s="2"/>
      <c r="SIF70" s="2"/>
      <c r="SIG70" s="2"/>
      <c r="SIH70" s="2"/>
      <c r="SII70" s="2"/>
      <c r="SIJ70" s="2"/>
      <c r="SIK70" s="2"/>
      <c r="SIL70" s="2"/>
      <c r="SIM70" s="2"/>
      <c r="SIN70" s="2"/>
      <c r="SIO70" s="2"/>
      <c r="SIP70" s="2"/>
      <c r="SIQ70" s="2"/>
      <c r="SIR70" s="2"/>
      <c r="SIS70" s="2"/>
      <c r="SIT70" s="2"/>
      <c r="SIU70" s="2"/>
      <c r="SIV70" s="2"/>
      <c r="SIW70" s="2"/>
      <c r="SIX70" s="2"/>
      <c r="SIY70" s="2"/>
      <c r="SIZ70" s="2"/>
      <c r="SJA70" s="2"/>
      <c r="SJB70" s="2"/>
      <c r="SJC70" s="2"/>
      <c r="SJD70" s="2"/>
      <c r="SJE70" s="2"/>
      <c r="SJF70" s="2"/>
      <c r="SJG70" s="2"/>
      <c r="SJH70" s="2"/>
      <c r="SJI70" s="2"/>
      <c r="SJJ70" s="2"/>
      <c r="SJK70" s="2"/>
      <c r="SJL70" s="2"/>
      <c r="SJM70" s="2"/>
      <c r="SJN70" s="2"/>
      <c r="SJO70" s="2"/>
      <c r="SJP70" s="2"/>
      <c r="SJQ70" s="2"/>
      <c r="SJR70" s="2"/>
      <c r="SJS70" s="2"/>
      <c r="SJT70" s="2"/>
      <c r="SJU70" s="2"/>
      <c r="SJV70" s="2"/>
      <c r="SJW70" s="2"/>
      <c r="SJX70" s="2"/>
      <c r="SJY70" s="2"/>
      <c r="SJZ70" s="2"/>
      <c r="SKA70" s="2"/>
      <c r="SKB70" s="2"/>
      <c r="SKC70" s="2"/>
      <c r="SKD70" s="2"/>
      <c r="SKE70" s="2"/>
      <c r="SKF70" s="2"/>
      <c r="SKG70" s="2"/>
      <c r="SKH70" s="2"/>
      <c r="SKI70" s="2"/>
      <c r="SKJ70" s="2"/>
      <c r="SKK70" s="2"/>
      <c r="SKL70" s="2"/>
      <c r="SKM70" s="2"/>
      <c r="SKN70" s="2"/>
      <c r="SKO70" s="2"/>
      <c r="SKP70" s="2"/>
      <c r="SKQ70" s="2"/>
      <c r="SKR70" s="2"/>
      <c r="SKS70" s="2"/>
      <c r="SKT70" s="2"/>
      <c r="SKU70" s="2"/>
      <c r="SKV70" s="2"/>
      <c r="SKW70" s="2"/>
      <c r="SKX70" s="2"/>
      <c r="SKY70" s="2"/>
      <c r="SKZ70" s="2"/>
      <c r="SLA70" s="2"/>
      <c r="SLB70" s="2"/>
      <c r="SLC70" s="2"/>
      <c r="SLD70" s="2"/>
      <c r="SLE70" s="2"/>
      <c r="SLF70" s="2"/>
      <c r="SLG70" s="2"/>
      <c r="SLH70" s="2"/>
      <c r="SLI70" s="2"/>
      <c r="SLJ70" s="2"/>
      <c r="SLK70" s="2"/>
      <c r="SLL70" s="2"/>
      <c r="SLM70" s="2"/>
      <c r="SLN70" s="2"/>
      <c r="SLO70" s="2"/>
      <c r="SLP70" s="2"/>
      <c r="SLQ70" s="2"/>
      <c r="SLR70" s="2"/>
      <c r="SLS70" s="2"/>
      <c r="SLT70" s="2"/>
      <c r="SLU70" s="2"/>
      <c r="SLV70" s="2"/>
      <c r="SLW70" s="2"/>
      <c r="SLX70" s="2"/>
      <c r="SLY70" s="2"/>
      <c r="SLZ70" s="2"/>
      <c r="SMA70" s="2"/>
      <c r="SMB70" s="2"/>
      <c r="SMC70" s="2"/>
      <c r="SMD70" s="2"/>
      <c r="SME70" s="2"/>
      <c r="SMF70" s="2"/>
      <c r="SMG70" s="2"/>
      <c r="SMH70" s="2"/>
      <c r="SMI70" s="2"/>
      <c r="SMJ70" s="2"/>
      <c r="SMK70" s="2"/>
      <c r="SML70" s="2"/>
      <c r="SMM70" s="2"/>
      <c r="SMN70" s="2"/>
      <c r="SMO70" s="2"/>
      <c r="SMP70" s="2"/>
      <c r="SMQ70" s="2"/>
      <c r="SMR70" s="2"/>
      <c r="SMS70" s="2"/>
      <c r="SMT70" s="2"/>
      <c r="SMU70" s="2"/>
      <c r="SMV70" s="2"/>
      <c r="SMW70" s="2"/>
      <c r="SMX70" s="2"/>
      <c r="SMY70" s="2"/>
      <c r="SMZ70" s="2"/>
      <c r="SNA70" s="2"/>
      <c r="SNB70" s="2"/>
      <c r="SNC70" s="2"/>
      <c r="SND70" s="2"/>
      <c r="SNE70" s="2"/>
      <c r="SNF70" s="2"/>
      <c r="SNG70" s="2"/>
      <c r="SNH70" s="2"/>
      <c r="SNI70" s="2"/>
      <c r="SNJ70" s="2"/>
      <c r="SNK70" s="2"/>
      <c r="SNL70" s="2"/>
      <c r="SNM70" s="2"/>
      <c r="SNN70" s="2"/>
      <c r="SNO70" s="2"/>
      <c r="SNP70" s="2"/>
      <c r="SNQ70" s="2"/>
      <c r="SNR70" s="2"/>
      <c r="SNS70" s="2"/>
      <c r="SNT70" s="2"/>
      <c r="SNU70" s="2"/>
      <c r="SNV70" s="2"/>
      <c r="SNW70" s="2"/>
      <c r="SNX70" s="2"/>
      <c r="SNY70" s="2"/>
      <c r="SNZ70" s="2"/>
      <c r="SOA70" s="2"/>
      <c r="SOB70" s="2"/>
      <c r="SOC70" s="2"/>
      <c r="SOD70" s="2"/>
      <c r="SOE70" s="2"/>
      <c r="SOF70" s="2"/>
      <c r="SOG70" s="2"/>
      <c r="SOH70" s="2"/>
      <c r="SOI70" s="2"/>
      <c r="SOJ70" s="2"/>
      <c r="SOK70" s="2"/>
      <c r="SOL70" s="2"/>
      <c r="SOM70" s="2"/>
      <c r="SON70" s="2"/>
      <c r="SOO70" s="2"/>
      <c r="SOP70" s="2"/>
      <c r="SOQ70" s="2"/>
      <c r="SOR70" s="2"/>
      <c r="SOS70" s="2"/>
      <c r="SOT70" s="2"/>
      <c r="SOU70" s="2"/>
      <c r="SOV70" s="2"/>
      <c r="SOW70" s="2"/>
      <c r="SOX70" s="2"/>
      <c r="SOY70" s="2"/>
      <c r="SOZ70" s="2"/>
      <c r="SPA70" s="2"/>
      <c r="SPB70" s="2"/>
      <c r="SPC70" s="2"/>
      <c r="SPD70" s="2"/>
      <c r="SPE70" s="2"/>
      <c r="SPF70" s="2"/>
      <c r="SPG70" s="2"/>
      <c r="SPH70" s="2"/>
      <c r="SPI70" s="2"/>
      <c r="SPJ70" s="2"/>
      <c r="SPK70" s="2"/>
      <c r="SPL70" s="2"/>
      <c r="SPM70" s="2"/>
      <c r="SPN70" s="2"/>
      <c r="SPO70" s="2"/>
      <c r="SPP70" s="2"/>
      <c r="SPQ70" s="2"/>
      <c r="SPR70" s="2"/>
      <c r="SPS70" s="2"/>
      <c r="SPT70" s="2"/>
      <c r="SPU70" s="2"/>
      <c r="SPV70" s="2"/>
      <c r="SPW70" s="2"/>
      <c r="SPX70" s="2"/>
      <c r="SPY70" s="2"/>
      <c r="SPZ70" s="2"/>
      <c r="SQA70" s="2"/>
      <c r="SQB70" s="2"/>
      <c r="SQC70" s="2"/>
      <c r="SQD70" s="2"/>
      <c r="SQE70" s="2"/>
      <c r="SQF70" s="2"/>
      <c r="SQG70" s="2"/>
      <c r="SQH70" s="2"/>
      <c r="SQI70" s="2"/>
      <c r="SQJ70" s="2"/>
      <c r="SQK70" s="2"/>
      <c r="SQL70" s="2"/>
      <c r="SQM70" s="2"/>
      <c r="SQN70" s="2"/>
      <c r="SQO70" s="2"/>
      <c r="SQP70" s="2"/>
      <c r="SQQ70" s="2"/>
      <c r="SQR70" s="2"/>
      <c r="SQS70" s="2"/>
      <c r="SQT70" s="2"/>
      <c r="SQU70" s="2"/>
      <c r="SQV70" s="2"/>
      <c r="SQW70" s="2"/>
      <c r="SQX70" s="2"/>
      <c r="SQY70" s="2"/>
      <c r="SQZ70" s="2"/>
      <c r="SRA70" s="2"/>
      <c r="SRB70" s="2"/>
      <c r="SRC70" s="2"/>
      <c r="SRD70" s="2"/>
      <c r="SRE70" s="2"/>
      <c r="SRF70" s="2"/>
      <c r="SRG70" s="2"/>
      <c r="SRH70" s="2"/>
      <c r="SRI70" s="2"/>
      <c r="SRJ70" s="2"/>
      <c r="SRK70" s="2"/>
      <c r="SRL70" s="2"/>
      <c r="SRM70" s="2"/>
      <c r="SRN70" s="2"/>
      <c r="SRO70" s="2"/>
      <c r="SRP70" s="2"/>
      <c r="SRQ70" s="2"/>
      <c r="SRR70" s="2"/>
      <c r="SRS70" s="2"/>
      <c r="SRT70" s="2"/>
      <c r="SRU70" s="2"/>
      <c r="SRV70" s="2"/>
      <c r="SRW70" s="2"/>
      <c r="SRX70" s="2"/>
      <c r="SRY70" s="2"/>
      <c r="SRZ70" s="2"/>
      <c r="SSA70" s="2"/>
      <c r="SSB70" s="2"/>
      <c r="SSC70" s="2"/>
      <c r="SSD70" s="2"/>
      <c r="SSE70" s="2"/>
      <c r="SSF70" s="2"/>
      <c r="SSG70" s="2"/>
      <c r="SSH70" s="2"/>
      <c r="SSI70" s="2"/>
      <c r="SSJ70" s="2"/>
      <c r="SSK70" s="2"/>
      <c r="SSL70" s="2"/>
      <c r="SSM70" s="2"/>
      <c r="SSN70" s="2"/>
      <c r="SSO70" s="2"/>
      <c r="SSP70" s="2"/>
      <c r="SSQ70" s="2"/>
      <c r="SSR70" s="2"/>
      <c r="SSS70" s="2"/>
      <c r="SST70" s="2"/>
      <c r="SSU70" s="2"/>
      <c r="SSV70" s="2"/>
      <c r="SSW70" s="2"/>
      <c r="SSX70" s="2"/>
      <c r="SSY70" s="2"/>
      <c r="SSZ70" s="2"/>
      <c r="STA70" s="2"/>
      <c r="STB70" s="2"/>
      <c r="STC70" s="2"/>
      <c r="STD70" s="2"/>
      <c r="STE70" s="2"/>
      <c r="STF70" s="2"/>
      <c r="STG70" s="2"/>
      <c r="STH70" s="2"/>
      <c r="STI70" s="2"/>
      <c r="STJ70" s="2"/>
      <c r="STK70" s="2"/>
      <c r="STL70" s="2"/>
      <c r="STM70" s="2"/>
      <c r="STN70" s="2"/>
      <c r="STO70" s="2"/>
      <c r="STP70" s="2"/>
      <c r="STQ70" s="2"/>
      <c r="STR70" s="2"/>
      <c r="STS70" s="2"/>
      <c r="STT70" s="2"/>
      <c r="STU70" s="2"/>
      <c r="STV70" s="2"/>
      <c r="STW70" s="2"/>
      <c r="STX70" s="2"/>
      <c r="STY70" s="2"/>
      <c r="STZ70" s="2"/>
      <c r="SUA70" s="2"/>
      <c r="SUB70" s="2"/>
      <c r="SUC70" s="2"/>
      <c r="SUD70" s="2"/>
      <c r="SUE70" s="2"/>
      <c r="SUF70" s="2"/>
      <c r="SUG70" s="2"/>
      <c r="SUH70" s="2"/>
      <c r="SUI70" s="2"/>
      <c r="SUJ70" s="2"/>
      <c r="SUK70" s="2"/>
      <c r="SUL70" s="2"/>
      <c r="SUM70" s="2"/>
      <c r="SUN70" s="2"/>
      <c r="SUO70" s="2"/>
      <c r="SUP70" s="2"/>
      <c r="SUQ70" s="2"/>
      <c r="SUR70" s="2"/>
      <c r="SUS70" s="2"/>
      <c r="SUT70" s="2"/>
      <c r="SUU70" s="2"/>
      <c r="SUV70" s="2"/>
      <c r="SUW70" s="2"/>
      <c r="SUX70" s="2"/>
      <c r="SUY70" s="2"/>
      <c r="SUZ70" s="2"/>
      <c r="SVA70" s="2"/>
      <c r="SVB70" s="2"/>
      <c r="SVC70" s="2"/>
      <c r="SVD70" s="2"/>
      <c r="SVE70" s="2"/>
      <c r="SVF70" s="2"/>
      <c r="SVG70" s="2"/>
      <c r="SVH70" s="2"/>
      <c r="SVI70" s="2"/>
      <c r="SVJ70" s="2"/>
      <c r="SVK70" s="2"/>
      <c r="SVL70" s="2"/>
      <c r="SVM70" s="2"/>
      <c r="SVN70" s="2"/>
      <c r="SVO70" s="2"/>
      <c r="SVP70" s="2"/>
      <c r="SVQ70" s="2"/>
      <c r="SVR70" s="2"/>
      <c r="SVS70" s="2"/>
      <c r="SVT70" s="2"/>
      <c r="SVU70" s="2"/>
      <c r="SVV70" s="2"/>
      <c r="SVW70" s="2"/>
      <c r="SVX70" s="2"/>
      <c r="SVY70" s="2"/>
      <c r="SVZ70" s="2"/>
      <c r="SWA70" s="2"/>
      <c r="SWB70" s="2"/>
      <c r="SWC70" s="2"/>
      <c r="SWD70" s="2"/>
      <c r="SWE70" s="2"/>
      <c r="SWF70" s="2"/>
      <c r="SWG70" s="2"/>
      <c r="SWH70" s="2"/>
      <c r="SWI70" s="2"/>
      <c r="SWJ70" s="2"/>
      <c r="SWK70" s="2"/>
      <c r="SWL70" s="2"/>
      <c r="SWM70" s="2"/>
      <c r="SWN70" s="2"/>
      <c r="SWO70" s="2"/>
      <c r="SWP70" s="2"/>
      <c r="SWQ70" s="2"/>
      <c r="SWR70" s="2"/>
      <c r="SWS70" s="2"/>
      <c r="SWT70" s="2"/>
      <c r="SWU70" s="2"/>
      <c r="SWV70" s="2"/>
      <c r="SWW70" s="2"/>
      <c r="SWX70" s="2"/>
      <c r="SWY70" s="2"/>
      <c r="SWZ70" s="2"/>
      <c r="SXA70" s="2"/>
      <c r="SXB70" s="2"/>
      <c r="SXC70" s="2"/>
      <c r="SXD70" s="2"/>
      <c r="SXE70" s="2"/>
      <c r="SXF70" s="2"/>
      <c r="SXG70" s="2"/>
      <c r="SXH70" s="2"/>
      <c r="SXI70" s="2"/>
      <c r="SXJ70" s="2"/>
      <c r="SXK70" s="2"/>
      <c r="SXL70" s="2"/>
      <c r="SXM70" s="2"/>
      <c r="SXN70" s="2"/>
      <c r="SXO70" s="2"/>
      <c r="SXP70" s="2"/>
      <c r="SXQ70" s="2"/>
      <c r="SXR70" s="2"/>
      <c r="SXS70" s="2"/>
      <c r="SXT70" s="2"/>
      <c r="SXU70" s="2"/>
      <c r="SXV70" s="2"/>
      <c r="SXW70" s="2"/>
      <c r="SXX70" s="2"/>
      <c r="SXY70" s="2"/>
      <c r="SXZ70" s="2"/>
      <c r="SYA70" s="2"/>
      <c r="SYB70" s="2"/>
      <c r="SYC70" s="2"/>
      <c r="SYD70" s="2"/>
      <c r="SYE70" s="2"/>
      <c r="SYF70" s="2"/>
      <c r="SYG70" s="2"/>
      <c r="SYH70" s="2"/>
      <c r="SYI70" s="2"/>
      <c r="SYJ70" s="2"/>
      <c r="SYK70" s="2"/>
      <c r="SYL70" s="2"/>
      <c r="SYM70" s="2"/>
      <c r="SYN70" s="2"/>
      <c r="SYO70" s="2"/>
      <c r="SYP70" s="2"/>
      <c r="SYQ70" s="2"/>
      <c r="SYR70" s="2"/>
      <c r="SYS70" s="2"/>
      <c r="SYT70" s="2"/>
      <c r="SYU70" s="2"/>
      <c r="SYV70" s="2"/>
      <c r="SYW70" s="2"/>
      <c r="SYX70" s="2"/>
      <c r="SYY70" s="2"/>
      <c r="SYZ70" s="2"/>
      <c r="SZA70" s="2"/>
      <c r="SZB70" s="2"/>
      <c r="SZC70" s="2"/>
      <c r="SZD70" s="2"/>
      <c r="SZE70" s="2"/>
      <c r="SZF70" s="2"/>
      <c r="SZG70" s="2"/>
      <c r="SZH70" s="2"/>
      <c r="SZI70" s="2"/>
      <c r="SZJ70" s="2"/>
      <c r="SZK70" s="2"/>
      <c r="SZL70" s="2"/>
      <c r="SZM70" s="2"/>
      <c r="SZN70" s="2"/>
      <c r="SZO70" s="2"/>
      <c r="SZP70" s="2"/>
      <c r="SZQ70" s="2"/>
      <c r="SZR70" s="2"/>
      <c r="SZS70" s="2"/>
      <c r="SZT70" s="2"/>
      <c r="SZU70" s="2"/>
      <c r="SZV70" s="2"/>
      <c r="SZW70" s="2"/>
      <c r="SZX70" s="2"/>
      <c r="SZY70" s="2"/>
      <c r="SZZ70" s="2"/>
      <c r="TAA70" s="2"/>
      <c r="TAB70" s="2"/>
      <c r="TAC70" s="2"/>
      <c r="TAD70" s="2"/>
      <c r="TAE70" s="2"/>
      <c r="TAF70" s="2"/>
      <c r="TAG70" s="2"/>
      <c r="TAH70" s="2"/>
      <c r="TAI70" s="2"/>
      <c r="TAJ70" s="2"/>
      <c r="TAK70" s="2"/>
      <c r="TAL70" s="2"/>
      <c r="TAM70" s="2"/>
      <c r="TAN70" s="2"/>
      <c r="TAO70" s="2"/>
      <c r="TAP70" s="2"/>
      <c r="TAQ70" s="2"/>
      <c r="TAR70" s="2"/>
      <c r="TAS70" s="2"/>
      <c r="TAT70" s="2"/>
      <c r="TAU70" s="2"/>
      <c r="TAV70" s="2"/>
      <c r="TAW70" s="2"/>
      <c r="TAX70" s="2"/>
      <c r="TAY70" s="2"/>
      <c r="TAZ70" s="2"/>
      <c r="TBA70" s="2"/>
      <c r="TBB70" s="2"/>
      <c r="TBC70" s="2"/>
      <c r="TBD70" s="2"/>
      <c r="TBE70" s="2"/>
      <c r="TBF70" s="2"/>
      <c r="TBG70" s="2"/>
      <c r="TBH70" s="2"/>
      <c r="TBI70" s="2"/>
      <c r="TBJ70" s="2"/>
      <c r="TBK70" s="2"/>
      <c r="TBL70" s="2"/>
      <c r="TBM70" s="2"/>
      <c r="TBN70" s="2"/>
      <c r="TBO70" s="2"/>
      <c r="TBP70" s="2"/>
      <c r="TBQ70" s="2"/>
      <c r="TBR70" s="2"/>
      <c r="TBS70" s="2"/>
      <c r="TBT70" s="2"/>
      <c r="TBU70" s="2"/>
      <c r="TBV70" s="2"/>
      <c r="TBW70" s="2"/>
      <c r="TBX70" s="2"/>
      <c r="TBY70" s="2"/>
      <c r="TBZ70" s="2"/>
      <c r="TCA70" s="2"/>
      <c r="TCB70" s="2"/>
      <c r="TCC70" s="2"/>
      <c r="TCD70" s="2"/>
      <c r="TCE70" s="2"/>
      <c r="TCF70" s="2"/>
      <c r="TCG70" s="2"/>
      <c r="TCH70" s="2"/>
      <c r="TCI70" s="2"/>
      <c r="TCJ70" s="2"/>
      <c r="TCK70" s="2"/>
      <c r="TCL70" s="2"/>
      <c r="TCM70" s="2"/>
      <c r="TCN70" s="2"/>
      <c r="TCO70" s="2"/>
      <c r="TCP70" s="2"/>
      <c r="TCQ70" s="2"/>
      <c r="TCR70" s="2"/>
      <c r="TCS70" s="2"/>
      <c r="TCT70" s="2"/>
      <c r="TCU70" s="2"/>
      <c r="TCV70" s="2"/>
      <c r="TCW70" s="2"/>
      <c r="TCX70" s="2"/>
      <c r="TCY70" s="2"/>
      <c r="TCZ70" s="2"/>
      <c r="TDA70" s="2"/>
      <c r="TDB70" s="2"/>
      <c r="TDC70" s="2"/>
      <c r="TDD70" s="2"/>
      <c r="TDE70" s="2"/>
      <c r="TDF70" s="2"/>
      <c r="TDG70" s="2"/>
      <c r="TDH70" s="2"/>
      <c r="TDI70" s="2"/>
      <c r="TDJ70" s="2"/>
      <c r="TDK70" s="2"/>
      <c r="TDL70" s="2"/>
      <c r="TDM70" s="2"/>
      <c r="TDN70" s="2"/>
      <c r="TDO70" s="2"/>
      <c r="TDP70" s="2"/>
      <c r="TDQ70" s="2"/>
      <c r="TDR70" s="2"/>
      <c r="TDS70" s="2"/>
      <c r="TDT70" s="2"/>
      <c r="TDU70" s="2"/>
      <c r="TDV70" s="2"/>
      <c r="TDW70" s="2"/>
      <c r="TDX70" s="2"/>
      <c r="TDY70" s="2"/>
      <c r="TDZ70" s="2"/>
      <c r="TEA70" s="2"/>
      <c r="TEB70" s="2"/>
      <c r="TEC70" s="2"/>
      <c r="TED70" s="2"/>
      <c r="TEE70" s="2"/>
      <c r="TEF70" s="2"/>
      <c r="TEG70" s="2"/>
      <c r="TEH70" s="2"/>
      <c r="TEI70" s="2"/>
      <c r="TEJ70" s="2"/>
      <c r="TEK70" s="2"/>
      <c r="TEL70" s="2"/>
      <c r="TEM70" s="2"/>
      <c r="TEN70" s="2"/>
      <c r="TEO70" s="2"/>
      <c r="TEP70" s="2"/>
      <c r="TEQ70" s="2"/>
      <c r="TER70" s="2"/>
      <c r="TES70" s="2"/>
      <c r="TET70" s="2"/>
      <c r="TEU70" s="2"/>
      <c r="TEV70" s="2"/>
      <c r="TEW70" s="2"/>
      <c r="TEX70" s="2"/>
      <c r="TEY70" s="2"/>
      <c r="TEZ70" s="2"/>
      <c r="TFA70" s="2"/>
      <c r="TFB70" s="2"/>
      <c r="TFC70" s="2"/>
      <c r="TFD70" s="2"/>
      <c r="TFE70" s="2"/>
      <c r="TFF70" s="2"/>
      <c r="TFG70" s="2"/>
      <c r="TFH70" s="2"/>
      <c r="TFI70" s="2"/>
      <c r="TFJ70" s="2"/>
      <c r="TFK70" s="2"/>
      <c r="TFL70" s="2"/>
      <c r="TFM70" s="2"/>
      <c r="TFN70" s="2"/>
      <c r="TFO70" s="2"/>
      <c r="TFP70" s="2"/>
      <c r="TFQ70" s="2"/>
      <c r="TFR70" s="2"/>
      <c r="TFS70" s="2"/>
      <c r="TFT70" s="2"/>
      <c r="TFU70" s="2"/>
      <c r="TFV70" s="2"/>
      <c r="TFW70" s="2"/>
      <c r="TFX70" s="2"/>
      <c r="TFY70" s="2"/>
      <c r="TFZ70" s="2"/>
      <c r="TGA70" s="2"/>
      <c r="TGB70" s="2"/>
      <c r="TGC70" s="2"/>
      <c r="TGD70" s="2"/>
      <c r="TGE70" s="2"/>
      <c r="TGF70" s="2"/>
      <c r="TGG70" s="2"/>
      <c r="TGH70" s="2"/>
      <c r="TGI70" s="2"/>
      <c r="TGJ70" s="2"/>
      <c r="TGK70" s="2"/>
      <c r="TGL70" s="2"/>
      <c r="TGM70" s="2"/>
      <c r="TGN70" s="2"/>
      <c r="TGO70" s="2"/>
      <c r="TGP70" s="2"/>
      <c r="TGQ70" s="2"/>
      <c r="TGR70" s="2"/>
      <c r="TGS70" s="2"/>
      <c r="TGT70" s="2"/>
      <c r="TGU70" s="2"/>
      <c r="TGV70" s="2"/>
      <c r="TGW70" s="2"/>
      <c r="TGX70" s="2"/>
      <c r="TGY70" s="2"/>
      <c r="TGZ70" s="2"/>
      <c r="THA70" s="2"/>
      <c r="THB70" s="2"/>
      <c r="THC70" s="2"/>
      <c r="THD70" s="2"/>
      <c r="THE70" s="2"/>
      <c r="THF70" s="2"/>
      <c r="THG70" s="2"/>
      <c r="THH70" s="2"/>
      <c r="THI70" s="2"/>
      <c r="THJ70" s="2"/>
      <c r="THK70" s="2"/>
      <c r="THL70" s="2"/>
      <c r="THM70" s="2"/>
      <c r="THN70" s="2"/>
      <c r="THO70" s="2"/>
      <c r="THP70" s="2"/>
      <c r="THQ70" s="2"/>
      <c r="THR70" s="2"/>
      <c r="THS70" s="2"/>
      <c r="THT70" s="2"/>
      <c r="THU70" s="2"/>
      <c r="THV70" s="2"/>
      <c r="THW70" s="2"/>
      <c r="THX70" s="2"/>
      <c r="THY70" s="2"/>
      <c r="THZ70" s="2"/>
      <c r="TIA70" s="2"/>
      <c r="TIB70" s="2"/>
      <c r="TIC70" s="2"/>
      <c r="TID70" s="2"/>
      <c r="TIE70" s="2"/>
      <c r="TIF70" s="2"/>
      <c r="TIG70" s="2"/>
      <c r="TIH70" s="2"/>
      <c r="TII70" s="2"/>
      <c r="TIJ70" s="2"/>
      <c r="TIK70" s="2"/>
      <c r="TIL70" s="2"/>
      <c r="TIM70" s="2"/>
      <c r="TIN70" s="2"/>
      <c r="TIO70" s="2"/>
      <c r="TIP70" s="2"/>
      <c r="TIQ70" s="2"/>
      <c r="TIR70" s="2"/>
      <c r="TIS70" s="2"/>
      <c r="TIT70" s="2"/>
      <c r="TIU70" s="2"/>
      <c r="TIV70" s="2"/>
      <c r="TIW70" s="2"/>
      <c r="TIX70" s="2"/>
      <c r="TIY70" s="2"/>
      <c r="TIZ70" s="2"/>
      <c r="TJA70" s="2"/>
      <c r="TJB70" s="2"/>
      <c r="TJC70" s="2"/>
      <c r="TJD70" s="2"/>
      <c r="TJE70" s="2"/>
      <c r="TJF70" s="2"/>
      <c r="TJG70" s="2"/>
      <c r="TJH70" s="2"/>
      <c r="TJI70" s="2"/>
      <c r="TJJ70" s="2"/>
      <c r="TJK70" s="2"/>
      <c r="TJL70" s="2"/>
      <c r="TJM70" s="2"/>
      <c r="TJN70" s="2"/>
      <c r="TJO70" s="2"/>
      <c r="TJP70" s="2"/>
      <c r="TJQ70" s="2"/>
      <c r="TJR70" s="2"/>
      <c r="TJS70" s="2"/>
      <c r="TJT70" s="2"/>
      <c r="TJU70" s="2"/>
      <c r="TJV70" s="2"/>
      <c r="TJW70" s="2"/>
      <c r="TJX70" s="2"/>
      <c r="TJY70" s="2"/>
      <c r="TJZ70" s="2"/>
      <c r="TKA70" s="2"/>
      <c r="TKB70" s="2"/>
      <c r="TKC70" s="2"/>
      <c r="TKD70" s="2"/>
      <c r="TKE70" s="2"/>
      <c r="TKF70" s="2"/>
      <c r="TKG70" s="2"/>
      <c r="TKH70" s="2"/>
      <c r="TKI70" s="2"/>
      <c r="TKJ70" s="2"/>
      <c r="TKK70" s="2"/>
      <c r="TKL70" s="2"/>
      <c r="TKM70" s="2"/>
      <c r="TKN70" s="2"/>
      <c r="TKO70" s="2"/>
      <c r="TKP70" s="2"/>
      <c r="TKQ70" s="2"/>
      <c r="TKR70" s="2"/>
      <c r="TKS70" s="2"/>
      <c r="TKT70" s="2"/>
      <c r="TKU70" s="2"/>
      <c r="TKV70" s="2"/>
      <c r="TKW70" s="2"/>
      <c r="TKX70" s="2"/>
      <c r="TKY70" s="2"/>
      <c r="TKZ70" s="2"/>
      <c r="TLA70" s="2"/>
      <c r="TLB70" s="2"/>
      <c r="TLC70" s="2"/>
      <c r="TLD70" s="2"/>
      <c r="TLE70" s="2"/>
      <c r="TLF70" s="2"/>
      <c r="TLG70" s="2"/>
      <c r="TLH70" s="2"/>
      <c r="TLI70" s="2"/>
      <c r="TLJ70" s="2"/>
      <c r="TLK70" s="2"/>
      <c r="TLL70" s="2"/>
      <c r="TLM70" s="2"/>
      <c r="TLN70" s="2"/>
      <c r="TLO70" s="2"/>
      <c r="TLP70" s="2"/>
      <c r="TLQ70" s="2"/>
      <c r="TLR70" s="2"/>
      <c r="TLS70" s="2"/>
      <c r="TLT70" s="2"/>
      <c r="TLU70" s="2"/>
      <c r="TLV70" s="2"/>
      <c r="TLW70" s="2"/>
      <c r="TLX70" s="2"/>
      <c r="TLY70" s="2"/>
      <c r="TLZ70" s="2"/>
      <c r="TMA70" s="2"/>
      <c r="TMB70" s="2"/>
      <c r="TMC70" s="2"/>
      <c r="TMD70" s="2"/>
      <c r="TME70" s="2"/>
      <c r="TMF70" s="2"/>
      <c r="TMG70" s="2"/>
      <c r="TMH70" s="2"/>
      <c r="TMI70" s="2"/>
      <c r="TMJ70" s="2"/>
      <c r="TMK70" s="2"/>
      <c r="TML70" s="2"/>
      <c r="TMM70" s="2"/>
      <c r="TMN70" s="2"/>
      <c r="TMO70" s="2"/>
      <c r="TMP70" s="2"/>
      <c r="TMQ70" s="2"/>
      <c r="TMR70" s="2"/>
      <c r="TMS70" s="2"/>
      <c r="TMT70" s="2"/>
      <c r="TMU70" s="2"/>
      <c r="TMV70" s="2"/>
      <c r="TMW70" s="2"/>
      <c r="TMX70" s="2"/>
      <c r="TMY70" s="2"/>
      <c r="TMZ70" s="2"/>
      <c r="TNA70" s="2"/>
      <c r="TNB70" s="2"/>
      <c r="TNC70" s="2"/>
      <c r="TND70" s="2"/>
      <c r="TNE70" s="2"/>
      <c r="TNF70" s="2"/>
      <c r="TNG70" s="2"/>
      <c r="TNH70" s="2"/>
      <c r="TNI70" s="2"/>
      <c r="TNJ70" s="2"/>
      <c r="TNK70" s="2"/>
      <c r="TNL70" s="2"/>
      <c r="TNM70" s="2"/>
      <c r="TNN70" s="2"/>
      <c r="TNO70" s="2"/>
      <c r="TNP70" s="2"/>
      <c r="TNQ70" s="2"/>
      <c r="TNR70" s="2"/>
      <c r="TNS70" s="2"/>
      <c r="TNT70" s="2"/>
      <c r="TNU70" s="2"/>
      <c r="TNV70" s="2"/>
      <c r="TNW70" s="2"/>
      <c r="TNX70" s="2"/>
      <c r="TNY70" s="2"/>
      <c r="TNZ70" s="2"/>
      <c r="TOA70" s="2"/>
      <c r="TOB70" s="2"/>
      <c r="TOC70" s="2"/>
      <c r="TOD70" s="2"/>
      <c r="TOE70" s="2"/>
      <c r="TOF70" s="2"/>
      <c r="TOG70" s="2"/>
      <c r="TOH70" s="2"/>
      <c r="TOI70" s="2"/>
      <c r="TOJ70" s="2"/>
      <c r="TOK70" s="2"/>
      <c r="TOL70" s="2"/>
      <c r="TOM70" s="2"/>
      <c r="TON70" s="2"/>
      <c r="TOO70" s="2"/>
      <c r="TOP70" s="2"/>
      <c r="TOQ70" s="2"/>
      <c r="TOR70" s="2"/>
      <c r="TOS70" s="2"/>
      <c r="TOT70" s="2"/>
      <c r="TOU70" s="2"/>
      <c r="TOV70" s="2"/>
      <c r="TOW70" s="2"/>
      <c r="TOX70" s="2"/>
      <c r="TOY70" s="2"/>
      <c r="TOZ70" s="2"/>
      <c r="TPA70" s="2"/>
      <c r="TPB70" s="2"/>
      <c r="TPC70" s="2"/>
      <c r="TPD70" s="2"/>
      <c r="TPE70" s="2"/>
      <c r="TPF70" s="2"/>
      <c r="TPG70" s="2"/>
      <c r="TPH70" s="2"/>
      <c r="TPI70" s="2"/>
      <c r="TPJ70" s="2"/>
      <c r="TPK70" s="2"/>
      <c r="TPL70" s="2"/>
      <c r="TPM70" s="2"/>
      <c r="TPN70" s="2"/>
      <c r="TPO70" s="2"/>
      <c r="TPP70" s="2"/>
      <c r="TPQ70" s="2"/>
      <c r="TPR70" s="2"/>
      <c r="TPS70" s="2"/>
      <c r="TPT70" s="2"/>
      <c r="TPU70" s="2"/>
      <c r="TPV70" s="2"/>
      <c r="TPW70" s="2"/>
      <c r="TPX70" s="2"/>
      <c r="TPY70" s="2"/>
      <c r="TPZ70" s="2"/>
      <c r="TQA70" s="2"/>
      <c r="TQB70" s="2"/>
      <c r="TQC70" s="2"/>
      <c r="TQD70" s="2"/>
      <c r="TQE70" s="2"/>
      <c r="TQF70" s="2"/>
      <c r="TQG70" s="2"/>
      <c r="TQH70" s="2"/>
      <c r="TQI70" s="2"/>
      <c r="TQJ70" s="2"/>
      <c r="TQK70" s="2"/>
      <c r="TQL70" s="2"/>
      <c r="TQM70" s="2"/>
      <c r="TQN70" s="2"/>
      <c r="TQO70" s="2"/>
      <c r="TQP70" s="2"/>
      <c r="TQQ70" s="2"/>
      <c r="TQR70" s="2"/>
      <c r="TQS70" s="2"/>
      <c r="TQT70" s="2"/>
      <c r="TQU70" s="2"/>
      <c r="TQV70" s="2"/>
      <c r="TQW70" s="2"/>
      <c r="TQX70" s="2"/>
      <c r="TQY70" s="2"/>
      <c r="TQZ70" s="2"/>
      <c r="TRA70" s="2"/>
      <c r="TRB70" s="2"/>
      <c r="TRC70" s="2"/>
      <c r="TRD70" s="2"/>
      <c r="TRE70" s="2"/>
      <c r="TRF70" s="2"/>
      <c r="TRG70" s="2"/>
      <c r="TRH70" s="2"/>
      <c r="TRI70" s="2"/>
      <c r="TRJ70" s="2"/>
      <c r="TRK70" s="2"/>
      <c r="TRL70" s="2"/>
      <c r="TRM70" s="2"/>
      <c r="TRN70" s="2"/>
      <c r="TRO70" s="2"/>
      <c r="TRP70" s="2"/>
      <c r="TRQ70" s="2"/>
      <c r="TRR70" s="2"/>
      <c r="TRS70" s="2"/>
      <c r="TRT70" s="2"/>
      <c r="TRU70" s="2"/>
      <c r="TRV70" s="2"/>
      <c r="TRW70" s="2"/>
      <c r="TRX70" s="2"/>
      <c r="TRY70" s="2"/>
      <c r="TRZ70" s="2"/>
      <c r="TSA70" s="2"/>
      <c r="TSB70" s="2"/>
      <c r="TSC70" s="2"/>
      <c r="TSD70" s="2"/>
      <c r="TSE70" s="2"/>
      <c r="TSF70" s="2"/>
      <c r="TSG70" s="2"/>
      <c r="TSH70" s="2"/>
      <c r="TSI70" s="2"/>
      <c r="TSJ70" s="2"/>
      <c r="TSK70" s="2"/>
      <c r="TSL70" s="2"/>
      <c r="TSM70" s="2"/>
      <c r="TSN70" s="2"/>
      <c r="TSO70" s="2"/>
      <c r="TSP70" s="2"/>
      <c r="TSQ70" s="2"/>
      <c r="TSR70" s="2"/>
      <c r="TSS70" s="2"/>
      <c r="TST70" s="2"/>
      <c r="TSU70" s="2"/>
      <c r="TSV70" s="2"/>
      <c r="TSW70" s="2"/>
      <c r="TSX70" s="2"/>
      <c r="TSY70" s="2"/>
      <c r="TSZ70" s="2"/>
      <c r="TTA70" s="2"/>
      <c r="TTB70" s="2"/>
      <c r="TTC70" s="2"/>
      <c r="TTD70" s="2"/>
      <c r="TTE70" s="2"/>
      <c r="TTF70" s="2"/>
      <c r="TTG70" s="2"/>
      <c r="TTH70" s="2"/>
      <c r="TTI70" s="2"/>
      <c r="TTJ70" s="2"/>
      <c r="TTK70" s="2"/>
      <c r="TTL70" s="2"/>
      <c r="TTM70" s="2"/>
      <c r="TTN70" s="2"/>
      <c r="TTO70" s="2"/>
      <c r="TTP70" s="2"/>
      <c r="TTQ70" s="2"/>
      <c r="TTR70" s="2"/>
      <c r="TTS70" s="2"/>
      <c r="TTT70" s="2"/>
      <c r="TTU70" s="2"/>
      <c r="TTV70" s="2"/>
      <c r="TTW70" s="2"/>
      <c r="TTX70" s="2"/>
      <c r="TTY70" s="2"/>
      <c r="TTZ70" s="2"/>
      <c r="TUA70" s="2"/>
      <c r="TUB70" s="2"/>
      <c r="TUC70" s="2"/>
      <c r="TUD70" s="2"/>
      <c r="TUE70" s="2"/>
      <c r="TUF70" s="2"/>
      <c r="TUG70" s="2"/>
      <c r="TUH70" s="2"/>
      <c r="TUI70" s="2"/>
      <c r="TUJ70" s="2"/>
      <c r="TUK70" s="2"/>
      <c r="TUL70" s="2"/>
      <c r="TUM70" s="2"/>
      <c r="TUN70" s="2"/>
      <c r="TUO70" s="2"/>
      <c r="TUP70" s="2"/>
      <c r="TUQ70" s="2"/>
      <c r="TUR70" s="2"/>
      <c r="TUS70" s="2"/>
      <c r="TUT70" s="2"/>
      <c r="TUU70" s="2"/>
      <c r="TUV70" s="2"/>
      <c r="TUW70" s="2"/>
      <c r="TUX70" s="2"/>
      <c r="TUY70" s="2"/>
      <c r="TUZ70" s="2"/>
      <c r="TVA70" s="2"/>
      <c r="TVB70" s="2"/>
      <c r="TVC70" s="2"/>
      <c r="TVD70" s="2"/>
      <c r="TVE70" s="2"/>
      <c r="TVF70" s="2"/>
      <c r="TVG70" s="2"/>
      <c r="TVH70" s="2"/>
      <c r="TVI70" s="2"/>
      <c r="TVJ70" s="2"/>
      <c r="TVK70" s="2"/>
      <c r="TVL70" s="2"/>
      <c r="TVM70" s="2"/>
      <c r="TVN70" s="2"/>
      <c r="TVO70" s="2"/>
      <c r="TVP70" s="2"/>
      <c r="TVQ70" s="2"/>
      <c r="TVR70" s="2"/>
      <c r="TVS70" s="2"/>
      <c r="TVT70" s="2"/>
      <c r="TVU70" s="2"/>
      <c r="TVV70" s="2"/>
      <c r="TVW70" s="2"/>
      <c r="TVX70" s="2"/>
      <c r="TVY70" s="2"/>
      <c r="TVZ70" s="2"/>
      <c r="TWA70" s="2"/>
      <c r="TWB70" s="2"/>
      <c r="TWC70" s="2"/>
      <c r="TWD70" s="2"/>
      <c r="TWE70" s="2"/>
      <c r="TWF70" s="2"/>
      <c r="TWG70" s="2"/>
      <c r="TWH70" s="2"/>
      <c r="TWI70" s="2"/>
      <c r="TWJ70" s="2"/>
      <c r="TWK70" s="2"/>
      <c r="TWL70" s="2"/>
      <c r="TWM70" s="2"/>
      <c r="TWN70" s="2"/>
      <c r="TWO70" s="2"/>
      <c r="TWP70" s="2"/>
      <c r="TWQ70" s="2"/>
      <c r="TWR70" s="2"/>
      <c r="TWS70" s="2"/>
      <c r="TWT70" s="2"/>
      <c r="TWU70" s="2"/>
      <c r="TWV70" s="2"/>
      <c r="TWW70" s="2"/>
      <c r="TWX70" s="2"/>
      <c r="TWY70" s="2"/>
      <c r="TWZ70" s="2"/>
      <c r="TXA70" s="2"/>
      <c r="TXB70" s="2"/>
      <c r="TXC70" s="2"/>
      <c r="TXD70" s="2"/>
      <c r="TXE70" s="2"/>
      <c r="TXF70" s="2"/>
      <c r="TXG70" s="2"/>
      <c r="TXH70" s="2"/>
      <c r="TXI70" s="2"/>
      <c r="TXJ70" s="2"/>
      <c r="TXK70" s="2"/>
      <c r="TXL70" s="2"/>
      <c r="TXM70" s="2"/>
      <c r="TXN70" s="2"/>
      <c r="TXO70" s="2"/>
      <c r="TXP70" s="2"/>
      <c r="TXQ70" s="2"/>
      <c r="TXR70" s="2"/>
      <c r="TXS70" s="2"/>
      <c r="TXT70" s="2"/>
      <c r="TXU70" s="2"/>
      <c r="TXV70" s="2"/>
      <c r="TXW70" s="2"/>
      <c r="TXX70" s="2"/>
      <c r="TXY70" s="2"/>
      <c r="TXZ70" s="2"/>
      <c r="TYA70" s="2"/>
      <c r="TYB70" s="2"/>
      <c r="TYC70" s="2"/>
      <c r="TYD70" s="2"/>
      <c r="TYE70" s="2"/>
      <c r="TYF70" s="2"/>
      <c r="TYG70" s="2"/>
      <c r="TYH70" s="2"/>
      <c r="TYI70" s="2"/>
      <c r="TYJ70" s="2"/>
      <c r="TYK70" s="2"/>
      <c r="TYL70" s="2"/>
      <c r="TYM70" s="2"/>
      <c r="TYN70" s="2"/>
      <c r="TYO70" s="2"/>
      <c r="TYP70" s="2"/>
      <c r="TYQ70" s="2"/>
      <c r="TYR70" s="2"/>
      <c r="TYS70" s="2"/>
      <c r="TYT70" s="2"/>
      <c r="TYU70" s="2"/>
      <c r="TYV70" s="2"/>
      <c r="TYW70" s="2"/>
      <c r="TYX70" s="2"/>
      <c r="TYY70" s="2"/>
      <c r="TYZ70" s="2"/>
      <c r="TZA70" s="2"/>
      <c r="TZB70" s="2"/>
      <c r="TZC70" s="2"/>
      <c r="TZD70" s="2"/>
      <c r="TZE70" s="2"/>
      <c r="TZF70" s="2"/>
      <c r="TZG70" s="2"/>
      <c r="TZH70" s="2"/>
      <c r="TZI70" s="2"/>
      <c r="TZJ70" s="2"/>
      <c r="TZK70" s="2"/>
      <c r="TZL70" s="2"/>
      <c r="TZM70" s="2"/>
      <c r="TZN70" s="2"/>
      <c r="TZO70" s="2"/>
      <c r="TZP70" s="2"/>
      <c r="TZQ70" s="2"/>
      <c r="TZR70" s="2"/>
      <c r="TZS70" s="2"/>
      <c r="TZT70" s="2"/>
      <c r="TZU70" s="2"/>
      <c r="TZV70" s="2"/>
      <c r="TZW70" s="2"/>
      <c r="TZX70" s="2"/>
      <c r="TZY70" s="2"/>
      <c r="TZZ70" s="2"/>
      <c r="UAA70" s="2"/>
      <c r="UAB70" s="2"/>
      <c r="UAC70" s="2"/>
      <c r="UAD70" s="2"/>
      <c r="UAE70" s="2"/>
      <c r="UAF70" s="2"/>
      <c r="UAG70" s="2"/>
      <c r="UAH70" s="2"/>
      <c r="UAI70" s="2"/>
      <c r="UAJ70" s="2"/>
      <c r="UAK70" s="2"/>
      <c r="UAL70" s="2"/>
      <c r="UAM70" s="2"/>
      <c r="UAN70" s="2"/>
      <c r="UAO70" s="2"/>
      <c r="UAP70" s="2"/>
      <c r="UAQ70" s="2"/>
      <c r="UAR70" s="2"/>
      <c r="UAS70" s="2"/>
      <c r="UAT70" s="2"/>
      <c r="UAU70" s="2"/>
      <c r="UAV70" s="2"/>
      <c r="UAW70" s="2"/>
      <c r="UAX70" s="2"/>
      <c r="UAY70" s="2"/>
      <c r="UAZ70" s="2"/>
      <c r="UBA70" s="2"/>
      <c r="UBB70" s="2"/>
      <c r="UBC70" s="2"/>
      <c r="UBD70" s="2"/>
      <c r="UBE70" s="2"/>
      <c r="UBF70" s="2"/>
      <c r="UBG70" s="2"/>
      <c r="UBH70" s="2"/>
      <c r="UBI70" s="2"/>
      <c r="UBJ70" s="2"/>
      <c r="UBK70" s="2"/>
      <c r="UBL70" s="2"/>
      <c r="UBM70" s="2"/>
      <c r="UBN70" s="2"/>
      <c r="UBO70" s="2"/>
      <c r="UBP70" s="2"/>
      <c r="UBQ70" s="2"/>
      <c r="UBR70" s="2"/>
      <c r="UBS70" s="2"/>
      <c r="UBT70" s="2"/>
      <c r="UBU70" s="2"/>
      <c r="UBV70" s="2"/>
      <c r="UBW70" s="2"/>
      <c r="UBX70" s="2"/>
      <c r="UBY70" s="2"/>
      <c r="UBZ70" s="2"/>
      <c r="UCA70" s="2"/>
      <c r="UCB70" s="2"/>
      <c r="UCC70" s="2"/>
      <c r="UCD70" s="2"/>
      <c r="UCE70" s="2"/>
      <c r="UCF70" s="2"/>
      <c r="UCG70" s="2"/>
      <c r="UCH70" s="2"/>
      <c r="UCI70" s="2"/>
      <c r="UCJ70" s="2"/>
      <c r="UCK70" s="2"/>
      <c r="UCL70" s="2"/>
      <c r="UCM70" s="2"/>
      <c r="UCN70" s="2"/>
      <c r="UCO70" s="2"/>
      <c r="UCP70" s="2"/>
      <c r="UCQ70" s="2"/>
      <c r="UCR70" s="2"/>
      <c r="UCS70" s="2"/>
      <c r="UCT70" s="2"/>
      <c r="UCU70" s="2"/>
      <c r="UCV70" s="2"/>
      <c r="UCW70" s="2"/>
      <c r="UCX70" s="2"/>
      <c r="UCY70" s="2"/>
      <c r="UCZ70" s="2"/>
      <c r="UDA70" s="2"/>
      <c r="UDB70" s="2"/>
      <c r="UDC70" s="2"/>
      <c r="UDD70" s="2"/>
      <c r="UDE70" s="2"/>
      <c r="UDF70" s="2"/>
      <c r="UDG70" s="2"/>
      <c r="UDH70" s="2"/>
      <c r="UDI70" s="2"/>
      <c r="UDJ70" s="2"/>
      <c r="UDK70" s="2"/>
      <c r="UDL70" s="2"/>
      <c r="UDM70" s="2"/>
      <c r="UDN70" s="2"/>
      <c r="UDO70" s="2"/>
      <c r="UDP70" s="2"/>
      <c r="UDQ70" s="2"/>
      <c r="UDR70" s="2"/>
      <c r="UDS70" s="2"/>
      <c r="UDT70" s="2"/>
      <c r="UDU70" s="2"/>
      <c r="UDV70" s="2"/>
      <c r="UDW70" s="2"/>
      <c r="UDX70" s="2"/>
      <c r="UDY70" s="2"/>
      <c r="UDZ70" s="2"/>
      <c r="UEA70" s="2"/>
      <c r="UEB70" s="2"/>
      <c r="UEC70" s="2"/>
      <c r="UED70" s="2"/>
      <c r="UEE70" s="2"/>
      <c r="UEF70" s="2"/>
      <c r="UEG70" s="2"/>
      <c r="UEH70" s="2"/>
      <c r="UEI70" s="2"/>
      <c r="UEJ70" s="2"/>
      <c r="UEK70" s="2"/>
      <c r="UEL70" s="2"/>
      <c r="UEM70" s="2"/>
      <c r="UEN70" s="2"/>
      <c r="UEO70" s="2"/>
      <c r="UEP70" s="2"/>
      <c r="UEQ70" s="2"/>
      <c r="UER70" s="2"/>
      <c r="UES70" s="2"/>
      <c r="UET70" s="2"/>
      <c r="UEU70" s="2"/>
      <c r="UEV70" s="2"/>
      <c r="UEW70" s="2"/>
      <c r="UEX70" s="2"/>
      <c r="UEY70" s="2"/>
      <c r="UEZ70" s="2"/>
      <c r="UFA70" s="2"/>
      <c r="UFB70" s="2"/>
      <c r="UFC70" s="2"/>
      <c r="UFD70" s="2"/>
      <c r="UFE70" s="2"/>
      <c r="UFF70" s="2"/>
      <c r="UFG70" s="2"/>
      <c r="UFH70" s="2"/>
      <c r="UFI70" s="2"/>
      <c r="UFJ70" s="2"/>
      <c r="UFK70" s="2"/>
      <c r="UFL70" s="2"/>
      <c r="UFM70" s="2"/>
      <c r="UFN70" s="2"/>
      <c r="UFO70" s="2"/>
      <c r="UFP70" s="2"/>
      <c r="UFQ70" s="2"/>
      <c r="UFR70" s="2"/>
      <c r="UFS70" s="2"/>
      <c r="UFT70" s="2"/>
      <c r="UFU70" s="2"/>
      <c r="UFV70" s="2"/>
      <c r="UFW70" s="2"/>
      <c r="UFX70" s="2"/>
      <c r="UFY70" s="2"/>
      <c r="UFZ70" s="2"/>
      <c r="UGA70" s="2"/>
      <c r="UGB70" s="2"/>
      <c r="UGC70" s="2"/>
      <c r="UGD70" s="2"/>
      <c r="UGE70" s="2"/>
      <c r="UGF70" s="2"/>
      <c r="UGG70" s="2"/>
      <c r="UGH70" s="2"/>
      <c r="UGI70" s="2"/>
      <c r="UGJ70" s="2"/>
      <c r="UGK70" s="2"/>
      <c r="UGL70" s="2"/>
      <c r="UGM70" s="2"/>
      <c r="UGN70" s="2"/>
      <c r="UGO70" s="2"/>
      <c r="UGP70" s="2"/>
      <c r="UGQ70" s="2"/>
      <c r="UGR70" s="2"/>
      <c r="UGS70" s="2"/>
      <c r="UGT70" s="2"/>
      <c r="UGU70" s="2"/>
      <c r="UGV70" s="2"/>
      <c r="UGW70" s="2"/>
      <c r="UGX70" s="2"/>
      <c r="UGY70" s="2"/>
      <c r="UGZ70" s="2"/>
      <c r="UHA70" s="2"/>
      <c r="UHB70" s="2"/>
      <c r="UHC70" s="2"/>
      <c r="UHD70" s="2"/>
      <c r="UHE70" s="2"/>
      <c r="UHF70" s="2"/>
      <c r="UHG70" s="2"/>
      <c r="UHH70" s="2"/>
      <c r="UHI70" s="2"/>
      <c r="UHJ70" s="2"/>
      <c r="UHK70" s="2"/>
      <c r="UHL70" s="2"/>
      <c r="UHM70" s="2"/>
      <c r="UHN70" s="2"/>
      <c r="UHO70" s="2"/>
      <c r="UHP70" s="2"/>
      <c r="UHQ70" s="2"/>
      <c r="UHR70" s="2"/>
      <c r="UHS70" s="2"/>
      <c r="UHT70" s="2"/>
      <c r="UHU70" s="2"/>
      <c r="UHV70" s="2"/>
      <c r="UHW70" s="2"/>
      <c r="UHX70" s="2"/>
      <c r="UHY70" s="2"/>
      <c r="UHZ70" s="2"/>
      <c r="UIA70" s="2"/>
      <c r="UIB70" s="2"/>
      <c r="UIC70" s="2"/>
      <c r="UID70" s="2"/>
      <c r="UIE70" s="2"/>
      <c r="UIF70" s="2"/>
      <c r="UIG70" s="2"/>
      <c r="UIH70" s="2"/>
      <c r="UII70" s="2"/>
      <c r="UIJ70" s="2"/>
      <c r="UIK70" s="2"/>
      <c r="UIL70" s="2"/>
      <c r="UIM70" s="2"/>
      <c r="UIN70" s="2"/>
      <c r="UIO70" s="2"/>
      <c r="UIP70" s="2"/>
      <c r="UIQ70" s="2"/>
      <c r="UIR70" s="2"/>
      <c r="UIS70" s="2"/>
      <c r="UIT70" s="2"/>
      <c r="UIU70" s="2"/>
      <c r="UIV70" s="2"/>
      <c r="UIW70" s="2"/>
      <c r="UIX70" s="2"/>
      <c r="UIY70" s="2"/>
      <c r="UIZ70" s="2"/>
      <c r="UJA70" s="2"/>
      <c r="UJB70" s="2"/>
      <c r="UJC70" s="2"/>
      <c r="UJD70" s="2"/>
      <c r="UJE70" s="2"/>
      <c r="UJF70" s="2"/>
      <c r="UJG70" s="2"/>
      <c r="UJH70" s="2"/>
      <c r="UJI70" s="2"/>
      <c r="UJJ70" s="2"/>
      <c r="UJK70" s="2"/>
      <c r="UJL70" s="2"/>
      <c r="UJM70" s="2"/>
      <c r="UJN70" s="2"/>
      <c r="UJO70" s="2"/>
      <c r="UJP70" s="2"/>
      <c r="UJQ70" s="2"/>
      <c r="UJR70" s="2"/>
      <c r="UJS70" s="2"/>
      <c r="UJT70" s="2"/>
      <c r="UJU70" s="2"/>
      <c r="UJV70" s="2"/>
      <c r="UJW70" s="2"/>
      <c r="UJX70" s="2"/>
      <c r="UJY70" s="2"/>
      <c r="UJZ70" s="2"/>
      <c r="UKA70" s="2"/>
      <c r="UKB70" s="2"/>
      <c r="UKC70" s="2"/>
      <c r="UKD70" s="2"/>
      <c r="UKE70" s="2"/>
      <c r="UKF70" s="2"/>
      <c r="UKG70" s="2"/>
      <c r="UKH70" s="2"/>
      <c r="UKI70" s="2"/>
      <c r="UKJ70" s="2"/>
      <c r="UKK70" s="2"/>
      <c r="UKL70" s="2"/>
      <c r="UKM70" s="2"/>
      <c r="UKN70" s="2"/>
      <c r="UKO70" s="2"/>
      <c r="UKP70" s="2"/>
      <c r="UKQ70" s="2"/>
      <c r="UKR70" s="2"/>
      <c r="UKS70" s="2"/>
      <c r="UKT70" s="2"/>
      <c r="UKU70" s="2"/>
      <c r="UKV70" s="2"/>
      <c r="UKW70" s="2"/>
      <c r="UKX70" s="2"/>
      <c r="UKY70" s="2"/>
      <c r="UKZ70" s="2"/>
      <c r="ULA70" s="2"/>
      <c r="ULB70" s="2"/>
      <c r="ULC70" s="2"/>
      <c r="ULD70" s="2"/>
      <c r="ULE70" s="2"/>
      <c r="ULF70" s="2"/>
      <c r="ULG70" s="2"/>
      <c r="ULH70" s="2"/>
      <c r="ULI70" s="2"/>
      <c r="ULJ70" s="2"/>
      <c r="ULK70" s="2"/>
      <c r="ULL70" s="2"/>
      <c r="ULM70" s="2"/>
      <c r="ULN70" s="2"/>
      <c r="ULO70" s="2"/>
      <c r="ULP70" s="2"/>
      <c r="ULQ70" s="2"/>
      <c r="ULR70" s="2"/>
      <c r="ULS70" s="2"/>
      <c r="ULT70" s="2"/>
      <c r="ULU70" s="2"/>
      <c r="ULV70" s="2"/>
      <c r="ULW70" s="2"/>
      <c r="ULX70" s="2"/>
      <c r="ULY70" s="2"/>
      <c r="ULZ70" s="2"/>
      <c r="UMA70" s="2"/>
      <c r="UMB70" s="2"/>
      <c r="UMC70" s="2"/>
      <c r="UMD70" s="2"/>
      <c r="UME70" s="2"/>
      <c r="UMF70" s="2"/>
      <c r="UMG70" s="2"/>
      <c r="UMH70" s="2"/>
      <c r="UMI70" s="2"/>
      <c r="UMJ70" s="2"/>
      <c r="UMK70" s="2"/>
      <c r="UML70" s="2"/>
      <c r="UMM70" s="2"/>
      <c r="UMN70" s="2"/>
      <c r="UMO70" s="2"/>
      <c r="UMP70" s="2"/>
      <c r="UMQ70" s="2"/>
      <c r="UMR70" s="2"/>
      <c r="UMS70" s="2"/>
      <c r="UMT70" s="2"/>
      <c r="UMU70" s="2"/>
      <c r="UMV70" s="2"/>
      <c r="UMW70" s="2"/>
      <c r="UMX70" s="2"/>
      <c r="UMY70" s="2"/>
      <c r="UMZ70" s="2"/>
      <c r="UNA70" s="2"/>
      <c r="UNB70" s="2"/>
      <c r="UNC70" s="2"/>
      <c r="UND70" s="2"/>
      <c r="UNE70" s="2"/>
      <c r="UNF70" s="2"/>
      <c r="UNG70" s="2"/>
      <c r="UNH70" s="2"/>
      <c r="UNI70" s="2"/>
      <c r="UNJ70" s="2"/>
      <c r="UNK70" s="2"/>
      <c r="UNL70" s="2"/>
      <c r="UNM70" s="2"/>
      <c r="UNN70" s="2"/>
      <c r="UNO70" s="2"/>
      <c r="UNP70" s="2"/>
      <c r="UNQ70" s="2"/>
      <c r="UNR70" s="2"/>
      <c r="UNS70" s="2"/>
      <c r="UNT70" s="2"/>
      <c r="UNU70" s="2"/>
      <c r="UNV70" s="2"/>
      <c r="UNW70" s="2"/>
      <c r="UNX70" s="2"/>
      <c r="UNY70" s="2"/>
      <c r="UNZ70" s="2"/>
      <c r="UOA70" s="2"/>
      <c r="UOB70" s="2"/>
      <c r="UOC70" s="2"/>
      <c r="UOD70" s="2"/>
      <c r="UOE70" s="2"/>
      <c r="UOF70" s="2"/>
      <c r="UOG70" s="2"/>
      <c r="UOH70" s="2"/>
      <c r="UOI70" s="2"/>
      <c r="UOJ70" s="2"/>
      <c r="UOK70" s="2"/>
      <c r="UOL70" s="2"/>
      <c r="UOM70" s="2"/>
      <c r="UON70" s="2"/>
      <c r="UOO70" s="2"/>
      <c r="UOP70" s="2"/>
      <c r="UOQ70" s="2"/>
      <c r="UOR70" s="2"/>
      <c r="UOS70" s="2"/>
      <c r="UOT70" s="2"/>
      <c r="UOU70" s="2"/>
      <c r="UOV70" s="2"/>
      <c r="UOW70" s="2"/>
      <c r="UOX70" s="2"/>
      <c r="UOY70" s="2"/>
      <c r="UOZ70" s="2"/>
      <c r="UPA70" s="2"/>
      <c r="UPB70" s="2"/>
      <c r="UPC70" s="2"/>
      <c r="UPD70" s="2"/>
      <c r="UPE70" s="2"/>
      <c r="UPF70" s="2"/>
      <c r="UPG70" s="2"/>
      <c r="UPH70" s="2"/>
      <c r="UPI70" s="2"/>
      <c r="UPJ70" s="2"/>
      <c r="UPK70" s="2"/>
      <c r="UPL70" s="2"/>
      <c r="UPM70" s="2"/>
      <c r="UPN70" s="2"/>
      <c r="UPO70" s="2"/>
      <c r="UPP70" s="2"/>
      <c r="UPQ70" s="2"/>
      <c r="UPR70" s="2"/>
      <c r="UPS70" s="2"/>
      <c r="UPT70" s="2"/>
      <c r="UPU70" s="2"/>
      <c r="UPV70" s="2"/>
      <c r="UPW70" s="2"/>
      <c r="UPX70" s="2"/>
      <c r="UPY70" s="2"/>
      <c r="UPZ70" s="2"/>
      <c r="UQA70" s="2"/>
      <c r="UQB70" s="2"/>
      <c r="UQC70" s="2"/>
      <c r="UQD70" s="2"/>
      <c r="UQE70" s="2"/>
      <c r="UQF70" s="2"/>
      <c r="UQG70" s="2"/>
      <c r="UQH70" s="2"/>
      <c r="UQI70" s="2"/>
      <c r="UQJ70" s="2"/>
      <c r="UQK70" s="2"/>
      <c r="UQL70" s="2"/>
      <c r="UQM70" s="2"/>
      <c r="UQN70" s="2"/>
      <c r="UQO70" s="2"/>
      <c r="UQP70" s="2"/>
      <c r="UQQ70" s="2"/>
      <c r="UQR70" s="2"/>
      <c r="UQS70" s="2"/>
      <c r="UQT70" s="2"/>
      <c r="UQU70" s="2"/>
      <c r="UQV70" s="2"/>
      <c r="UQW70" s="2"/>
      <c r="UQX70" s="2"/>
      <c r="UQY70" s="2"/>
      <c r="UQZ70" s="2"/>
      <c r="URA70" s="2"/>
      <c r="URB70" s="2"/>
      <c r="URC70" s="2"/>
      <c r="URD70" s="2"/>
      <c r="URE70" s="2"/>
      <c r="URF70" s="2"/>
      <c r="URG70" s="2"/>
      <c r="URH70" s="2"/>
      <c r="URI70" s="2"/>
      <c r="URJ70" s="2"/>
      <c r="URK70" s="2"/>
      <c r="URL70" s="2"/>
      <c r="URM70" s="2"/>
      <c r="URN70" s="2"/>
      <c r="URO70" s="2"/>
      <c r="URP70" s="2"/>
      <c r="URQ70" s="2"/>
      <c r="URR70" s="2"/>
      <c r="URS70" s="2"/>
      <c r="URT70" s="2"/>
      <c r="URU70" s="2"/>
      <c r="URV70" s="2"/>
      <c r="URW70" s="2"/>
      <c r="URX70" s="2"/>
      <c r="URY70" s="2"/>
      <c r="URZ70" s="2"/>
      <c r="USA70" s="2"/>
      <c r="USB70" s="2"/>
      <c r="USC70" s="2"/>
      <c r="USD70" s="2"/>
      <c r="USE70" s="2"/>
      <c r="USF70" s="2"/>
      <c r="USG70" s="2"/>
      <c r="USH70" s="2"/>
      <c r="USI70" s="2"/>
      <c r="USJ70" s="2"/>
      <c r="USK70" s="2"/>
      <c r="USL70" s="2"/>
      <c r="USM70" s="2"/>
      <c r="USN70" s="2"/>
      <c r="USO70" s="2"/>
      <c r="USP70" s="2"/>
      <c r="USQ70" s="2"/>
      <c r="USR70" s="2"/>
      <c r="USS70" s="2"/>
      <c r="UST70" s="2"/>
      <c r="USU70" s="2"/>
      <c r="USV70" s="2"/>
      <c r="USW70" s="2"/>
      <c r="USX70" s="2"/>
      <c r="USY70" s="2"/>
      <c r="USZ70" s="2"/>
      <c r="UTA70" s="2"/>
      <c r="UTB70" s="2"/>
      <c r="UTC70" s="2"/>
      <c r="UTD70" s="2"/>
      <c r="UTE70" s="2"/>
      <c r="UTF70" s="2"/>
      <c r="UTG70" s="2"/>
      <c r="UTH70" s="2"/>
      <c r="UTI70" s="2"/>
      <c r="UTJ70" s="2"/>
      <c r="UTK70" s="2"/>
      <c r="UTL70" s="2"/>
      <c r="UTM70" s="2"/>
      <c r="UTN70" s="2"/>
      <c r="UTO70" s="2"/>
      <c r="UTP70" s="2"/>
      <c r="UTQ70" s="2"/>
      <c r="UTR70" s="2"/>
      <c r="UTS70" s="2"/>
      <c r="UTT70" s="2"/>
      <c r="UTU70" s="2"/>
      <c r="UTV70" s="2"/>
      <c r="UTW70" s="2"/>
      <c r="UTX70" s="2"/>
      <c r="UTY70" s="2"/>
      <c r="UTZ70" s="2"/>
      <c r="UUA70" s="2"/>
      <c r="UUB70" s="2"/>
      <c r="UUC70" s="2"/>
      <c r="UUD70" s="2"/>
      <c r="UUE70" s="2"/>
      <c r="UUF70" s="2"/>
      <c r="UUG70" s="2"/>
      <c r="UUH70" s="2"/>
      <c r="UUI70" s="2"/>
      <c r="UUJ70" s="2"/>
      <c r="UUK70" s="2"/>
      <c r="UUL70" s="2"/>
      <c r="UUM70" s="2"/>
      <c r="UUN70" s="2"/>
      <c r="UUO70" s="2"/>
      <c r="UUP70" s="2"/>
      <c r="UUQ70" s="2"/>
      <c r="UUR70" s="2"/>
      <c r="UUS70" s="2"/>
      <c r="UUT70" s="2"/>
      <c r="UUU70" s="2"/>
      <c r="UUV70" s="2"/>
      <c r="UUW70" s="2"/>
      <c r="UUX70" s="2"/>
      <c r="UUY70" s="2"/>
      <c r="UUZ70" s="2"/>
      <c r="UVA70" s="2"/>
      <c r="UVB70" s="2"/>
      <c r="UVC70" s="2"/>
      <c r="UVD70" s="2"/>
      <c r="UVE70" s="2"/>
      <c r="UVF70" s="2"/>
      <c r="UVG70" s="2"/>
      <c r="UVH70" s="2"/>
      <c r="UVI70" s="2"/>
      <c r="UVJ70" s="2"/>
      <c r="UVK70" s="2"/>
      <c r="UVL70" s="2"/>
      <c r="UVM70" s="2"/>
      <c r="UVN70" s="2"/>
      <c r="UVO70" s="2"/>
      <c r="UVP70" s="2"/>
      <c r="UVQ70" s="2"/>
      <c r="UVR70" s="2"/>
      <c r="UVS70" s="2"/>
      <c r="UVT70" s="2"/>
      <c r="UVU70" s="2"/>
      <c r="UVV70" s="2"/>
      <c r="UVW70" s="2"/>
      <c r="UVX70" s="2"/>
      <c r="UVY70" s="2"/>
      <c r="UVZ70" s="2"/>
      <c r="UWA70" s="2"/>
      <c r="UWB70" s="2"/>
      <c r="UWC70" s="2"/>
      <c r="UWD70" s="2"/>
      <c r="UWE70" s="2"/>
      <c r="UWF70" s="2"/>
      <c r="UWG70" s="2"/>
      <c r="UWH70" s="2"/>
      <c r="UWI70" s="2"/>
      <c r="UWJ70" s="2"/>
      <c r="UWK70" s="2"/>
      <c r="UWL70" s="2"/>
      <c r="UWM70" s="2"/>
      <c r="UWN70" s="2"/>
      <c r="UWO70" s="2"/>
      <c r="UWP70" s="2"/>
      <c r="UWQ70" s="2"/>
      <c r="UWR70" s="2"/>
      <c r="UWS70" s="2"/>
      <c r="UWT70" s="2"/>
      <c r="UWU70" s="2"/>
      <c r="UWV70" s="2"/>
      <c r="UWW70" s="2"/>
      <c r="UWX70" s="2"/>
      <c r="UWY70" s="2"/>
      <c r="UWZ70" s="2"/>
      <c r="UXA70" s="2"/>
      <c r="UXB70" s="2"/>
      <c r="UXC70" s="2"/>
      <c r="UXD70" s="2"/>
      <c r="UXE70" s="2"/>
      <c r="UXF70" s="2"/>
      <c r="UXG70" s="2"/>
      <c r="UXH70" s="2"/>
      <c r="UXI70" s="2"/>
      <c r="UXJ70" s="2"/>
      <c r="UXK70" s="2"/>
      <c r="UXL70" s="2"/>
      <c r="UXM70" s="2"/>
      <c r="UXN70" s="2"/>
      <c r="UXO70" s="2"/>
      <c r="UXP70" s="2"/>
      <c r="UXQ70" s="2"/>
      <c r="UXR70" s="2"/>
      <c r="UXS70" s="2"/>
      <c r="UXT70" s="2"/>
      <c r="UXU70" s="2"/>
      <c r="UXV70" s="2"/>
      <c r="UXW70" s="2"/>
      <c r="UXX70" s="2"/>
      <c r="UXY70" s="2"/>
      <c r="UXZ70" s="2"/>
      <c r="UYA70" s="2"/>
      <c r="UYB70" s="2"/>
      <c r="UYC70" s="2"/>
      <c r="UYD70" s="2"/>
      <c r="UYE70" s="2"/>
      <c r="UYF70" s="2"/>
      <c r="UYG70" s="2"/>
      <c r="UYH70" s="2"/>
      <c r="UYI70" s="2"/>
      <c r="UYJ70" s="2"/>
      <c r="UYK70" s="2"/>
      <c r="UYL70" s="2"/>
      <c r="UYM70" s="2"/>
      <c r="UYN70" s="2"/>
      <c r="UYO70" s="2"/>
      <c r="UYP70" s="2"/>
      <c r="UYQ70" s="2"/>
      <c r="UYR70" s="2"/>
      <c r="UYS70" s="2"/>
      <c r="UYT70" s="2"/>
      <c r="UYU70" s="2"/>
      <c r="UYV70" s="2"/>
      <c r="UYW70" s="2"/>
      <c r="UYX70" s="2"/>
      <c r="UYY70" s="2"/>
      <c r="UYZ70" s="2"/>
      <c r="UZA70" s="2"/>
      <c r="UZB70" s="2"/>
      <c r="UZC70" s="2"/>
      <c r="UZD70" s="2"/>
      <c r="UZE70" s="2"/>
      <c r="UZF70" s="2"/>
      <c r="UZG70" s="2"/>
      <c r="UZH70" s="2"/>
      <c r="UZI70" s="2"/>
      <c r="UZJ70" s="2"/>
      <c r="UZK70" s="2"/>
      <c r="UZL70" s="2"/>
      <c r="UZM70" s="2"/>
      <c r="UZN70" s="2"/>
      <c r="UZO70" s="2"/>
      <c r="UZP70" s="2"/>
      <c r="UZQ70" s="2"/>
      <c r="UZR70" s="2"/>
      <c r="UZS70" s="2"/>
      <c r="UZT70" s="2"/>
      <c r="UZU70" s="2"/>
      <c r="UZV70" s="2"/>
      <c r="UZW70" s="2"/>
      <c r="UZX70" s="2"/>
      <c r="UZY70" s="2"/>
      <c r="UZZ70" s="2"/>
      <c r="VAA70" s="2"/>
      <c r="VAB70" s="2"/>
      <c r="VAC70" s="2"/>
      <c r="VAD70" s="2"/>
      <c r="VAE70" s="2"/>
      <c r="VAF70" s="2"/>
      <c r="VAG70" s="2"/>
      <c r="VAH70" s="2"/>
      <c r="VAI70" s="2"/>
      <c r="VAJ70" s="2"/>
      <c r="VAK70" s="2"/>
      <c r="VAL70" s="2"/>
      <c r="VAM70" s="2"/>
      <c r="VAN70" s="2"/>
      <c r="VAO70" s="2"/>
      <c r="VAP70" s="2"/>
      <c r="VAQ70" s="2"/>
      <c r="VAR70" s="2"/>
      <c r="VAS70" s="2"/>
      <c r="VAT70" s="2"/>
      <c r="VAU70" s="2"/>
      <c r="VAV70" s="2"/>
      <c r="VAW70" s="2"/>
      <c r="VAX70" s="2"/>
      <c r="VAY70" s="2"/>
      <c r="VAZ70" s="2"/>
      <c r="VBA70" s="2"/>
      <c r="VBB70" s="2"/>
      <c r="VBC70" s="2"/>
      <c r="VBD70" s="2"/>
      <c r="VBE70" s="2"/>
      <c r="VBF70" s="2"/>
      <c r="VBG70" s="2"/>
      <c r="VBH70" s="2"/>
      <c r="VBI70" s="2"/>
      <c r="VBJ70" s="2"/>
      <c r="VBK70" s="2"/>
      <c r="VBL70" s="2"/>
      <c r="VBM70" s="2"/>
      <c r="VBN70" s="2"/>
      <c r="VBO70" s="2"/>
      <c r="VBP70" s="2"/>
      <c r="VBQ70" s="2"/>
      <c r="VBR70" s="2"/>
      <c r="VBS70" s="2"/>
      <c r="VBT70" s="2"/>
      <c r="VBU70" s="2"/>
      <c r="VBV70" s="2"/>
      <c r="VBW70" s="2"/>
      <c r="VBX70" s="2"/>
      <c r="VBY70" s="2"/>
      <c r="VBZ70" s="2"/>
      <c r="VCA70" s="2"/>
      <c r="VCB70" s="2"/>
      <c r="VCC70" s="2"/>
      <c r="VCD70" s="2"/>
      <c r="VCE70" s="2"/>
      <c r="VCF70" s="2"/>
      <c r="VCG70" s="2"/>
      <c r="VCH70" s="2"/>
      <c r="VCI70" s="2"/>
      <c r="VCJ70" s="2"/>
      <c r="VCK70" s="2"/>
      <c r="VCL70" s="2"/>
      <c r="VCM70" s="2"/>
      <c r="VCN70" s="2"/>
      <c r="VCO70" s="2"/>
      <c r="VCP70" s="2"/>
      <c r="VCQ70" s="2"/>
      <c r="VCR70" s="2"/>
      <c r="VCS70" s="2"/>
      <c r="VCT70" s="2"/>
      <c r="VCU70" s="2"/>
      <c r="VCV70" s="2"/>
      <c r="VCW70" s="2"/>
      <c r="VCX70" s="2"/>
      <c r="VCY70" s="2"/>
      <c r="VCZ70" s="2"/>
      <c r="VDA70" s="2"/>
      <c r="VDB70" s="2"/>
      <c r="VDC70" s="2"/>
      <c r="VDD70" s="2"/>
      <c r="VDE70" s="2"/>
      <c r="VDF70" s="2"/>
      <c r="VDG70" s="2"/>
      <c r="VDH70" s="2"/>
      <c r="VDI70" s="2"/>
      <c r="VDJ70" s="2"/>
      <c r="VDK70" s="2"/>
      <c r="VDL70" s="2"/>
      <c r="VDM70" s="2"/>
      <c r="VDN70" s="2"/>
      <c r="VDO70" s="2"/>
      <c r="VDP70" s="2"/>
      <c r="VDQ70" s="2"/>
      <c r="VDR70" s="2"/>
      <c r="VDS70" s="2"/>
      <c r="VDT70" s="2"/>
      <c r="VDU70" s="2"/>
      <c r="VDV70" s="2"/>
      <c r="VDW70" s="2"/>
      <c r="VDX70" s="2"/>
      <c r="VDY70" s="2"/>
      <c r="VDZ70" s="2"/>
      <c r="VEA70" s="2"/>
      <c r="VEB70" s="2"/>
      <c r="VEC70" s="2"/>
      <c r="VED70" s="2"/>
      <c r="VEE70" s="2"/>
      <c r="VEF70" s="2"/>
      <c r="VEG70" s="2"/>
      <c r="VEH70" s="2"/>
      <c r="VEI70" s="2"/>
      <c r="VEJ70" s="2"/>
      <c r="VEK70" s="2"/>
      <c r="VEL70" s="2"/>
      <c r="VEM70" s="2"/>
      <c r="VEN70" s="2"/>
      <c r="VEO70" s="2"/>
      <c r="VEP70" s="2"/>
      <c r="VEQ70" s="2"/>
      <c r="VER70" s="2"/>
      <c r="VES70" s="2"/>
      <c r="VET70" s="2"/>
      <c r="VEU70" s="2"/>
      <c r="VEV70" s="2"/>
      <c r="VEW70" s="2"/>
      <c r="VEX70" s="2"/>
      <c r="VEY70" s="2"/>
      <c r="VEZ70" s="2"/>
      <c r="VFA70" s="2"/>
      <c r="VFB70" s="2"/>
      <c r="VFC70" s="2"/>
      <c r="VFD70" s="2"/>
      <c r="VFE70" s="2"/>
      <c r="VFF70" s="2"/>
      <c r="VFG70" s="2"/>
      <c r="VFH70" s="2"/>
      <c r="VFI70" s="2"/>
      <c r="VFJ70" s="2"/>
      <c r="VFK70" s="2"/>
      <c r="VFL70" s="2"/>
      <c r="VFM70" s="2"/>
      <c r="VFN70" s="2"/>
      <c r="VFO70" s="2"/>
      <c r="VFP70" s="2"/>
      <c r="VFQ70" s="2"/>
      <c r="VFR70" s="2"/>
      <c r="VFS70" s="2"/>
      <c r="VFT70" s="2"/>
      <c r="VFU70" s="2"/>
      <c r="VFV70" s="2"/>
      <c r="VFW70" s="2"/>
      <c r="VFX70" s="2"/>
      <c r="VFY70" s="2"/>
      <c r="VFZ70" s="2"/>
      <c r="VGA70" s="2"/>
      <c r="VGB70" s="2"/>
      <c r="VGC70" s="2"/>
      <c r="VGD70" s="2"/>
      <c r="VGE70" s="2"/>
      <c r="VGF70" s="2"/>
      <c r="VGG70" s="2"/>
      <c r="VGH70" s="2"/>
      <c r="VGI70" s="2"/>
      <c r="VGJ70" s="2"/>
      <c r="VGK70" s="2"/>
      <c r="VGL70" s="2"/>
      <c r="VGM70" s="2"/>
      <c r="VGN70" s="2"/>
      <c r="VGO70" s="2"/>
      <c r="VGP70" s="2"/>
      <c r="VGQ70" s="2"/>
      <c r="VGR70" s="2"/>
      <c r="VGS70" s="2"/>
      <c r="VGT70" s="2"/>
      <c r="VGU70" s="2"/>
      <c r="VGV70" s="2"/>
      <c r="VGW70" s="2"/>
      <c r="VGX70" s="2"/>
      <c r="VGY70" s="2"/>
      <c r="VGZ70" s="2"/>
      <c r="VHA70" s="2"/>
      <c r="VHB70" s="2"/>
      <c r="VHC70" s="2"/>
      <c r="VHD70" s="2"/>
      <c r="VHE70" s="2"/>
      <c r="VHF70" s="2"/>
      <c r="VHG70" s="2"/>
      <c r="VHH70" s="2"/>
      <c r="VHI70" s="2"/>
      <c r="VHJ70" s="2"/>
      <c r="VHK70" s="2"/>
      <c r="VHL70" s="2"/>
      <c r="VHM70" s="2"/>
      <c r="VHN70" s="2"/>
      <c r="VHO70" s="2"/>
      <c r="VHP70" s="2"/>
      <c r="VHQ70" s="2"/>
      <c r="VHR70" s="2"/>
      <c r="VHS70" s="2"/>
      <c r="VHT70" s="2"/>
      <c r="VHU70" s="2"/>
      <c r="VHV70" s="2"/>
      <c r="VHW70" s="2"/>
      <c r="VHX70" s="2"/>
      <c r="VHY70" s="2"/>
      <c r="VHZ70" s="2"/>
      <c r="VIA70" s="2"/>
      <c r="VIB70" s="2"/>
      <c r="VIC70" s="2"/>
      <c r="VID70" s="2"/>
      <c r="VIE70" s="2"/>
      <c r="VIF70" s="2"/>
      <c r="VIG70" s="2"/>
      <c r="VIH70" s="2"/>
      <c r="VII70" s="2"/>
      <c r="VIJ70" s="2"/>
      <c r="VIK70" s="2"/>
      <c r="VIL70" s="2"/>
      <c r="VIM70" s="2"/>
      <c r="VIN70" s="2"/>
      <c r="VIO70" s="2"/>
      <c r="VIP70" s="2"/>
      <c r="VIQ70" s="2"/>
      <c r="VIR70" s="2"/>
      <c r="VIS70" s="2"/>
      <c r="VIT70" s="2"/>
      <c r="VIU70" s="2"/>
      <c r="VIV70" s="2"/>
      <c r="VIW70" s="2"/>
      <c r="VIX70" s="2"/>
      <c r="VIY70" s="2"/>
      <c r="VIZ70" s="2"/>
      <c r="VJA70" s="2"/>
      <c r="VJB70" s="2"/>
      <c r="VJC70" s="2"/>
      <c r="VJD70" s="2"/>
      <c r="VJE70" s="2"/>
      <c r="VJF70" s="2"/>
      <c r="VJG70" s="2"/>
      <c r="VJH70" s="2"/>
      <c r="VJI70" s="2"/>
      <c r="VJJ70" s="2"/>
      <c r="VJK70" s="2"/>
      <c r="VJL70" s="2"/>
      <c r="VJM70" s="2"/>
      <c r="VJN70" s="2"/>
      <c r="VJO70" s="2"/>
      <c r="VJP70" s="2"/>
      <c r="VJQ70" s="2"/>
      <c r="VJR70" s="2"/>
      <c r="VJS70" s="2"/>
      <c r="VJT70" s="2"/>
      <c r="VJU70" s="2"/>
      <c r="VJV70" s="2"/>
      <c r="VJW70" s="2"/>
      <c r="VJX70" s="2"/>
      <c r="VJY70" s="2"/>
      <c r="VJZ70" s="2"/>
      <c r="VKA70" s="2"/>
      <c r="VKB70" s="2"/>
      <c r="VKC70" s="2"/>
      <c r="VKD70" s="2"/>
      <c r="VKE70" s="2"/>
      <c r="VKF70" s="2"/>
      <c r="VKG70" s="2"/>
      <c r="VKH70" s="2"/>
      <c r="VKI70" s="2"/>
      <c r="VKJ70" s="2"/>
      <c r="VKK70" s="2"/>
      <c r="VKL70" s="2"/>
      <c r="VKM70" s="2"/>
      <c r="VKN70" s="2"/>
      <c r="VKO70" s="2"/>
      <c r="VKP70" s="2"/>
      <c r="VKQ70" s="2"/>
      <c r="VKR70" s="2"/>
      <c r="VKS70" s="2"/>
      <c r="VKT70" s="2"/>
      <c r="VKU70" s="2"/>
      <c r="VKV70" s="2"/>
      <c r="VKW70" s="2"/>
      <c r="VKX70" s="2"/>
      <c r="VKY70" s="2"/>
      <c r="VKZ70" s="2"/>
      <c r="VLA70" s="2"/>
      <c r="VLB70" s="2"/>
      <c r="VLC70" s="2"/>
      <c r="VLD70" s="2"/>
      <c r="VLE70" s="2"/>
      <c r="VLF70" s="2"/>
      <c r="VLG70" s="2"/>
      <c r="VLH70" s="2"/>
      <c r="VLI70" s="2"/>
      <c r="VLJ70" s="2"/>
      <c r="VLK70" s="2"/>
      <c r="VLL70" s="2"/>
      <c r="VLM70" s="2"/>
      <c r="VLN70" s="2"/>
      <c r="VLO70" s="2"/>
      <c r="VLP70" s="2"/>
      <c r="VLQ70" s="2"/>
      <c r="VLR70" s="2"/>
      <c r="VLS70" s="2"/>
      <c r="VLT70" s="2"/>
      <c r="VLU70" s="2"/>
      <c r="VLV70" s="2"/>
      <c r="VLW70" s="2"/>
      <c r="VLX70" s="2"/>
      <c r="VLY70" s="2"/>
      <c r="VLZ70" s="2"/>
      <c r="VMA70" s="2"/>
      <c r="VMB70" s="2"/>
      <c r="VMC70" s="2"/>
      <c r="VMD70" s="2"/>
      <c r="VME70" s="2"/>
      <c r="VMF70" s="2"/>
      <c r="VMG70" s="2"/>
      <c r="VMH70" s="2"/>
      <c r="VMI70" s="2"/>
      <c r="VMJ70" s="2"/>
      <c r="VMK70" s="2"/>
      <c r="VML70" s="2"/>
      <c r="VMM70" s="2"/>
      <c r="VMN70" s="2"/>
      <c r="VMO70" s="2"/>
      <c r="VMP70" s="2"/>
      <c r="VMQ70" s="2"/>
      <c r="VMR70" s="2"/>
      <c r="VMS70" s="2"/>
      <c r="VMT70" s="2"/>
      <c r="VMU70" s="2"/>
      <c r="VMV70" s="2"/>
      <c r="VMW70" s="2"/>
      <c r="VMX70" s="2"/>
      <c r="VMY70" s="2"/>
      <c r="VMZ70" s="2"/>
      <c r="VNA70" s="2"/>
      <c r="VNB70" s="2"/>
      <c r="VNC70" s="2"/>
      <c r="VND70" s="2"/>
      <c r="VNE70" s="2"/>
      <c r="VNF70" s="2"/>
      <c r="VNG70" s="2"/>
      <c r="VNH70" s="2"/>
      <c r="VNI70" s="2"/>
      <c r="VNJ70" s="2"/>
      <c r="VNK70" s="2"/>
      <c r="VNL70" s="2"/>
      <c r="VNM70" s="2"/>
      <c r="VNN70" s="2"/>
      <c r="VNO70" s="2"/>
      <c r="VNP70" s="2"/>
      <c r="VNQ70" s="2"/>
      <c r="VNR70" s="2"/>
      <c r="VNS70" s="2"/>
      <c r="VNT70" s="2"/>
      <c r="VNU70" s="2"/>
      <c r="VNV70" s="2"/>
      <c r="VNW70" s="2"/>
      <c r="VNX70" s="2"/>
      <c r="VNY70" s="2"/>
      <c r="VNZ70" s="2"/>
      <c r="VOA70" s="2"/>
      <c r="VOB70" s="2"/>
      <c r="VOC70" s="2"/>
      <c r="VOD70" s="2"/>
      <c r="VOE70" s="2"/>
      <c r="VOF70" s="2"/>
      <c r="VOG70" s="2"/>
      <c r="VOH70" s="2"/>
      <c r="VOI70" s="2"/>
      <c r="VOJ70" s="2"/>
      <c r="VOK70" s="2"/>
      <c r="VOL70" s="2"/>
      <c r="VOM70" s="2"/>
      <c r="VON70" s="2"/>
      <c r="VOO70" s="2"/>
      <c r="VOP70" s="2"/>
      <c r="VOQ70" s="2"/>
      <c r="VOR70" s="2"/>
      <c r="VOS70" s="2"/>
      <c r="VOT70" s="2"/>
      <c r="VOU70" s="2"/>
      <c r="VOV70" s="2"/>
      <c r="VOW70" s="2"/>
      <c r="VOX70" s="2"/>
      <c r="VOY70" s="2"/>
      <c r="VOZ70" s="2"/>
      <c r="VPA70" s="2"/>
      <c r="VPB70" s="2"/>
      <c r="VPC70" s="2"/>
      <c r="VPD70" s="2"/>
      <c r="VPE70" s="2"/>
      <c r="VPF70" s="2"/>
      <c r="VPG70" s="2"/>
      <c r="VPH70" s="2"/>
      <c r="VPI70" s="2"/>
      <c r="VPJ70" s="2"/>
      <c r="VPK70" s="2"/>
      <c r="VPL70" s="2"/>
      <c r="VPM70" s="2"/>
      <c r="VPN70" s="2"/>
      <c r="VPO70" s="2"/>
      <c r="VPP70" s="2"/>
      <c r="VPQ70" s="2"/>
      <c r="VPR70" s="2"/>
      <c r="VPS70" s="2"/>
      <c r="VPT70" s="2"/>
      <c r="VPU70" s="2"/>
      <c r="VPV70" s="2"/>
      <c r="VPW70" s="2"/>
      <c r="VPX70" s="2"/>
      <c r="VPY70" s="2"/>
      <c r="VPZ70" s="2"/>
      <c r="VQA70" s="2"/>
      <c r="VQB70" s="2"/>
      <c r="VQC70" s="2"/>
      <c r="VQD70" s="2"/>
      <c r="VQE70" s="2"/>
      <c r="VQF70" s="2"/>
      <c r="VQG70" s="2"/>
      <c r="VQH70" s="2"/>
      <c r="VQI70" s="2"/>
      <c r="VQJ70" s="2"/>
      <c r="VQK70" s="2"/>
      <c r="VQL70" s="2"/>
      <c r="VQM70" s="2"/>
      <c r="VQN70" s="2"/>
      <c r="VQO70" s="2"/>
      <c r="VQP70" s="2"/>
      <c r="VQQ70" s="2"/>
      <c r="VQR70" s="2"/>
      <c r="VQS70" s="2"/>
      <c r="VQT70" s="2"/>
      <c r="VQU70" s="2"/>
      <c r="VQV70" s="2"/>
      <c r="VQW70" s="2"/>
      <c r="VQX70" s="2"/>
      <c r="VQY70" s="2"/>
      <c r="VQZ70" s="2"/>
      <c r="VRA70" s="2"/>
      <c r="VRB70" s="2"/>
      <c r="VRC70" s="2"/>
      <c r="VRD70" s="2"/>
      <c r="VRE70" s="2"/>
      <c r="VRF70" s="2"/>
      <c r="VRG70" s="2"/>
      <c r="VRH70" s="2"/>
      <c r="VRI70" s="2"/>
      <c r="VRJ70" s="2"/>
      <c r="VRK70" s="2"/>
      <c r="VRL70" s="2"/>
      <c r="VRM70" s="2"/>
      <c r="VRN70" s="2"/>
      <c r="VRO70" s="2"/>
      <c r="VRP70" s="2"/>
      <c r="VRQ70" s="2"/>
      <c r="VRR70" s="2"/>
      <c r="VRS70" s="2"/>
      <c r="VRT70" s="2"/>
      <c r="VRU70" s="2"/>
      <c r="VRV70" s="2"/>
      <c r="VRW70" s="2"/>
      <c r="VRX70" s="2"/>
      <c r="VRY70" s="2"/>
      <c r="VRZ70" s="2"/>
      <c r="VSA70" s="2"/>
      <c r="VSB70" s="2"/>
      <c r="VSC70" s="2"/>
      <c r="VSD70" s="2"/>
      <c r="VSE70" s="2"/>
      <c r="VSF70" s="2"/>
      <c r="VSG70" s="2"/>
      <c r="VSH70" s="2"/>
      <c r="VSI70" s="2"/>
      <c r="VSJ70" s="2"/>
      <c r="VSK70" s="2"/>
      <c r="VSL70" s="2"/>
      <c r="VSM70" s="2"/>
      <c r="VSN70" s="2"/>
      <c r="VSO70" s="2"/>
      <c r="VSP70" s="2"/>
      <c r="VSQ70" s="2"/>
      <c r="VSR70" s="2"/>
      <c r="VSS70" s="2"/>
      <c r="VST70" s="2"/>
      <c r="VSU70" s="2"/>
      <c r="VSV70" s="2"/>
      <c r="VSW70" s="2"/>
      <c r="VSX70" s="2"/>
      <c r="VSY70" s="2"/>
      <c r="VSZ70" s="2"/>
      <c r="VTA70" s="2"/>
      <c r="VTB70" s="2"/>
      <c r="VTC70" s="2"/>
      <c r="VTD70" s="2"/>
      <c r="VTE70" s="2"/>
      <c r="VTF70" s="2"/>
      <c r="VTG70" s="2"/>
      <c r="VTH70" s="2"/>
      <c r="VTI70" s="2"/>
      <c r="VTJ70" s="2"/>
      <c r="VTK70" s="2"/>
      <c r="VTL70" s="2"/>
      <c r="VTM70" s="2"/>
      <c r="VTN70" s="2"/>
      <c r="VTO70" s="2"/>
      <c r="VTP70" s="2"/>
      <c r="VTQ70" s="2"/>
      <c r="VTR70" s="2"/>
      <c r="VTS70" s="2"/>
      <c r="VTT70" s="2"/>
      <c r="VTU70" s="2"/>
      <c r="VTV70" s="2"/>
      <c r="VTW70" s="2"/>
      <c r="VTX70" s="2"/>
      <c r="VTY70" s="2"/>
      <c r="VTZ70" s="2"/>
      <c r="VUA70" s="2"/>
      <c r="VUB70" s="2"/>
      <c r="VUC70" s="2"/>
      <c r="VUD70" s="2"/>
      <c r="VUE70" s="2"/>
      <c r="VUF70" s="2"/>
      <c r="VUG70" s="2"/>
      <c r="VUH70" s="2"/>
      <c r="VUI70" s="2"/>
      <c r="VUJ70" s="2"/>
      <c r="VUK70" s="2"/>
      <c r="VUL70" s="2"/>
      <c r="VUM70" s="2"/>
      <c r="VUN70" s="2"/>
      <c r="VUO70" s="2"/>
      <c r="VUP70" s="2"/>
      <c r="VUQ70" s="2"/>
      <c r="VUR70" s="2"/>
      <c r="VUS70" s="2"/>
      <c r="VUT70" s="2"/>
      <c r="VUU70" s="2"/>
      <c r="VUV70" s="2"/>
      <c r="VUW70" s="2"/>
      <c r="VUX70" s="2"/>
      <c r="VUY70" s="2"/>
      <c r="VUZ70" s="2"/>
      <c r="VVA70" s="2"/>
      <c r="VVB70" s="2"/>
      <c r="VVC70" s="2"/>
      <c r="VVD70" s="2"/>
      <c r="VVE70" s="2"/>
      <c r="VVF70" s="2"/>
      <c r="VVG70" s="2"/>
      <c r="VVH70" s="2"/>
      <c r="VVI70" s="2"/>
      <c r="VVJ70" s="2"/>
      <c r="VVK70" s="2"/>
      <c r="VVL70" s="2"/>
      <c r="VVM70" s="2"/>
      <c r="VVN70" s="2"/>
      <c r="VVO70" s="2"/>
      <c r="VVP70" s="2"/>
      <c r="VVQ70" s="2"/>
      <c r="VVR70" s="2"/>
      <c r="VVS70" s="2"/>
      <c r="VVT70" s="2"/>
      <c r="VVU70" s="2"/>
      <c r="VVV70" s="2"/>
      <c r="VVW70" s="2"/>
      <c r="VVX70" s="2"/>
      <c r="VVY70" s="2"/>
      <c r="VVZ70" s="2"/>
      <c r="VWA70" s="2"/>
      <c r="VWB70" s="2"/>
      <c r="VWC70" s="2"/>
      <c r="VWD70" s="2"/>
      <c r="VWE70" s="2"/>
      <c r="VWF70" s="2"/>
      <c r="VWG70" s="2"/>
      <c r="VWH70" s="2"/>
      <c r="VWI70" s="2"/>
      <c r="VWJ70" s="2"/>
      <c r="VWK70" s="2"/>
      <c r="VWL70" s="2"/>
      <c r="VWM70" s="2"/>
      <c r="VWN70" s="2"/>
      <c r="VWO70" s="2"/>
      <c r="VWP70" s="2"/>
      <c r="VWQ70" s="2"/>
      <c r="VWR70" s="2"/>
      <c r="VWS70" s="2"/>
      <c r="VWT70" s="2"/>
      <c r="VWU70" s="2"/>
      <c r="VWV70" s="2"/>
      <c r="VWW70" s="2"/>
      <c r="VWX70" s="2"/>
      <c r="VWY70" s="2"/>
      <c r="VWZ70" s="2"/>
      <c r="VXA70" s="2"/>
      <c r="VXB70" s="2"/>
      <c r="VXC70" s="2"/>
      <c r="VXD70" s="2"/>
      <c r="VXE70" s="2"/>
      <c r="VXF70" s="2"/>
      <c r="VXG70" s="2"/>
      <c r="VXH70" s="2"/>
      <c r="VXI70" s="2"/>
      <c r="VXJ70" s="2"/>
      <c r="VXK70" s="2"/>
      <c r="VXL70" s="2"/>
      <c r="VXM70" s="2"/>
      <c r="VXN70" s="2"/>
      <c r="VXO70" s="2"/>
      <c r="VXP70" s="2"/>
      <c r="VXQ70" s="2"/>
      <c r="VXR70" s="2"/>
      <c r="VXS70" s="2"/>
      <c r="VXT70" s="2"/>
      <c r="VXU70" s="2"/>
      <c r="VXV70" s="2"/>
      <c r="VXW70" s="2"/>
      <c r="VXX70" s="2"/>
      <c r="VXY70" s="2"/>
      <c r="VXZ70" s="2"/>
      <c r="VYA70" s="2"/>
      <c r="VYB70" s="2"/>
      <c r="VYC70" s="2"/>
      <c r="VYD70" s="2"/>
      <c r="VYE70" s="2"/>
      <c r="VYF70" s="2"/>
      <c r="VYG70" s="2"/>
      <c r="VYH70" s="2"/>
      <c r="VYI70" s="2"/>
      <c r="VYJ70" s="2"/>
      <c r="VYK70" s="2"/>
      <c r="VYL70" s="2"/>
      <c r="VYM70" s="2"/>
      <c r="VYN70" s="2"/>
      <c r="VYO70" s="2"/>
      <c r="VYP70" s="2"/>
      <c r="VYQ70" s="2"/>
      <c r="VYR70" s="2"/>
      <c r="VYS70" s="2"/>
      <c r="VYT70" s="2"/>
      <c r="VYU70" s="2"/>
      <c r="VYV70" s="2"/>
      <c r="VYW70" s="2"/>
      <c r="VYX70" s="2"/>
      <c r="VYY70" s="2"/>
      <c r="VYZ70" s="2"/>
      <c r="VZA70" s="2"/>
      <c r="VZB70" s="2"/>
      <c r="VZC70" s="2"/>
      <c r="VZD70" s="2"/>
      <c r="VZE70" s="2"/>
      <c r="VZF70" s="2"/>
      <c r="VZG70" s="2"/>
      <c r="VZH70" s="2"/>
      <c r="VZI70" s="2"/>
      <c r="VZJ70" s="2"/>
      <c r="VZK70" s="2"/>
      <c r="VZL70" s="2"/>
      <c r="VZM70" s="2"/>
      <c r="VZN70" s="2"/>
      <c r="VZO70" s="2"/>
      <c r="VZP70" s="2"/>
      <c r="VZQ70" s="2"/>
      <c r="VZR70" s="2"/>
      <c r="VZS70" s="2"/>
      <c r="VZT70" s="2"/>
      <c r="VZU70" s="2"/>
      <c r="VZV70" s="2"/>
      <c r="VZW70" s="2"/>
      <c r="VZX70" s="2"/>
      <c r="VZY70" s="2"/>
      <c r="VZZ70" s="2"/>
      <c r="WAA70" s="2"/>
      <c r="WAB70" s="2"/>
      <c r="WAC70" s="2"/>
      <c r="WAD70" s="2"/>
      <c r="WAE70" s="2"/>
      <c r="WAF70" s="2"/>
      <c r="WAG70" s="2"/>
      <c r="WAH70" s="2"/>
      <c r="WAI70" s="2"/>
      <c r="WAJ70" s="2"/>
      <c r="WAK70" s="2"/>
      <c r="WAL70" s="2"/>
      <c r="WAM70" s="2"/>
      <c r="WAN70" s="2"/>
      <c r="WAO70" s="2"/>
      <c r="WAP70" s="2"/>
      <c r="WAQ70" s="2"/>
      <c r="WAR70" s="2"/>
      <c r="WAS70" s="2"/>
      <c r="WAT70" s="2"/>
      <c r="WAU70" s="2"/>
      <c r="WAV70" s="2"/>
      <c r="WAW70" s="2"/>
      <c r="WAX70" s="2"/>
      <c r="WAY70" s="2"/>
      <c r="WAZ70" s="2"/>
      <c r="WBA70" s="2"/>
      <c r="WBB70" s="2"/>
      <c r="WBC70" s="2"/>
      <c r="WBD70" s="2"/>
      <c r="WBE70" s="2"/>
      <c r="WBF70" s="2"/>
      <c r="WBG70" s="2"/>
      <c r="WBH70" s="2"/>
      <c r="WBI70" s="2"/>
      <c r="WBJ70" s="2"/>
      <c r="WBK70" s="2"/>
      <c r="WBL70" s="2"/>
      <c r="WBM70" s="2"/>
      <c r="WBN70" s="2"/>
      <c r="WBO70" s="2"/>
      <c r="WBP70" s="2"/>
      <c r="WBQ70" s="2"/>
      <c r="WBR70" s="2"/>
      <c r="WBS70" s="2"/>
      <c r="WBT70" s="2"/>
      <c r="WBU70" s="2"/>
      <c r="WBV70" s="2"/>
      <c r="WBW70" s="2"/>
      <c r="WBX70" s="2"/>
      <c r="WBY70" s="2"/>
      <c r="WBZ70" s="2"/>
      <c r="WCA70" s="2"/>
      <c r="WCB70" s="2"/>
      <c r="WCC70" s="2"/>
      <c r="WCD70" s="2"/>
      <c r="WCE70" s="2"/>
      <c r="WCF70" s="2"/>
      <c r="WCG70" s="2"/>
      <c r="WCH70" s="2"/>
      <c r="WCI70" s="2"/>
      <c r="WCJ70" s="2"/>
      <c r="WCK70" s="2"/>
      <c r="WCL70" s="2"/>
      <c r="WCM70" s="2"/>
      <c r="WCN70" s="2"/>
      <c r="WCO70" s="2"/>
      <c r="WCP70" s="2"/>
      <c r="WCQ70" s="2"/>
      <c r="WCR70" s="2"/>
      <c r="WCS70" s="2"/>
      <c r="WCT70" s="2"/>
      <c r="WCU70" s="2"/>
      <c r="WCV70" s="2"/>
      <c r="WCW70" s="2"/>
      <c r="WCX70" s="2"/>
      <c r="WCY70" s="2"/>
      <c r="WCZ70" s="2"/>
      <c r="WDA70" s="2"/>
      <c r="WDB70" s="2"/>
      <c r="WDC70" s="2"/>
      <c r="WDD70" s="2"/>
      <c r="WDE70" s="2"/>
      <c r="WDF70" s="2"/>
      <c r="WDG70" s="2"/>
      <c r="WDH70" s="2"/>
      <c r="WDI70" s="2"/>
      <c r="WDJ70" s="2"/>
      <c r="WDK70" s="2"/>
      <c r="WDL70" s="2"/>
      <c r="WDM70" s="2"/>
      <c r="WDN70" s="2"/>
      <c r="WDO70" s="2"/>
      <c r="WDP70" s="2"/>
      <c r="WDQ70" s="2"/>
      <c r="WDR70" s="2"/>
      <c r="WDS70" s="2"/>
      <c r="WDT70" s="2"/>
      <c r="WDU70" s="2"/>
      <c r="WDV70" s="2"/>
      <c r="WDW70" s="2"/>
      <c r="WDX70" s="2"/>
      <c r="WDY70" s="2"/>
      <c r="WDZ70" s="2"/>
      <c r="WEA70" s="2"/>
      <c r="WEB70" s="2"/>
      <c r="WEC70" s="2"/>
      <c r="WED70" s="2"/>
      <c r="WEE70" s="2"/>
      <c r="WEF70" s="2"/>
      <c r="WEG70" s="2"/>
      <c r="WEH70" s="2"/>
      <c r="WEI70" s="2"/>
      <c r="WEJ70" s="2"/>
      <c r="WEK70" s="2"/>
      <c r="WEL70" s="2"/>
      <c r="WEM70" s="2"/>
      <c r="WEN70" s="2"/>
      <c r="WEO70" s="2"/>
      <c r="WEP70" s="2"/>
      <c r="WEQ70" s="2"/>
      <c r="WER70" s="2"/>
      <c r="WES70" s="2"/>
      <c r="WET70" s="2"/>
      <c r="WEU70" s="2"/>
      <c r="WEV70" s="2"/>
      <c r="WEW70" s="2"/>
      <c r="WEX70" s="2"/>
      <c r="WEY70" s="2"/>
      <c r="WEZ70" s="2"/>
      <c r="WFA70" s="2"/>
      <c r="WFB70" s="2"/>
      <c r="WFC70" s="2"/>
      <c r="WFD70" s="2"/>
      <c r="WFE70" s="2"/>
      <c r="WFF70" s="2"/>
      <c r="WFG70" s="2"/>
      <c r="WFH70" s="2"/>
      <c r="WFI70" s="2"/>
      <c r="WFJ70" s="2"/>
      <c r="WFK70" s="2"/>
      <c r="WFL70" s="2"/>
      <c r="WFM70" s="2"/>
      <c r="WFN70" s="2"/>
      <c r="WFO70" s="2"/>
      <c r="WFP70" s="2"/>
      <c r="WFQ70" s="2"/>
      <c r="WFR70" s="2"/>
      <c r="WFS70" s="2"/>
      <c r="WFT70" s="2"/>
      <c r="WFU70" s="2"/>
      <c r="WFV70" s="2"/>
      <c r="WFW70" s="2"/>
      <c r="WFX70" s="2"/>
      <c r="WFY70" s="2"/>
      <c r="WFZ70" s="2"/>
      <c r="WGA70" s="2"/>
      <c r="WGB70" s="2"/>
      <c r="WGC70" s="2"/>
      <c r="WGD70" s="2"/>
      <c r="WGE70" s="2"/>
      <c r="WGF70" s="2"/>
      <c r="WGG70" s="2"/>
      <c r="WGH70" s="2"/>
      <c r="WGI70" s="2"/>
      <c r="WGJ70" s="2"/>
      <c r="WGK70" s="2"/>
      <c r="WGL70" s="2"/>
      <c r="WGM70" s="2"/>
      <c r="WGN70" s="2"/>
      <c r="WGO70" s="2"/>
      <c r="WGP70" s="2"/>
      <c r="WGQ70" s="2"/>
      <c r="WGR70" s="2"/>
      <c r="WGS70" s="2"/>
      <c r="WGT70" s="2"/>
      <c r="WGU70" s="2"/>
      <c r="WGV70" s="2"/>
      <c r="WGW70" s="2"/>
      <c r="WGX70" s="2"/>
      <c r="WGY70" s="2"/>
      <c r="WGZ70" s="2"/>
      <c r="WHA70" s="2"/>
      <c r="WHB70" s="2"/>
      <c r="WHC70" s="2"/>
      <c r="WHD70" s="2"/>
      <c r="WHE70" s="2"/>
      <c r="WHF70" s="2"/>
      <c r="WHG70" s="2"/>
      <c r="WHH70" s="2"/>
      <c r="WHI70" s="2"/>
      <c r="WHJ70" s="2"/>
      <c r="WHK70" s="2"/>
      <c r="WHL70" s="2"/>
      <c r="WHM70" s="2"/>
      <c r="WHN70" s="2"/>
      <c r="WHO70" s="2"/>
      <c r="WHP70" s="2"/>
      <c r="WHQ70" s="2"/>
      <c r="WHR70" s="2"/>
      <c r="WHS70" s="2"/>
      <c r="WHT70" s="2"/>
      <c r="WHU70" s="2"/>
      <c r="WHV70" s="2"/>
      <c r="WHW70" s="2"/>
      <c r="WHX70" s="2"/>
      <c r="WHY70" s="2"/>
      <c r="WHZ70" s="2"/>
      <c r="WIA70" s="2"/>
      <c r="WIB70" s="2"/>
      <c r="WIC70" s="2"/>
      <c r="WID70" s="2"/>
      <c r="WIE70" s="2"/>
      <c r="WIF70" s="2"/>
      <c r="WIG70" s="2"/>
      <c r="WIH70" s="2"/>
      <c r="WII70" s="2"/>
      <c r="WIJ70" s="2"/>
      <c r="WIK70" s="2"/>
      <c r="WIL70" s="2"/>
      <c r="WIM70" s="2"/>
      <c r="WIN70" s="2"/>
      <c r="WIO70" s="2"/>
      <c r="WIP70" s="2"/>
      <c r="WIQ70" s="2"/>
      <c r="WIR70" s="2"/>
      <c r="WIS70" s="2"/>
      <c r="WIT70" s="2"/>
      <c r="WIU70" s="2"/>
      <c r="WIV70" s="2"/>
      <c r="WIW70" s="2"/>
      <c r="WIX70" s="2"/>
      <c r="WIY70" s="2"/>
      <c r="WIZ70" s="2"/>
      <c r="WJA70" s="2"/>
      <c r="WJB70" s="2"/>
      <c r="WJC70" s="2"/>
      <c r="WJD70" s="2"/>
      <c r="WJE70" s="2"/>
      <c r="WJF70" s="2"/>
      <c r="WJG70" s="2"/>
      <c r="WJH70" s="2"/>
      <c r="WJI70" s="2"/>
      <c r="WJJ70" s="2"/>
      <c r="WJK70" s="2"/>
      <c r="WJL70" s="2"/>
      <c r="WJM70" s="2"/>
      <c r="WJN70" s="2"/>
      <c r="WJO70" s="2"/>
      <c r="WJP70" s="2"/>
      <c r="WJQ70" s="2"/>
      <c r="WJR70" s="2"/>
      <c r="WJS70" s="2"/>
      <c r="WJT70" s="2"/>
      <c r="WJU70" s="2"/>
      <c r="WJV70" s="2"/>
      <c r="WJW70" s="2"/>
      <c r="WJX70" s="2"/>
      <c r="WJY70" s="2"/>
      <c r="WJZ70" s="2"/>
      <c r="WKA70" s="2"/>
      <c r="WKB70" s="2"/>
      <c r="WKC70" s="2"/>
      <c r="WKD70" s="2"/>
      <c r="WKE70" s="2"/>
      <c r="WKF70" s="2"/>
      <c r="WKG70" s="2"/>
      <c r="WKH70" s="2"/>
      <c r="WKI70" s="2"/>
      <c r="WKJ70" s="2"/>
      <c r="WKK70" s="2"/>
      <c r="WKL70" s="2"/>
      <c r="WKM70" s="2"/>
      <c r="WKN70" s="2"/>
      <c r="WKO70" s="2"/>
      <c r="WKP70" s="2"/>
      <c r="WKQ70" s="2"/>
      <c r="WKR70" s="2"/>
      <c r="WKS70" s="2"/>
      <c r="WKT70" s="2"/>
      <c r="WKU70" s="2"/>
      <c r="WKV70" s="2"/>
      <c r="WKW70" s="2"/>
      <c r="WKX70" s="2"/>
      <c r="WKY70" s="2"/>
      <c r="WKZ70" s="2"/>
      <c r="WLA70" s="2"/>
      <c r="WLB70" s="2"/>
      <c r="WLC70" s="2"/>
      <c r="WLD70" s="2"/>
      <c r="WLE70" s="2"/>
      <c r="WLF70" s="2"/>
      <c r="WLG70" s="2"/>
      <c r="WLH70" s="2"/>
      <c r="WLI70" s="2"/>
      <c r="WLJ70" s="2"/>
      <c r="WLK70" s="2"/>
      <c r="WLL70" s="2"/>
      <c r="WLM70" s="2"/>
      <c r="WLN70" s="2"/>
      <c r="WLO70" s="2"/>
      <c r="WLP70" s="2"/>
      <c r="WLQ70" s="2"/>
      <c r="WLR70" s="2"/>
      <c r="WLS70" s="2"/>
      <c r="WLT70" s="2"/>
      <c r="WLU70" s="2"/>
      <c r="WLV70" s="2"/>
      <c r="WLW70" s="2"/>
      <c r="WLX70" s="2"/>
      <c r="WLY70" s="2"/>
      <c r="WLZ70" s="2"/>
      <c r="WMA70" s="2"/>
      <c r="WMB70" s="2"/>
      <c r="WMC70" s="2"/>
      <c r="WMD70" s="2"/>
      <c r="WME70" s="2"/>
      <c r="WMF70" s="2"/>
      <c r="WMG70" s="2"/>
      <c r="WMH70" s="2"/>
      <c r="WMI70" s="2"/>
      <c r="WMJ70" s="2"/>
      <c r="WMK70" s="2"/>
      <c r="WML70" s="2"/>
      <c r="WMM70" s="2"/>
      <c r="WMN70" s="2"/>
      <c r="WMO70" s="2"/>
      <c r="WMP70" s="2"/>
      <c r="WMQ70" s="2"/>
      <c r="WMR70" s="2"/>
      <c r="WMS70" s="2"/>
      <c r="WMT70" s="2"/>
      <c r="WMU70" s="2"/>
      <c r="WMV70" s="2"/>
      <c r="WMW70" s="2"/>
      <c r="WMX70" s="2"/>
      <c r="WMY70" s="2"/>
      <c r="WMZ70" s="2"/>
      <c r="WNA70" s="2"/>
      <c r="WNB70" s="2"/>
      <c r="WNC70" s="2"/>
      <c r="WND70" s="2"/>
      <c r="WNE70" s="2"/>
      <c r="WNF70" s="2"/>
      <c r="WNG70" s="2"/>
      <c r="WNH70" s="2"/>
      <c r="WNI70" s="2"/>
      <c r="WNJ70" s="2"/>
      <c r="WNK70" s="2"/>
      <c r="WNL70" s="2"/>
      <c r="WNM70" s="2"/>
      <c r="WNN70" s="2"/>
      <c r="WNO70" s="2"/>
      <c r="WNP70" s="2"/>
      <c r="WNQ70" s="2"/>
      <c r="WNR70" s="2"/>
      <c r="WNS70" s="2"/>
      <c r="WNT70" s="2"/>
      <c r="WNU70" s="2"/>
      <c r="WNV70" s="2"/>
      <c r="WNW70" s="2"/>
      <c r="WNX70" s="2"/>
      <c r="WNY70" s="2"/>
      <c r="WNZ70" s="2"/>
      <c r="WOA70" s="2"/>
      <c r="WOB70" s="2"/>
      <c r="WOC70" s="2"/>
      <c r="WOD70" s="2"/>
      <c r="WOE70" s="2"/>
      <c r="WOF70" s="2"/>
      <c r="WOG70" s="2"/>
      <c r="WOH70" s="2"/>
      <c r="WOI70" s="2"/>
      <c r="WOJ70" s="2"/>
      <c r="WOK70" s="2"/>
      <c r="WOL70" s="2"/>
      <c r="WOM70" s="2"/>
      <c r="WON70" s="2"/>
      <c r="WOO70" s="2"/>
      <c r="WOP70" s="2"/>
      <c r="WOQ70" s="2"/>
      <c r="WOR70" s="2"/>
      <c r="WOS70" s="2"/>
      <c r="WOT70" s="2"/>
      <c r="WOU70" s="2"/>
      <c r="WOV70" s="2"/>
      <c r="WOW70" s="2"/>
      <c r="WOX70" s="2"/>
      <c r="WOY70" s="2"/>
      <c r="WOZ70" s="2"/>
      <c r="WPA70" s="2"/>
      <c r="WPB70" s="2"/>
      <c r="WPC70" s="2"/>
      <c r="WPD70" s="2"/>
      <c r="WPE70" s="2"/>
      <c r="WPF70" s="2"/>
      <c r="WPG70" s="2"/>
      <c r="WPH70" s="2"/>
      <c r="WPI70" s="2"/>
      <c r="WPJ70" s="2"/>
      <c r="WPK70" s="2"/>
      <c r="WPL70" s="2"/>
      <c r="WPM70" s="2"/>
      <c r="WPN70" s="2"/>
      <c r="WPO70" s="2"/>
      <c r="WPP70" s="2"/>
      <c r="WPQ70" s="2"/>
      <c r="WPR70" s="2"/>
      <c r="WPS70" s="2"/>
      <c r="WPT70" s="2"/>
      <c r="WPU70" s="2"/>
      <c r="WPV70" s="2"/>
      <c r="WPW70" s="2"/>
      <c r="WPX70" s="2"/>
      <c r="WPY70" s="2"/>
      <c r="WPZ70" s="2"/>
      <c r="WQA70" s="2"/>
      <c r="WQB70" s="2"/>
      <c r="WQC70" s="2"/>
      <c r="WQD70" s="2"/>
      <c r="WQE70" s="2"/>
      <c r="WQF70" s="2"/>
      <c r="WQG70" s="2"/>
      <c r="WQH70" s="2"/>
      <c r="WQI70" s="2"/>
      <c r="WQJ70" s="2"/>
      <c r="WQK70" s="2"/>
      <c r="WQL70" s="2"/>
      <c r="WQM70" s="2"/>
      <c r="WQN70" s="2"/>
      <c r="WQO70" s="2"/>
      <c r="WQP70" s="2"/>
      <c r="WQQ70" s="2"/>
      <c r="WQR70" s="2"/>
      <c r="WQS70" s="2"/>
      <c r="WQT70" s="2"/>
      <c r="WQU70" s="2"/>
      <c r="WQV70" s="2"/>
      <c r="WQW70" s="2"/>
      <c r="WQX70" s="2"/>
      <c r="WQY70" s="2"/>
      <c r="WQZ70" s="2"/>
      <c r="WRA70" s="2"/>
      <c r="WRB70" s="2"/>
      <c r="WRC70" s="2"/>
      <c r="WRD70" s="2"/>
      <c r="WRE70" s="2"/>
      <c r="WRF70" s="2"/>
      <c r="WRG70" s="2"/>
      <c r="WRH70" s="2"/>
      <c r="WRI70" s="2"/>
      <c r="WRJ70" s="2"/>
      <c r="WRK70" s="2"/>
      <c r="WRL70" s="2"/>
      <c r="WRM70" s="2"/>
      <c r="WRN70" s="2"/>
      <c r="WRO70" s="2"/>
      <c r="WRP70" s="2"/>
      <c r="WRQ70" s="2"/>
      <c r="WRR70" s="2"/>
      <c r="WRS70" s="2"/>
      <c r="WRT70" s="2"/>
      <c r="WRU70" s="2"/>
      <c r="WRV70" s="2"/>
      <c r="WRW70" s="2"/>
      <c r="WRX70" s="2"/>
      <c r="WRY70" s="2"/>
      <c r="WRZ70" s="2"/>
      <c r="WSA70" s="2"/>
      <c r="WSB70" s="2"/>
      <c r="WSC70" s="2"/>
      <c r="WSD70" s="2"/>
      <c r="WSE70" s="2"/>
      <c r="WSF70" s="2"/>
      <c r="WSG70" s="2"/>
      <c r="WSH70" s="2"/>
      <c r="WSI70" s="2"/>
      <c r="WSJ70" s="2"/>
      <c r="WSK70" s="2"/>
      <c r="WSL70" s="2"/>
      <c r="WSM70" s="2"/>
      <c r="WSN70" s="2"/>
      <c r="WSO70" s="2"/>
      <c r="WSP70" s="2"/>
      <c r="WSQ70" s="2"/>
      <c r="WSR70" s="2"/>
      <c r="WSS70" s="2"/>
      <c r="WST70" s="2"/>
      <c r="WSU70" s="2"/>
      <c r="WSV70" s="2"/>
      <c r="WSW70" s="2"/>
      <c r="WSX70" s="2"/>
      <c r="WSY70" s="2"/>
      <c r="WSZ70" s="2"/>
      <c r="WTA70" s="2"/>
      <c r="WTB70" s="2"/>
      <c r="WTC70" s="2"/>
      <c r="WTD70" s="2"/>
      <c r="WTE70" s="2"/>
      <c r="WTF70" s="2"/>
      <c r="WTG70" s="2"/>
      <c r="WTH70" s="2"/>
      <c r="WTI70" s="2"/>
      <c r="WTJ70" s="2"/>
      <c r="WTK70" s="2"/>
      <c r="WTL70" s="2"/>
      <c r="WTM70" s="2"/>
      <c r="WTN70" s="2"/>
      <c r="WTO70" s="2"/>
      <c r="WTP70" s="2"/>
      <c r="WTQ70" s="2"/>
      <c r="WTR70" s="2"/>
      <c r="WTS70" s="2"/>
      <c r="WTT70" s="2"/>
      <c r="WTU70" s="2"/>
      <c r="WTV70" s="2"/>
      <c r="WTW70" s="2"/>
      <c r="WTX70" s="2"/>
      <c r="WTY70" s="2"/>
      <c r="WTZ70" s="2"/>
      <c r="WUA70" s="2"/>
      <c r="WUB70" s="2"/>
      <c r="WUC70" s="2"/>
      <c r="WUD70" s="2"/>
      <c r="WUE70" s="2"/>
      <c r="WUF70" s="2"/>
      <c r="WUG70" s="2"/>
      <c r="WUH70" s="2"/>
      <c r="WUI70" s="2"/>
      <c r="WUJ70" s="2"/>
      <c r="WUK70" s="2"/>
      <c r="WUL70" s="2"/>
      <c r="WUM70" s="2"/>
      <c r="WUN70" s="2"/>
      <c r="WUO70" s="2"/>
      <c r="WUP70" s="2"/>
      <c r="WUQ70" s="2"/>
      <c r="WUR70" s="2"/>
      <c r="WUS70" s="2"/>
      <c r="WUT70" s="2"/>
      <c r="WUU70" s="2"/>
      <c r="WUV70" s="2"/>
      <c r="WUW70" s="2"/>
      <c r="WUX70" s="2"/>
      <c r="WUY70" s="2"/>
      <c r="WUZ70" s="2"/>
      <c r="WVA70" s="2"/>
      <c r="WVB70" s="2"/>
      <c r="WVC70" s="2"/>
      <c r="WVD70" s="2"/>
      <c r="WVE70" s="2"/>
      <c r="WVF70" s="2"/>
      <c r="WVG70" s="2"/>
      <c r="WVH70" s="2"/>
      <c r="WVI70" s="2"/>
      <c r="WVJ70" s="2"/>
      <c r="WVK70" s="2"/>
      <c r="WVL70" s="2"/>
      <c r="WVM70" s="2"/>
      <c r="WVN70" s="2"/>
      <c r="WVO70" s="2"/>
      <c r="WVP70" s="2"/>
      <c r="WVQ70" s="2"/>
      <c r="WVR70" s="2"/>
      <c r="WVS70" s="2"/>
      <c r="WVT70" s="2"/>
      <c r="WVU70" s="2"/>
      <c r="WVV70" s="2"/>
      <c r="WVW70" s="2"/>
      <c r="WVX70" s="2"/>
      <c r="WVY70" s="2"/>
      <c r="WVZ70" s="2"/>
      <c r="WWA70" s="2"/>
      <c r="WWB70" s="2"/>
      <c r="WWC70" s="2"/>
      <c r="WWD70" s="2"/>
      <c r="WWE70" s="2"/>
      <c r="WWF70" s="2"/>
      <c r="WWG70" s="2"/>
      <c r="WWH70" s="2"/>
      <c r="WWI70" s="2"/>
      <c r="WWJ70" s="2"/>
      <c r="WWK70" s="2"/>
      <c r="WWL70" s="2"/>
      <c r="WWM70" s="2"/>
      <c r="WWN70" s="2"/>
      <c r="WWO70" s="2"/>
      <c r="WWP70" s="2"/>
      <c r="WWQ70" s="2"/>
      <c r="WWR70" s="2"/>
      <c r="WWS70" s="2"/>
      <c r="WWT70" s="2"/>
      <c r="WWU70" s="2"/>
      <c r="WWV70" s="2"/>
      <c r="WWW70" s="2"/>
      <c r="WWX70" s="2"/>
      <c r="WWY70" s="2"/>
      <c r="WWZ70" s="2"/>
      <c r="WXA70" s="2"/>
      <c r="WXB70" s="2"/>
      <c r="WXC70" s="2"/>
      <c r="WXD70" s="2"/>
      <c r="WXE70" s="2"/>
      <c r="WXF70" s="2"/>
      <c r="WXG70" s="2"/>
      <c r="WXH70" s="2"/>
      <c r="WXI70" s="2"/>
      <c r="WXJ70" s="2"/>
      <c r="WXK70" s="2"/>
      <c r="WXL70" s="2"/>
      <c r="WXM70" s="2"/>
      <c r="WXN70" s="2"/>
      <c r="WXO70" s="2"/>
      <c r="WXP70" s="2"/>
      <c r="WXQ70" s="2"/>
      <c r="WXR70" s="2"/>
      <c r="WXS70" s="2"/>
      <c r="WXT70" s="2"/>
      <c r="WXU70" s="2"/>
      <c r="WXV70" s="2"/>
      <c r="WXW70" s="2"/>
      <c r="WXX70" s="2"/>
      <c r="WXY70" s="2"/>
      <c r="WXZ70" s="2"/>
      <c r="WYA70" s="2"/>
      <c r="WYB70" s="2"/>
      <c r="WYC70" s="2"/>
      <c r="WYD70" s="2"/>
      <c r="WYE70" s="2"/>
      <c r="WYF70" s="2"/>
      <c r="WYG70" s="2"/>
      <c r="WYH70" s="2"/>
      <c r="WYI70" s="2"/>
      <c r="WYJ70" s="2"/>
      <c r="WYK70" s="2"/>
      <c r="WYL70" s="2"/>
      <c r="WYM70" s="2"/>
      <c r="WYN70" s="2"/>
      <c r="WYO70" s="2"/>
      <c r="WYP70" s="2"/>
      <c r="WYQ70" s="2"/>
      <c r="WYR70" s="2"/>
      <c r="WYS70" s="2"/>
      <c r="WYT70" s="2"/>
      <c r="WYU70" s="2"/>
      <c r="WYV70" s="2"/>
      <c r="WYW70" s="2"/>
      <c r="WYX70" s="2"/>
      <c r="WYY70" s="2"/>
      <c r="WYZ70" s="2"/>
      <c r="WZA70" s="2"/>
      <c r="WZB70" s="2"/>
      <c r="WZC70" s="2"/>
      <c r="WZD70" s="2"/>
      <c r="WZE70" s="2"/>
      <c r="WZF70" s="2"/>
      <c r="WZG70" s="2"/>
      <c r="WZH70" s="2"/>
      <c r="WZI70" s="2"/>
      <c r="WZJ70" s="2"/>
      <c r="WZK70" s="2"/>
      <c r="WZL70" s="2"/>
      <c r="WZM70" s="2"/>
      <c r="WZN70" s="2"/>
      <c r="WZO70" s="2"/>
      <c r="WZP70" s="2"/>
      <c r="WZQ70" s="2"/>
      <c r="WZR70" s="2"/>
      <c r="WZS70" s="2"/>
      <c r="WZT70" s="2"/>
      <c r="WZU70" s="2"/>
      <c r="WZV70" s="2"/>
      <c r="WZW70" s="2"/>
      <c r="WZX70" s="2"/>
      <c r="WZY70" s="2"/>
      <c r="WZZ70" s="2"/>
      <c r="XAA70" s="2"/>
      <c r="XAB70" s="2"/>
      <c r="XAC70" s="2"/>
      <c r="XAD70" s="2"/>
      <c r="XAE70" s="2"/>
      <c r="XAF70" s="2"/>
      <c r="XAG70" s="2"/>
      <c r="XAH70" s="2"/>
      <c r="XAI70" s="2"/>
      <c r="XAJ70" s="2"/>
      <c r="XAK70" s="2"/>
      <c r="XAL70" s="2"/>
      <c r="XAM70" s="2"/>
      <c r="XAN70" s="2"/>
      <c r="XAO70" s="2"/>
      <c r="XAP70" s="2"/>
      <c r="XAQ70" s="2"/>
      <c r="XAR70" s="2"/>
      <c r="XAS70" s="2"/>
      <c r="XAT70" s="2"/>
      <c r="XAU70" s="2"/>
      <c r="XAV70" s="2"/>
      <c r="XAW70" s="2"/>
      <c r="XAX70" s="2"/>
      <c r="XAY70" s="2"/>
      <c r="XAZ70" s="2"/>
      <c r="XBA70" s="2"/>
      <c r="XBB70" s="2"/>
      <c r="XBC70" s="2"/>
      <c r="XBD70" s="2"/>
      <c r="XBE70" s="2"/>
      <c r="XBF70" s="2"/>
      <c r="XBG70" s="2"/>
      <c r="XBH70" s="2"/>
      <c r="XBI70" s="2"/>
      <c r="XBJ70" s="2"/>
      <c r="XBK70" s="2"/>
      <c r="XBL70" s="2"/>
      <c r="XBM70" s="2"/>
      <c r="XBN70" s="2"/>
      <c r="XBO70" s="2"/>
      <c r="XBP70" s="2"/>
      <c r="XBQ70" s="2"/>
      <c r="XBR70" s="2"/>
      <c r="XBS70" s="2"/>
      <c r="XBT70" s="2"/>
      <c r="XBU70" s="2"/>
      <c r="XBV70" s="2"/>
      <c r="XBW70" s="2"/>
      <c r="XBX70" s="2"/>
      <c r="XBY70" s="2"/>
      <c r="XBZ70" s="2"/>
      <c r="XCA70" s="2"/>
      <c r="XCB70" s="2"/>
      <c r="XCC70" s="2"/>
      <c r="XCD70" s="2"/>
      <c r="XCE70" s="2"/>
      <c r="XCF70" s="2"/>
      <c r="XCG70" s="2"/>
      <c r="XCH70" s="2"/>
      <c r="XCI70" s="2"/>
      <c r="XCJ70" s="2"/>
      <c r="XCK70" s="2"/>
      <c r="XCL70" s="2"/>
      <c r="XCM70" s="2"/>
      <c r="XCN70" s="2"/>
      <c r="XCO70" s="2"/>
      <c r="XCP70" s="2"/>
      <c r="XCQ70" s="2"/>
      <c r="XCR70" s="2"/>
      <c r="XCS70" s="2"/>
      <c r="XCT70" s="2"/>
      <c r="XCU70" s="2"/>
      <c r="XCV70" s="2"/>
      <c r="XCW70" s="2"/>
      <c r="XCX70" s="2"/>
      <c r="XCY70" s="2"/>
      <c r="XCZ70" s="2"/>
      <c r="XDA70" s="2"/>
      <c r="XDB70" s="2"/>
      <c r="XDC70" s="2"/>
      <c r="XDD70" s="2"/>
      <c r="XDE70" s="2"/>
      <c r="XDF70" s="2"/>
      <c r="XDG70" s="2"/>
      <c r="XDH70" s="2"/>
      <c r="XDI70" s="2"/>
      <c r="XDJ70" s="2"/>
      <c r="XDK70" s="2"/>
      <c r="XDL70" s="2"/>
      <c r="XDM70" s="2"/>
      <c r="XDN70" s="2"/>
      <c r="XDO70" s="2"/>
      <c r="XDP70" s="2"/>
      <c r="XDQ70" s="2"/>
      <c r="XDR70" s="2"/>
      <c r="XDS70" s="2"/>
      <c r="XDT70" s="2"/>
      <c r="XDU70" s="2"/>
      <c r="XDV70" s="2"/>
      <c r="XDW70" s="2"/>
      <c r="XDX70" s="2"/>
      <c r="XDY70" s="2"/>
      <c r="XDZ70" s="2"/>
      <c r="XEA70" s="2"/>
      <c r="XEB70" s="2"/>
      <c r="XEC70" s="2"/>
      <c r="XED70" s="2"/>
      <c r="XEE70" s="2"/>
      <c r="XEF70" s="2"/>
      <c r="XEG70" s="2"/>
      <c r="XEH70" s="2"/>
      <c r="XEI70" s="2"/>
      <c r="XEJ70" s="2"/>
      <c r="XEK70" s="2"/>
      <c r="XEL70" s="2"/>
      <c r="XEM70" s="2"/>
      <c r="XEN70" s="2"/>
      <c r="XEO70" s="2"/>
      <c r="XEP70" s="2"/>
      <c r="XEQ70" s="2"/>
      <c r="XER70" s="2"/>
      <c r="XES70" s="2"/>
      <c r="XET70" s="2"/>
      <c r="XEU70" s="2"/>
      <c r="XEV70" s="2"/>
      <c r="XEW70" s="2"/>
      <c r="XEX70" s="2"/>
      <c r="XEY70" s="2"/>
      <c r="XEZ70" s="2"/>
      <c r="XFA70" s="2"/>
      <c r="XFB70" s="2"/>
      <c r="XFC70" s="2"/>
    </row>
    <row r="71" spans="1:16383" x14ac:dyDescent="0.35">
      <c r="A71" s="5" t="s">
        <v>176</v>
      </c>
      <c r="I71" s="50">
        <f>I69/F70</f>
        <v>89.299482342067918</v>
      </c>
    </row>
    <row r="73" spans="1:16383" x14ac:dyDescent="0.35">
      <c r="A73" s="55" t="s">
        <v>214</v>
      </c>
      <c r="B73" s="55"/>
      <c r="C73" s="55"/>
      <c r="D73" s="55"/>
      <c r="E73" s="55"/>
      <c r="F73" s="55"/>
      <c r="G73" s="55"/>
      <c r="H73" s="55"/>
      <c r="I73" s="55"/>
      <c r="J73" s="55"/>
      <c r="K73" s="55"/>
      <c r="L73" s="55"/>
      <c r="M73" s="55"/>
      <c r="N73" s="55"/>
      <c r="O73" s="55"/>
      <c r="P73" s="55"/>
      <c r="Q73" s="55"/>
      <c r="R73" s="55"/>
      <c r="S73" s="55"/>
      <c r="T73" s="55"/>
      <c r="U73" s="55"/>
      <c r="V73" s="55"/>
      <c r="W73" s="55"/>
      <c r="X73" s="55"/>
      <c r="Y73" s="55"/>
      <c r="Z73" s="55"/>
      <c r="AA73" s="55"/>
      <c r="AB73" s="55"/>
      <c r="AC73" s="55"/>
      <c r="AD73" s="55"/>
      <c r="AE73" s="55"/>
      <c r="AF73" s="55"/>
      <c r="AG73" s="55"/>
      <c r="AH73" s="55"/>
      <c r="AI73" s="55"/>
      <c r="AJ73" s="55"/>
      <c r="AK73" s="55"/>
      <c r="AL73" s="55"/>
      <c r="AM73" s="55"/>
      <c r="AN73" s="55"/>
      <c r="AO73" s="55"/>
      <c r="AP73" s="55"/>
      <c r="AQ73" s="55"/>
      <c r="AR73" s="55"/>
      <c r="AS73" s="55"/>
      <c r="AT73" s="55"/>
      <c r="AU73" s="55"/>
      <c r="AV73" s="55"/>
      <c r="AW73" s="55"/>
      <c r="AX73" s="55"/>
      <c r="AY73" s="55"/>
      <c r="AZ73" s="55"/>
      <c r="BA73" s="55"/>
      <c r="BB73" s="55"/>
      <c r="BC73" s="55"/>
      <c r="BD73" s="55"/>
      <c r="BE73" s="55"/>
      <c r="BF73" s="55"/>
      <c r="BG73" s="55"/>
      <c r="BH73" s="55"/>
      <c r="BI73" s="55"/>
      <c r="BJ73" s="55"/>
      <c r="BK73" s="55"/>
      <c r="BL73" s="55"/>
      <c r="BM73" s="55"/>
      <c r="BN73" s="55"/>
      <c r="BO73" s="55"/>
      <c r="BP73" s="55"/>
      <c r="BQ73" s="55"/>
      <c r="BR73" s="55"/>
      <c r="BS73" s="55"/>
      <c r="BT73" s="55"/>
      <c r="BU73" s="55"/>
      <c r="BV73" s="55"/>
      <c r="BW73" s="55"/>
      <c r="BX73" s="55"/>
      <c r="BY73" s="55"/>
      <c r="BZ73" s="55"/>
      <c r="CA73" s="55"/>
      <c r="CB73" s="55"/>
      <c r="CC73" s="55"/>
      <c r="CD73" s="55"/>
      <c r="CE73" s="55"/>
      <c r="CF73" s="55"/>
      <c r="CG73" s="55"/>
      <c r="CH73" s="55"/>
      <c r="CI73" s="55"/>
      <c r="CJ73" s="55"/>
      <c r="CK73" s="55"/>
      <c r="CL73" s="55"/>
      <c r="CM73" s="55"/>
      <c r="CN73" s="55"/>
      <c r="CO73" s="55"/>
      <c r="CP73" s="55"/>
      <c r="CQ73" s="55"/>
      <c r="CR73" s="55"/>
      <c r="CS73" s="55"/>
      <c r="CT73" s="55"/>
      <c r="CU73" s="55"/>
      <c r="CV73" s="55"/>
      <c r="CW73" s="55"/>
      <c r="CX73" s="55"/>
      <c r="CY73" s="55"/>
      <c r="CZ73" s="55"/>
      <c r="DA73" s="55"/>
      <c r="DB73" s="55"/>
      <c r="DC73" s="55"/>
      <c r="DD73" s="55"/>
      <c r="DE73" s="55"/>
      <c r="DF73" s="55"/>
      <c r="DG73" s="55"/>
      <c r="DH73" s="55"/>
      <c r="DI73" s="55"/>
      <c r="DJ73" s="55"/>
      <c r="DK73" s="55"/>
      <c r="DL73" s="55"/>
      <c r="DM73" s="55"/>
      <c r="DN73" s="55"/>
      <c r="DO73" s="55"/>
      <c r="DP73" s="55"/>
      <c r="DQ73" s="55"/>
      <c r="DR73" s="55"/>
      <c r="DS73" s="55"/>
      <c r="DT73" s="55"/>
      <c r="DU73" s="55"/>
      <c r="DV73" s="55"/>
      <c r="DW73" s="55"/>
      <c r="DX73" s="55"/>
      <c r="DY73" s="55"/>
      <c r="DZ73" s="55"/>
      <c r="EA73" s="55"/>
      <c r="EB73" s="55"/>
      <c r="EC73" s="55"/>
      <c r="ED73" s="55"/>
      <c r="EE73" s="55"/>
      <c r="EF73" s="55"/>
      <c r="EG73" s="55"/>
      <c r="EH73" s="55"/>
      <c r="EI73" s="55"/>
      <c r="EJ73" s="55"/>
      <c r="EK73" s="55"/>
      <c r="EL73" s="55"/>
      <c r="EM73" s="55"/>
      <c r="EN73" s="55"/>
      <c r="EO73" s="55"/>
      <c r="EP73" s="55"/>
      <c r="EQ73" s="55"/>
      <c r="ER73" s="55"/>
      <c r="ES73" s="55"/>
      <c r="ET73" s="55"/>
      <c r="EU73" s="55"/>
      <c r="EV73" s="55"/>
      <c r="EW73" s="55"/>
      <c r="EX73" s="55"/>
      <c r="EY73" s="55"/>
      <c r="EZ73" s="55"/>
      <c r="FA73" s="55"/>
      <c r="FB73" s="55"/>
      <c r="FC73" s="55"/>
      <c r="FD73" s="55"/>
      <c r="FE73" s="55"/>
      <c r="FF73" s="55"/>
      <c r="FG73" s="55"/>
      <c r="FH73" s="55"/>
      <c r="FI73" s="55"/>
      <c r="FJ73" s="55"/>
      <c r="FK73" s="55"/>
      <c r="FL73" s="55"/>
      <c r="FM73" s="55"/>
      <c r="FN73" s="55"/>
      <c r="FO73" s="55"/>
      <c r="FP73" s="55"/>
      <c r="FQ73" s="55"/>
      <c r="FR73" s="55"/>
      <c r="FS73" s="55"/>
      <c r="FT73" s="55"/>
      <c r="FU73" s="55"/>
      <c r="FV73" s="55"/>
      <c r="FW73" s="55"/>
      <c r="FX73" s="55"/>
      <c r="FY73" s="55"/>
      <c r="FZ73" s="55"/>
      <c r="GA73" s="55"/>
      <c r="GB73" s="55"/>
      <c r="GC73" s="55"/>
      <c r="GD73" s="55"/>
      <c r="GE73" s="55"/>
      <c r="GF73" s="55"/>
      <c r="GG73" s="55"/>
      <c r="GH73" s="55"/>
      <c r="GI73" s="55"/>
      <c r="GJ73" s="55"/>
      <c r="GK73" s="55"/>
      <c r="GL73" s="55"/>
      <c r="GM73" s="55"/>
      <c r="GN73" s="55"/>
      <c r="GO73" s="55"/>
      <c r="GP73" s="55"/>
      <c r="GQ73" s="55"/>
      <c r="GR73" s="55"/>
      <c r="GS73" s="55"/>
      <c r="GT73" s="55"/>
      <c r="GU73" s="55"/>
      <c r="GV73" s="55"/>
      <c r="GW73" s="55"/>
      <c r="GX73" s="55"/>
      <c r="GY73" s="55"/>
      <c r="GZ73" s="55"/>
      <c r="HA73" s="55"/>
      <c r="HB73" s="55"/>
      <c r="HC73" s="55"/>
      <c r="HD73" s="55"/>
      <c r="HE73" s="55"/>
      <c r="HF73" s="55"/>
      <c r="HG73" s="55"/>
      <c r="HH73" s="55"/>
      <c r="HI73" s="55"/>
      <c r="HJ73" s="55"/>
      <c r="HK73" s="55"/>
      <c r="HL73" s="55"/>
      <c r="HM73" s="55"/>
      <c r="HN73" s="55"/>
      <c r="HO73" s="55"/>
      <c r="HP73" s="55"/>
      <c r="HQ73" s="55"/>
      <c r="HR73" s="55"/>
      <c r="HS73" s="55"/>
      <c r="HT73" s="55"/>
      <c r="HU73" s="55"/>
      <c r="HV73" s="55"/>
      <c r="HW73" s="55"/>
      <c r="HX73" s="55"/>
      <c r="HY73" s="55"/>
      <c r="HZ73" s="55"/>
      <c r="IA73" s="55"/>
      <c r="IB73" s="55"/>
      <c r="IC73" s="55"/>
      <c r="ID73" s="55"/>
      <c r="IE73" s="55"/>
      <c r="IF73" s="55"/>
      <c r="IG73" s="55"/>
      <c r="IH73" s="55"/>
      <c r="II73" s="55"/>
      <c r="IJ73" s="55"/>
      <c r="IK73" s="55"/>
      <c r="IL73" s="55"/>
      <c r="IM73" s="55"/>
      <c r="IN73" s="55"/>
      <c r="IO73" s="55"/>
      <c r="IP73" s="55"/>
      <c r="IQ73" s="55"/>
      <c r="IR73" s="55"/>
      <c r="IS73" s="55"/>
      <c r="IT73" s="55"/>
      <c r="IU73" s="55"/>
      <c r="IV73" s="55"/>
      <c r="IW73" s="55"/>
      <c r="IX73" s="55"/>
      <c r="IY73" s="55"/>
      <c r="IZ73" s="55"/>
      <c r="JA73" s="55"/>
      <c r="JB73" s="55"/>
      <c r="JC73" s="55"/>
      <c r="JD73" s="55"/>
      <c r="JE73" s="55"/>
      <c r="JF73" s="55"/>
      <c r="JG73" s="55"/>
      <c r="JH73" s="55"/>
      <c r="JI73" s="55"/>
      <c r="JJ73" s="55"/>
      <c r="JK73" s="55"/>
      <c r="JL73" s="55"/>
      <c r="JM73" s="55"/>
      <c r="JN73" s="55"/>
      <c r="JO73" s="55"/>
      <c r="JP73" s="55"/>
      <c r="JQ73" s="55"/>
      <c r="JR73" s="55"/>
      <c r="JS73" s="55"/>
      <c r="JT73" s="55"/>
      <c r="JU73" s="55"/>
      <c r="JV73" s="55"/>
      <c r="JW73" s="55"/>
      <c r="JX73" s="55"/>
      <c r="JY73" s="55"/>
      <c r="JZ73" s="55"/>
      <c r="KA73" s="55"/>
      <c r="KB73" s="55"/>
      <c r="KC73" s="55"/>
      <c r="KD73" s="55"/>
      <c r="KE73" s="55"/>
      <c r="KF73" s="55"/>
      <c r="KG73" s="55"/>
      <c r="KH73" s="55"/>
      <c r="KI73" s="55"/>
      <c r="KJ73" s="55"/>
      <c r="KK73" s="55"/>
      <c r="KL73" s="55"/>
      <c r="KM73" s="55"/>
      <c r="KN73" s="55"/>
      <c r="KO73" s="55"/>
      <c r="KP73" s="55"/>
      <c r="KQ73" s="55"/>
      <c r="KR73" s="55"/>
      <c r="KS73" s="55"/>
      <c r="KT73" s="55"/>
      <c r="KU73" s="55"/>
      <c r="KV73" s="55"/>
      <c r="KW73" s="55"/>
      <c r="KX73" s="55"/>
      <c r="KY73" s="55"/>
      <c r="KZ73" s="55"/>
      <c r="LA73" s="55"/>
      <c r="LB73" s="55"/>
      <c r="LC73" s="55"/>
      <c r="LD73" s="55"/>
      <c r="LE73" s="55"/>
      <c r="LF73" s="55"/>
      <c r="LG73" s="55"/>
      <c r="LH73" s="55"/>
      <c r="LI73" s="55"/>
      <c r="LJ73" s="55"/>
      <c r="LK73" s="55"/>
      <c r="LL73" s="55"/>
      <c r="LM73" s="55"/>
      <c r="LN73" s="55"/>
      <c r="LO73" s="55"/>
      <c r="LP73" s="55"/>
      <c r="LQ73" s="55"/>
      <c r="LR73" s="55"/>
      <c r="LS73" s="55"/>
      <c r="LT73" s="55"/>
      <c r="LU73" s="55"/>
      <c r="LV73" s="55"/>
      <c r="LW73" s="55"/>
      <c r="LX73" s="55"/>
      <c r="LY73" s="55"/>
      <c r="LZ73" s="55"/>
      <c r="MA73" s="55"/>
      <c r="MB73" s="55"/>
      <c r="MC73" s="55"/>
      <c r="MD73" s="55"/>
      <c r="ME73" s="55"/>
      <c r="MF73" s="55"/>
      <c r="MG73" s="55"/>
      <c r="MH73" s="55"/>
      <c r="MI73" s="55"/>
      <c r="MJ73" s="55"/>
      <c r="MK73" s="55"/>
      <c r="ML73" s="55"/>
      <c r="MM73" s="55"/>
      <c r="MN73" s="55"/>
      <c r="MO73" s="55"/>
      <c r="MP73" s="55"/>
      <c r="MQ73" s="55"/>
      <c r="MR73" s="55"/>
      <c r="MS73" s="55"/>
      <c r="MT73" s="55"/>
      <c r="MU73" s="55"/>
      <c r="MV73" s="55"/>
      <c r="MW73" s="55"/>
      <c r="MX73" s="55"/>
      <c r="MY73" s="55"/>
      <c r="MZ73" s="55"/>
      <c r="NA73" s="55"/>
      <c r="NB73" s="55"/>
      <c r="NC73" s="55"/>
      <c r="ND73" s="55"/>
      <c r="NE73" s="55"/>
      <c r="NF73" s="55"/>
      <c r="NG73" s="55"/>
      <c r="NH73" s="55"/>
      <c r="NI73" s="55"/>
      <c r="NJ73" s="55"/>
      <c r="NK73" s="55"/>
      <c r="NL73" s="55"/>
      <c r="NM73" s="55"/>
      <c r="NN73" s="55"/>
      <c r="NO73" s="55"/>
      <c r="NP73" s="55"/>
      <c r="NQ73" s="55"/>
      <c r="NR73" s="55"/>
      <c r="NS73" s="55"/>
      <c r="NT73" s="55"/>
      <c r="NU73" s="55"/>
      <c r="NV73" s="55"/>
      <c r="NW73" s="55"/>
      <c r="NX73" s="55"/>
      <c r="NY73" s="55"/>
      <c r="NZ73" s="55"/>
      <c r="OA73" s="55"/>
      <c r="OB73" s="55"/>
      <c r="OC73" s="55"/>
      <c r="OD73" s="55"/>
      <c r="OE73" s="55"/>
      <c r="OF73" s="55"/>
      <c r="OG73" s="55"/>
      <c r="OH73" s="55"/>
      <c r="OI73" s="55"/>
      <c r="OJ73" s="55"/>
      <c r="OK73" s="55"/>
      <c r="OL73" s="55"/>
      <c r="OM73" s="55"/>
      <c r="ON73" s="55"/>
      <c r="OO73" s="55"/>
      <c r="OP73" s="55"/>
      <c r="OQ73" s="55"/>
      <c r="OR73" s="55"/>
      <c r="OS73" s="55"/>
      <c r="OT73" s="55"/>
      <c r="OU73" s="55"/>
      <c r="OV73" s="55"/>
      <c r="OW73" s="55"/>
      <c r="OX73" s="55"/>
      <c r="OY73" s="55"/>
      <c r="OZ73" s="55"/>
      <c r="PA73" s="55"/>
      <c r="PB73" s="55"/>
      <c r="PC73" s="55"/>
      <c r="PD73" s="55"/>
      <c r="PE73" s="55"/>
      <c r="PF73" s="55"/>
      <c r="PG73" s="55"/>
      <c r="PH73" s="55"/>
      <c r="PI73" s="55"/>
      <c r="PJ73" s="55"/>
      <c r="PK73" s="55"/>
      <c r="PL73" s="55"/>
      <c r="PM73" s="55"/>
      <c r="PN73" s="55"/>
      <c r="PO73" s="55"/>
      <c r="PP73" s="55"/>
      <c r="PQ73" s="55"/>
      <c r="PR73" s="55"/>
      <c r="PS73" s="55"/>
      <c r="PT73" s="55"/>
      <c r="PU73" s="55"/>
      <c r="PV73" s="55"/>
      <c r="PW73" s="55"/>
      <c r="PX73" s="55"/>
      <c r="PY73" s="55"/>
      <c r="PZ73" s="55"/>
      <c r="QA73" s="55"/>
      <c r="QB73" s="55"/>
      <c r="QC73" s="55"/>
      <c r="QD73" s="55"/>
      <c r="QE73" s="55"/>
      <c r="QF73" s="55"/>
      <c r="QG73" s="55"/>
      <c r="QH73" s="55"/>
      <c r="QI73" s="55"/>
      <c r="QJ73" s="55"/>
      <c r="QK73" s="55"/>
      <c r="QL73" s="55"/>
      <c r="QM73" s="55"/>
      <c r="QN73" s="55"/>
      <c r="QO73" s="55"/>
      <c r="QP73" s="55"/>
      <c r="QQ73" s="55"/>
      <c r="QR73" s="55"/>
      <c r="QS73" s="55"/>
      <c r="QT73" s="55"/>
      <c r="QU73" s="55"/>
      <c r="QV73" s="55"/>
      <c r="QW73" s="55"/>
      <c r="QX73" s="55"/>
      <c r="QY73" s="55"/>
      <c r="QZ73" s="55"/>
      <c r="RA73" s="55"/>
      <c r="RB73" s="55"/>
      <c r="RC73" s="55"/>
      <c r="RD73" s="55"/>
      <c r="RE73" s="55"/>
      <c r="RF73" s="55"/>
      <c r="RG73" s="55"/>
      <c r="RH73" s="55"/>
      <c r="RI73" s="55"/>
      <c r="RJ73" s="55"/>
      <c r="RK73" s="55"/>
      <c r="RL73" s="55"/>
      <c r="RM73" s="55"/>
      <c r="RN73" s="55"/>
      <c r="RO73" s="55"/>
      <c r="RP73" s="55"/>
      <c r="RQ73" s="55"/>
      <c r="RR73" s="55"/>
      <c r="RS73" s="55"/>
      <c r="RT73" s="55"/>
      <c r="RU73" s="55"/>
      <c r="RV73" s="55"/>
      <c r="RW73" s="55"/>
      <c r="RX73" s="55"/>
      <c r="RY73" s="55"/>
      <c r="RZ73" s="55"/>
      <c r="SA73" s="55"/>
      <c r="SB73" s="55"/>
      <c r="SC73" s="55"/>
      <c r="SD73" s="55"/>
      <c r="SE73" s="55"/>
      <c r="SF73" s="55"/>
      <c r="SG73" s="55"/>
      <c r="SH73" s="55"/>
      <c r="SI73" s="55"/>
      <c r="SJ73" s="55"/>
      <c r="SK73" s="55"/>
      <c r="SL73" s="55"/>
      <c r="SM73" s="55"/>
      <c r="SN73" s="55"/>
      <c r="SO73" s="55"/>
      <c r="SP73" s="55"/>
      <c r="SQ73" s="55"/>
      <c r="SR73" s="55"/>
      <c r="SS73" s="55"/>
      <c r="ST73" s="55"/>
      <c r="SU73" s="55"/>
      <c r="SV73" s="55"/>
      <c r="SW73" s="55"/>
      <c r="SX73" s="55"/>
      <c r="SY73" s="55"/>
      <c r="SZ73" s="55"/>
      <c r="TA73" s="55"/>
      <c r="TB73" s="55"/>
      <c r="TC73" s="55"/>
      <c r="TD73" s="55"/>
      <c r="TE73" s="55"/>
      <c r="TF73" s="55"/>
      <c r="TG73" s="55"/>
      <c r="TH73" s="55"/>
      <c r="TI73" s="55"/>
      <c r="TJ73" s="55"/>
      <c r="TK73" s="55"/>
      <c r="TL73" s="55"/>
      <c r="TM73" s="55"/>
      <c r="TN73" s="55"/>
      <c r="TO73" s="55"/>
      <c r="TP73" s="55"/>
      <c r="TQ73" s="55"/>
      <c r="TR73" s="55"/>
      <c r="TS73" s="55"/>
      <c r="TT73" s="55"/>
      <c r="TU73" s="55"/>
      <c r="TV73" s="55"/>
      <c r="TW73" s="55"/>
      <c r="TX73" s="55"/>
      <c r="TY73" s="55"/>
      <c r="TZ73" s="55"/>
      <c r="UA73" s="55"/>
      <c r="UB73" s="55"/>
      <c r="UC73" s="55"/>
      <c r="UD73" s="55"/>
      <c r="UE73" s="55"/>
      <c r="UF73" s="55"/>
      <c r="UG73" s="55"/>
      <c r="UH73" s="55"/>
      <c r="UI73" s="55"/>
      <c r="UJ73" s="55"/>
      <c r="UK73" s="55"/>
      <c r="UL73" s="55"/>
      <c r="UM73" s="55"/>
      <c r="UN73" s="55"/>
      <c r="UO73" s="55"/>
      <c r="UP73" s="55"/>
      <c r="UQ73" s="55"/>
      <c r="UR73" s="55"/>
      <c r="US73" s="55"/>
      <c r="UT73" s="55"/>
      <c r="UU73" s="55"/>
      <c r="UV73" s="55"/>
      <c r="UW73" s="55"/>
      <c r="UX73" s="55"/>
      <c r="UY73" s="55"/>
      <c r="UZ73" s="55"/>
      <c r="VA73" s="55"/>
      <c r="VB73" s="55"/>
      <c r="VC73" s="55"/>
      <c r="VD73" s="55"/>
      <c r="VE73" s="55"/>
      <c r="VF73" s="55"/>
      <c r="VG73" s="55"/>
      <c r="VH73" s="55"/>
      <c r="VI73" s="55"/>
      <c r="VJ73" s="55"/>
      <c r="VK73" s="55"/>
      <c r="VL73" s="55"/>
      <c r="VM73" s="55"/>
      <c r="VN73" s="55"/>
      <c r="VO73" s="55"/>
      <c r="VP73" s="55"/>
      <c r="VQ73" s="55"/>
      <c r="VR73" s="55"/>
      <c r="VS73" s="55"/>
      <c r="VT73" s="55"/>
      <c r="VU73" s="55"/>
      <c r="VV73" s="55"/>
      <c r="VW73" s="55"/>
      <c r="VX73" s="55"/>
      <c r="VY73" s="55"/>
      <c r="VZ73" s="55"/>
      <c r="WA73" s="55"/>
      <c r="WB73" s="55"/>
      <c r="WC73" s="55"/>
      <c r="WD73" s="55"/>
      <c r="WE73" s="55"/>
      <c r="WF73" s="55"/>
      <c r="WG73" s="55"/>
      <c r="WH73" s="55"/>
      <c r="WI73" s="55"/>
      <c r="WJ73" s="55"/>
      <c r="WK73" s="55"/>
      <c r="WL73" s="55"/>
      <c r="WM73" s="55"/>
      <c r="WN73" s="55"/>
      <c r="WO73" s="55"/>
      <c r="WP73" s="55"/>
      <c r="WQ73" s="55"/>
      <c r="WR73" s="55"/>
      <c r="WS73" s="55"/>
      <c r="WT73" s="55"/>
      <c r="WU73" s="55"/>
      <c r="WV73" s="55"/>
      <c r="WW73" s="55"/>
      <c r="WX73" s="55"/>
      <c r="WY73" s="55"/>
      <c r="WZ73" s="55"/>
      <c r="XA73" s="55"/>
      <c r="XB73" s="55"/>
      <c r="XC73" s="55"/>
      <c r="XD73" s="55"/>
      <c r="XE73" s="55"/>
      <c r="XF73" s="55"/>
      <c r="XG73" s="55"/>
      <c r="XH73" s="55"/>
      <c r="XI73" s="55"/>
      <c r="XJ73" s="55"/>
      <c r="XK73" s="55"/>
      <c r="XL73" s="55"/>
      <c r="XM73" s="55"/>
      <c r="XN73" s="55"/>
      <c r="XO73" s="55"/>
      <c r="XP73" s="55"/>
      <c r="XQ73" s="55"/>
      <c r="XR73" s="55"/>
      <c r="XS73" s="55"/>
      <c r="XT73" s="55"/>
      <c r="XU73" s="55"/>
      <c r="XV73" s="55"/>
      <c r="XW73" s="55"/>
      <c r="XX73" s="55"/>
      <c r="XY73" s="55"/>
      <c r="XZ73" s="55"/>
      <c r="YA73" s="55"/>
      <c r="YB73" s="55"/>
      <c r="YC73" s="55"/>
      <c r="YD73" s="55"/>
      <c r="YE73" s="55"/>
      <c r="YF73" s="55"/>
      <c r="YG73" s="55"/>
      <c r="YH73" s="55"/>
      <c r="YI73" s="55"/>
      <c r="YJ73" s="55"/>
      <c r="YK73" s="55"/>
      <c r="YL73" s="55"/>
      <c r="YM73" s="55"/>
      <c r="YN73" s="55"/>
      <c r="YO73" s="55"/>
      <c r="YP73" s="55"/>
      <c r="YQ73" s="55"/>
      <c r="YR73" s="55"/>
      <c r="YS73" s="55"/>
      <c r="YT73" s="55"/>
      <c r="YU73" s="55"/>
      <c r="YV73" s="55"/>
      <c r="YW73" s="55"/>
      <c r="YX73" s="55"/>
      <c r="YY73" s="55"/>
      <c r="YZ73" s="55"/>
      <c r="ZA73" s="55"/>
      <c r="ZB73" s="55"/>
      <c r="ZC73" s="55"/>
      <c r="ZD73" s="55"/>
      <c r="ZE73" s="55"/>
      <c r="ZF73" s="55"/>
      <c r="ZG73" s="55"/>
      <c r="ZH73" s="55"/>
      <c r="ZI73" s="55"/>
      <c r="ZJ73" s="55"/>
      <c r="ZK73" s="55"/>
      <c r="ZL73" s="55"/>
      <c r="ZM73" s="55"/>
      <c r="ZN73" s="55"/>
      <c r="ZO73" s="55"/>
      <c r="ZP73" s="55"/>
      <c r="ZQ73" s="55"/>
      <c r="ZR73" s="55"/>
      <c r="ZS73" s="55"/>
      <c r="ZT73" s="55"/>
      <c r="ZU73" s="55"/>
      <c r="ZV73" s="55"/>
      <c r="ZW73" s="55"/>
      <c r="ZX73" s="55"/>
      <c r="ZY73" s="55"/>
      <c r="ZZ73" s="55"/>
      <c r="AAA73" s="55"/>
      <c r="AAB73" s="55"/>
      <c r="AAC73" s="55"/>
      <c r="AAD73" s="55"/>
      <c r="AAE73" s="55"/>
      <c r="AAF73" s="55"/>
      <c r="AAG73" s="55"/>
      <c r="AAH73" s="55"/>
      <c r="AAI73" s="55"/>
      <c r="AAJ73" s="55"/>
      <c r="AAK73" s="55"/>
      <c r="AAL73" s="55"/>
      <c r="AAM73" s="55"/>
      <c r="AAN73" s="55"/>
      <c r="AAO73" s="55"/>
      <c r="AAP73" s="55"/>
      <c r="AAQ73" s="55"/>
      <c r="AAR73" s="55"/>
      <c r="AAS73" s="55"/>
      <c r="AAT73" s="55"/>
      <c r="AAU73" s="55"/>
      <c r="AAV73" s="55"/>
      <c r="AAW73" s="55"/>
      <c r="AAX73" s="55"/>
      <c r="AAY73" s="55"/>
      <c r="AAZ73" s="55"/>
      <c r="ABA73" s="55"/>
      <c r="ABB73" s="55"/>
      <c r="ABC73" s="55"/>
      <c r="ABD73" s="55"/>
      <c r="ABE73" s="55"/>
      <c r="ABF73" s="55"/>
      <c r="ABG73" s="55"/>
      <c r="ABH73" s="55"/>
      <c r="ABI73" s="55"/>
      <c r="ABJ73" s="55"/>
      <c r="ABK73" s="55"/>
      <c r="ABL73" s="55"/>
      <c r="ABM73" s="55"/>
      <c r="ABN73" s="55"/>
      <c r="ABO73" s="55"/>
      <c r="ABP73" s="55"/>
      <c r="ABQ73" s="55"/>
      <c r="ABR73" s="55"/>
      <c r="ABS73" s="55"/>
      <c r="ABT73" s="55"/>
      <c r="ABU73" s="55"/>
      <c r="ABV73" s="55"/>
      <c r="ABW73" s="55"/>
      <c r="ABX73" s="55"/>
      <c r="ABY73" s="55"/>
      <c r="ABZ73" s="55"/>
      <c r="ACA73" s="55"/>
      <c r="ACB73" s="55"/>
      <c r="ACC73" s="55"/>
      <c r="ACD73" s="55"/>
      <c r="ACE73" s="55"/>
      <c r="ACF73" s="55"/>
      <c r="ACG73" s="55"/>
      <c r="ACH73" s="55"/>
      <c r="ACI73" s="55"/>
      <c r="ACJ73" s="55"/>
      <c r="ACK73" s="55"/>
      <c r="ACL73" s="55"/>
      <c r="ACM73" s="55"/>
      <c r="ACN73" s="55"/>
      <c r="ACO73" s="55"/>
      <c r="ACP73" s="55"/>
      <c r="ACQ73" s="55"/>
      <c r="ACR73" s="55"/>
      <c r="ACS73" s="55"/>
      <c r="ACT73" s="55"/>
      <c r="ACU73" s="55"/>
      <c r="ACV73" s="55"/>
      <c r="ACW73" s="55"/>
      <c r="ACX73" s="55"/>
      <c r="ACY73" s="55"/>
      <c r="ACZ73" s="55"/>
      <c r="ADA73" s="55"/>
      <c r="ADB73" s="55"/>
      <c r="ADC73" s="55"/>
      <c r="ADD73" s="55"/>
      <c r="ADE73" s="55"/>
      <c r="ADF73" s="55"/>
      <c r="ADG73" s="55"/>
      <c r="ADH73" s="55"/>
      <c r="ADI73" s="55"/>
      <c r="ADJ73" s="55"/>
      <c r="ADK73" s="55"/>
      <c r="ADL73" s="55"/>
      <c r="ADM73" s="55"/>
      <c r="ADN73" s="55"/>
      <c r="ADO73" s="55"/>
      <c r="ADP73" s="55"/>
      <c r="ADQ73" s="55"/>
      <c r="ADR73" s="55"/>
      <c r="ADS73" s="55"/>
      <c r="ADT73" s="55"/>
      <c r="ADU73" s="55"/>
      <c r="ADV73" s="55"/>
      <c r="ADW73" s="55"/>
      <c r="ADX73" s="55"/>
      <c r="ADY73" s="55"/>
      <c r="ADZ73" s="55"/>
      <c r="AEA73" s="55"/>
      <c r="AEB73" s="55"/>
      <c r="AEC73" s="55"/>
      <c r="AED73" s="55"/>
      <c r="AEE73" s="55"/>
      <c r="AEF73" s="55"/>
      <c r="AEG73" s="55"/>
      <c r="AEH73" s="55"/>
      <c r="AEI73" s="55"/>
      <c r="AEJ73" s="55"/>
      <c r="AEK73" s="55"/>
      <c r="AEL73" s="55"/>
      <c r="AEM73" s="55"/>
      <c r="AEN73" s="55"/>
      <c r="AEO73" s="55"/>
      <c r="AEP73" s="55"/>
      <c r="AEQ73" s="55"/>
      <c r="AER73" s="55"/>
      <c r="AES73" s="55"/>
      <c r="AET73" s="55"/>
      <c r="AEU73" s="55"/>
      <c r="AEV73" s="55"/>
      <c r="AEW73" s="55"/>
      <c r="AEX73" s="55"/>
      <c r="AEY73" s="55"/>
      <c r="AEZ73" s="55"/>
      <c r="AFA73" s="55"/>
      <c r="AFB73" s="55"/>
      <c r="AFC73" s="55"/>
      <c r="AFD73" s="55"/>
      <c r="AFE73" s="55"/>
      <c r="AFF73" s="55"/>
      <c r="AFG73" s="55"/>
      <c r="AFH73" s="55"/>
      <c r="AFI73" s="55"/>
      <c r="AFJ73" s="55"/>
      <c r="AFK73" s="55"/>
      <c r="AFL73" s="55"/>
      <c r="AFM73" s="55"/>
      <c r="AFN73" s="55"/>
      <c r="AFO73" s="55"/>
      <c r="AFP73" s="55"/>
      <c r="AFQ73" s="55"/>
      <c r="AFR73" s="55"/>
      <c r="AFS73" s="55"/>
      <c r="AFT73" s="55"/>
      <c r="AFU73" s="55"/>
      <c r="AFV73" s="55"/>
      <c r="AFW73" s="55"/>
      <c r="AFX73" s="55"/>
      <c r="AFY73" s="55"/>
      <c r="AFZ73" s="55"/>
      <c r="AGA73" s="55"/>
      <c r="AGB73" s="55"/>
      <c r="AGC73" s="55"/>
      <c r="AGD73" s="55"/>
      <c r="AGE73" s="55"/>
      <c r="AGF73" s="55"/>
      <c r="AGG73" s="55"/>
      <c r="AGH73" s="55"/>
      <c r="AGI73" s="55"/>
      <c r="AGJ73" s="55"/>
      <c r="AGK73" s="55"/>
      <c r="AGL73" s="55"/>
      <c r="AGM73" s="55"/>
      <c r="AGN73" s="55"/>
      <c r="AGO73" s="55"/>
      <c r="AGP73" s="55"/>
      <c r="AGQ73" s="55"/>
      <c r="AGR73" s="55"/>
      <c r="AGS73" s="55"/>
      <c r="AGT73" s="55"/>
      <c r="AGU73" s="55"/>
      <c r="AGV73" s="55"/>
      <c r="AGW73" s="55"/>
      <c r="AGX73" s="55"/>
      <c r="AGY73" s="55"/>
      <c r="AGZ73" s="55"/>
      <c r="AHA73" s="55"/>
      <c r="AHB73" s="55"/>
      <c r="AHC73" s="55"/>
      <c r="AHD73" s="55"/>
      <c r="AHE73" s="55"/>
      <c r="AHF73" s="55"/>
      <c r="AHG73" s="55"/>
      <c r="AHH73" s="55"/>
      <c r="AHI73" s="55"/>
      <c r="AHJ73" s="55"/>
      <c r="AHK73" s="55"/>
      <c r="AHL73" s="55"/>
      <c r="AHM73" s="55"/>
      <c r="AHN73" s="55"/>
      <c r="AHO73" s="55"/>
      <c r="AHP73" s="55"/>
      <c r="AHQ73" s="55"/>
      <c r="AHR73" s="55"/>
      <c r="AHS73" s="55"/>
      <c r="AHT73" s="55"/>
      <c r="AHU73" s="55"/>
      <c r="AHV73" s="55"/>
      <c r="AHW73" s="55"/>
      <c r="AHX73" s="55"/>
      <c r="AHY73" s="55"/>
      <c r="AHZ73" s="55"/>
      <c r="AIA73" s="55"/>
      <c r="AIB73" s="55"/>
      <c r="AIC73" s="55"/>
      <c r="AID73" s="55"/>
      <c r="AIE73" s="55"/>
      <c r="AIF73" s="55"/>
      <c r="AIG73" s="55"/>
      <c r="AIH73" s="55"/>
      <c r="AII73" s="55"/>
      <c r="AIJ73" s="55"/>
      <c r="AIK73" s="55"/>
      <c r="AIL73" s="55"/>
      <c r="AIM73" s="55"/>
      <c r="AIN73" s="55"/>
      <c r="AIO73" s="55"/>
      <c r="AIP73" s="55"/>
      <c r="AIQ73" s="55"/>
      <c r="AIR73" s="55"/>
      <c r="AIS73" s="55"/>
      <c r="AIT73" s="55"/>
      <c r="AIU73" s="55"/>
      <c r="AIV73" s="55"/>
      <c r="AIW73" s="55"/>
      <c r="AIX73" s="55"/>
      <c r="AIY73" s="55"/>
      <c r="AIZ73" s="55"/>
      <c r="AJA73" s="55"/>
      <c r="AJB73" s="55"/>
      <c r="AJC73" s="55"/>
      <c r="AJD73" s="55"/>
      <c r="AJE73" s="55"/>
      <c r="AJF73" s="55"/>
      <c r="AJG73" s="55"/>
      <c r="AJH73" s="55"/>
      <c r="AJI73" s="55"/>
      <c r="AJJ73" s="55"/>
      <c r="AJK73" s="55"/>
      <c r="AJL73" s="55"/>
      <c r="AJM73" s="55"/>
      <c r="AJN73" s="55"/>
      <c r="AJO73" s="55"/>
      <c r="AJP73" s="55"/>
      <c r="AJQ73" s="55"/>
      <c r="AJR73" s="55"/>
      <c r="AJS73" s="55"/>
      <c r="AJT73" s="55"/>
      <c r="AJU73" s="55"/>
      <c r="AJV73" s="55"/>
      <c r="AJW73" s="55"/>
      <c r="AJX73" s="55"/>
      <c r="AJY73" s="55"/>
      <c r="AJZ73" s="55"/>
      <c r="AKA73" s="55"/>
      <c r="AKB73" s="55"/>
      <c r="AKC73" s="55"/>
      <c r="AKD73" s="55"/>
      <c r="AKE73" s="55"/>
      <c r="AKF73" s="55"/>
      <c r="AKG73" s="55"/>
      <c r="AKH73" s="55"/>
      <c r="AKI73" s="55"/>
      <c r="AKJ73" s="55"/>
      <c r="AKK73" s="55"/>
      <c r="AKL73" s="55"/>
      <c r="AKM73" s="55"/>
      <c r="AKN73" s="55"/>
      <c r="AKO73" s="55"/>
      <c r="AKP73" s="55"/>
      <c r="AKQ73" s="55"/>
      <c r="AKR73" s="55"/>
      <c r="AKS73" s="55"/>
      <c r="AKT73" s="55"/>
      <c r="AKU73" s="55"/>
      <c r="AKV73" s="55"/>
      <c r="AKW73" s="55"/>
      <c r="AKX73" s="55"/>
      <c r="AKY73" s="55"/>
      <c r="AKZ73" s="55"/>
      <c r="ALA73" s="55"/>
      <c r="ALB73" s="55"/>
      <c r="ALC73" s="55"/>
      <c r="ALD73" s="55"/>
      <c r="ALE73" s="55"/>
      <c r="ALF73" s="55"/>
      <c r="ALG73" s="55"/>
      <c r="ALH73" s="55"/>
      <c r="ALI73" s="55"/>
      <c r="ALJ73" s="55"/>
      <c r="ALK73" s="55"/>
      <c r="ALL73" s="55"/>
      <c r="ALM73" s="55"/>
      <c r="ALN73" s="55"/>
      <c r="ALO73" s="55"/>
      <c r="ALP73" s="55"/>
      <c r="ALQ73" s="55"/>
      <c r="ALR73" s="55"/>
      <c r="ALS73" s="55"/>
      <c r="ALT73" s="55"/>
      <c r="ALU73" s="55"/>
      <c r="ALV73" s="55"/>
      <c r="ALW73" s="55"/>
      <c r="ALX73" s="55"/>
      <c r="ALY73" s="55"/>
      <c r="ALZ73" s="55"/>
      <c r="AMA73" s="55"/>
      <c r="AMB73" s="55"/>
      <c r="AMC73" s="55"/>
      <c r="AMD73" s="55"/>
      <c r="AME73" s="55"/>
      <c r="AMF73" s="55"/>
      <c r="AMG73" s="55"/>
      <c r="AMH73" s="55"/>
      <c r="AMI73" s="55"/>
      <c r="AMJ73" s="55"/>
      <c r="AMK73" s="55"/>
      <c r="AML73" s="55"/>
      <c r="AMM73" s="55"/>
      <c r="AMN73" s="55"/>
      <c r="AMO73" s="55"/>
      <c r="AMP73" s="55"/>
      <c r="AMQ73" s="55"/>
      <c r="AMR73" s="55"/>
      <c r="AMS73" s="55"/>
      <c r="AMT73" s="55"/>
      <c r="AMU73" s="55"/>
      <c r="AMV73" s="55"/>
      <c r="AMW73" s="55"/>
      <c r="AMX73" s="55"/>
      <c r="AMY73" s="55"/>
      <c r="AMZ73" s="55"/>
      <c r="ANA73" s="55"/>
      <c r="ANB73" s="55"/>
      <c r="ANC73" s="55"/>
      <c r="AND73" s="55"/>
      <c r="ANE73" s="55"/>
      <c r="ANF73" s="55"/>
      <c r="ANG73" s="55"/>
      <c r="ANH73" s="55"/>
      <c r="ANI73" s="55"/>
      <c r="ANJ73" s="55"/>
      <c r="ANK73" s="55"/>
      <c r="ANL73" s="55"/>
      <c r="ANM73" s="55"/>
      <c r="ANN73" s="55"/>
      <c r="ANO73" s="55"/>
      <c r="ANP73" s="55"/>
      <c r="ANQ73" s="55"/>
      <c r="ANR73" s="55"/>
      <c r="ANS73" s="55"/>
      <c r="ANT73" s="55"/>
      <c r="ANU73" s="55"/>
      <c r="ANV73" s="55"/>
      <c r="ANW73" s="55"/>
      <c r="ANX73" s="55"/>
      <c r="ANY73" s="55"/>
      <c r="ANZ73" s="55"/>
      <c r="AOA73" s="55"/>
      <c r="AOB73" s="55"/>
      <c r="AOC73" s="55"/>
      <c r="AOD73" s="55"/>
      <c r="AOE73" s="55"/>
      <c r="AOF73" s="55"/>
      <c r="AOG73" s="55"/>
      <c r="AOH73" s="55"/>
      <c r="AOI73" s="55"/>
      <c r="AOJ73" s="55"/>
      <c r="AOK73" s="55"/>
      <c r="AOL73" s="55"/>
      <c r="AOM73" s="55"/>
      <c r="AON73" s="55"/>
      <c r="AOO73" s="55"/>
      <c r="AOP73" s="55"/>
      <c r="AOQ73" s="55"/>
      <c r="AOR73" s="55"/>
      <c r="AOS73" s="55"/>
      <c r="AOT73" s="55"/>
      <c r="AOU73" s="55"/>
      <c r="AOV73" s="55"/>
      <c r="AOW73" s="55"/>
      <c r="AOX73" s="55"/>
      <c r="AOY73" s="55"/>
      <c r="AOZ73" s="55"/>
      <c r="APA73" s="55"/>
      <c r="APB73" s="55"/>
      <c r="APC73" s="55"/>
      <c r="APD73" s="55"/>
      <c r="APE73" s="55"/>
      <c r="APF73" s="55"/>
      <c r="APG73" s="55"/>
      <c r="APH73" s="55"/>
      <c r="API73" s="55"/>
      <c r="APJ73" s="55"/>
      <c r="APK73" s="55"/>
      <c r="APL73" s="55"/>
      <c r="APM73" s="55"/>
      <c r="APN73" s="55"/>
      <c r="APO73" s="55"/>
      <c r="APP73" s="55"/>
      <c r="APQ73" s="55"/>
      <c r="APR73" s="55"/>
      <c r="APS73" s="55"/>
      <c r="APT73" s="55"/>
      <c r="APU73" s="55"/>
      <c r="APV73" s="55"/>
      <c r="APW73" s="55"/>
      <c r="APX73" s="55"/>
      <c r="APY73" s="55"/>
      <c r="APZ73" s="55"/>
      <c r="AQA73" s="55"/>
      <c r="AQB73" s="55"/>
      <c r="AQC73" s="55"/>
      <c r="AQD73" s="55"/>
      <c r="AQE73" s="55"/>
      <c r="AQF73" s="55"/>
      <c r="AQG73" s="55"/>
      <c r="AQH73" s="55"/>
      <c r="AQI73" s="55"/>
      <c r="AQJ73" s="55"/>
      <c r="AQK73" s="55"/>
      <c r="AQL73" s="55"/>
      <c r="AQM73" s="55"/>
      <c r="AQN73" s="55"/>
      <c r="AQO73" s="55"/>
      <c r="AQP73" s="55"/>
      <c r="AQQ73" s="55"/>
      <c r="AQR73" s="55"/>
      <c r="AQS73" s="55"/>
      <c r="AQT73" s="55"/>
      <c r="AQU73" s="55"/>
      <c r="AQV73" s="55"/>
      <c r="AQW73" s="55"/>
      <c r="AQX73" s="55"/>
      <c r="AQY73" s="55"/>
      <c r="AQZ73" s="55"/>
      <c r="ARA73" s="55"/>
      <c r="ARB73" s="55"/>
      <c r="ARC73" s="55"/>
      <c r="ARD73" s="55"/>
      <c r="ARE73" s="55"/>
      <c r="ARF73" s="55"/>
      <c r="ARG73" s="55"/>
      <c r="ARH73" s="55"/>
      <c r="ARI73" s="55"/>
      <c r="ARJ73" s="55"/>
      <c r="ARK73" s="55"/>
      <c r="ARL73" s="55"/>
      <c r="ARM73" s="55"/>
      <c r="ARN73" s="55"/>
      <c r="ARO73" s="55"/>
      <c r="ARP73" s="55"/>
      <c r="ARQ73" s="55"/>
      <c r="ARR73" s="55"/>
      <c r="ARS73" s="55"/>
      <c r="ART73" s="55"/>
      <c r="ARU73" s="55"/>
      <c r="ARV73" s="55"/>
      <c r="ARW73" s="55"/>
      <c r="ARX73" s="55"/>
      <c r="ARY73" s="55"/>
      <c r="ARZ73" s="55"/>
      <c r="ASA73" s="55"/>
      <c r="ASB73" s="55"/>
      <c r="ASC73" s="55"/>
      <c r="ASD73" s="55"/>
      <c r="ASE73" s="55"/>
      <c r="ASF73" s="55"/>
      <c r="ASG73" s="55"/>
      <c r="ASH73" s="55"/>
      <c r="ASI73" s="55"/>
      <c r="ASJ73" s="55"/>
      <c r="ASK73" s="55"/>
      <c r="ASL73" s="55"/>
      <c r="ASM73" s="55"/>
      <c r="ASN73" s="55"/>
      <c r="ASO73" s="55"/>
      <c r="ASP73" s="55"/>
      <c r="ASQ73" s="55"/>
      <c r="ASR73" s="55"/>
      <c r="ASS73" s="55"/>
      <c r="AST73" s="55"/>
      <c r="ASU73" s="55"/>
      <c r="ASV73" s="55"/>
      <c r="ASW73" s="55"/>
      <c r="ASX73" s="55"/>
      <c r="ASY73" s="55"/>
      <c r="ASZ73" s="55"/>
      <c r="ATA73" s="55"/>
      <c r="ATB73" s="55"/>
      <c r="ATC73" s="55"/>
      <c r="ATD73" s="55"/>
      <c r="ATE73" s="55"/>
      <c r="ATF73" s="55"/>
      <c r="ATG73" s="55"/>
      <c r="ATH73" s="55"/>
      <c r="ATI73" s="55"/>
      <c r="ATJ73" s="55"/>
      <c r="ATK73" s="55"/>
      <c r="ATL73" s="55"/>
      <c r="ATM73" s="55"/>
      <c r="ATN73" s="55"/>
      <c r="ATO73" s="55"/>
      <c r="ATP73" s="55"/>
      <c r="ATQ73" s="55"/>
      <c r="ATR73" s="55"/>
      <c r="ATS73" s="55"/>
      <c r="ATT73" s="55"/>
      <c r="ATU73" s="55"/>
      <c r="ATV73" s="55"/>
      <c r="ATW73" s="55"/>
      <c r="ATX73" s="55"/>
      <c r="ATY73" s="55"/>
      <c r="ATZ73" s="55"/>
      <c r="AUA73" s="55"/>
      <c r="AUB73" s="55"/>
      <c r="AUC73" s="55"/>
      <c r="AUD73" s="55"/>
      <c r="AUE73" s="55"/>
      <c r="AUF73" s="55"/>
      <c r="AUG73" s="55"/>
      <c r="AUH73" s="55"/>
      <c r="AUI73" s="55"/>
      <c r="AUJ73" s="55"/>
      <c r="AUK73" s="55"/>
      <c r="AUL73" s="55"/>
      <c r="AUM73" s="55"/>
      <c r="AUN73" s="55"/>
      <c r="AUO73" s="55"/>
      <c r="AUP73" s="55"/>
      <c r="AUQ73" s="55"/>
      <c r="AUR73" s="55"/>
      <c r="AUS73" s="55"/>
      <c r="AUT73" s="55"/>
      <c r="AUU73" s="55"/>
      <c r="AUV73" s="55"/>
      <c r="AUW73" s="55"/>
      <c r="AUX73" s="55"/>
      <c r="AUY73" s="55"/>
      <c r="AUZ73" s="55"/>
      <c r="AVA73" s="55"/>
      <c r="AVB73" s="55"/>
      <c r="AVC73" s="55"/>
      <c r="AVD73" s="55"/>
      <c r="AVE73" s="55"/>
      <c r="AVF73" s="55"/>
      <c r="AVG73" s="55"/>
      <c r="AVH73" s="55"/>
      <c r="AVI73" s="55"/>
      <c r="AVJ73" s="55"/>
      <c r="AVK73" s="55"/>
      <c r="AVL73" s="55"/>
      <c r="AVM73" s="55"/>
      <c r="AVN73" s="55"/>
      <c r="AVO73" s="55"/>
      <c r="AVP73" s="55"/>
      <c r="AVQ73" s="55"/>
      <c r="AVR73" s="55"/>
      <c r="AVS73" s="55"/>
      <c r="AVT73" s="55"/>
      <c r="AVU73" s="55"/>
      <c r="AVV73" s="55"/>
      <c r="AVW73" s="55"/>
      <c r="AVX73" s="55"/>
      <c r="AVY73" s="55"/>
      <c r="AVZ73" s="55"/>
      <c r="AWA73" s="55"/>
      <c r="AWB73" s="55"/>
      <c r="AWC73" s="55"/>
      <c r="AWD73" s="55"/>
      <c r="AWE73" s="55"/>
      <c r="AWF73" s="55"/>
      <c r="AWG73" s="55"/>
      <c r="AWH73" s="55"/>
      <c r="AWI73" s="55"/>
      <c r="AWJ73" s="55"/>
      <c r="AWK73" s="55"/>
      <c r="AWL73" s="55"/>
      <c r="AWM73" s="55"/>
      <c r="AWN73" s="55"/>
      <c r="AWO73" s="55"/>
      <c r="AWP73" s="55"/>
      <c r="AWQ73" s="55"/>
      <c r="AWR73" s="55"/>
      <c r="AWS73" s="55"/>
      <c r="AWT73" s="55"/>
      <c r="AWU73" s="55"/>
      <c r="AWV73" s="55"/>
      <c r="AWW73" s="55"/>
      <c r="AWX73" s="55"/>
      <c r="AWY73" s="55"/>
      <c r="AWZ73" s="55"/>
      <c r="AXA73" s="55"/>
      <c r="AXB73" s="55"/>
      <c r="AXC73" s="55"/>
      <c r="AXD73" s="55"/>
      <c r="AXE73" s="55"/>
      <c r="AXF73" s="55"/>
      <c r="AXG73" s="55"/>
      <c r="AXH73" s="55"/>
      <c r="AXI73" s="55"/>
      <c r="AXJ73" s="55"/>
      <c r="AXK73" s="55"/>
      <c r="AXL73" s="55"/>
      <c r="AXM73" s="55"/>
      <c r="AXN73" s="55"/>
      <c r="AXO73" s="55"/>
      <c r="AXP73" s="55"/>
      <c r="AXQ73" s="55"/>
      <c r="AXR73" s="55"/>
      <c r="AXS73" s="55"/>
      <c r="AXT73" s="55"/>
      <c r="AXU73" s="55"/>
      <c r="AXV73" s="55"/>
      <c r="AXW73" s="55"/>
      <c r="AXX73" s="55"/>
      <c r="AXY73" s="55"/>
      <c r="AXZ73" s="55"/>
      <c r="AYA73" s="55"/>
      <c r="AYB73" s="55"/>
      <c r="AYC73" s="55"/>
      <c r="AYD73" s="55"/>
      <c r="AYE73" s="55"/>
      <c r="AYF73" s="55"/>
      <c r="AYG73" s="55"/>
      <c r="AYH73" s="55"/>
      <c r="AYI73" s="55"/>
      <c r="AYJ73" s="55"/>
      <c r="AYK73" s="55"/>
      <c r="AYL73" s="55"/>
      <c r="AYM73" s="55"/>
      <c r="AYN73" s="55"/>
      <c r="AYO73" s="55"/>
      <c r="AYP73" s="55"/>
      <c r="AYQ73" s="55"/>
      <c r="AYR73" s="55"/>
      <c r="AYS73" s="55"/>
      <c r="AYT73" s="55"/>
      <c r="AYU73" s="55"/>
      <c r="AYV73" s="55"/>
      <c r="AYW73" s="55"/>
      <c r="AYX73" s="55"/>
      <c r="AYY73" s="55"/>
      <c r="AYZ73" s="55"/>
      <c r="AZA73" s="55"/>
      <c r="AZB73" s="55"/>
      <c r="AZC73" s="55"/>
      <c r="AZD73" s="55"/>
      <c r="AZE73" s="55"/>
      <c r="AZF73" s="55"/>
      <c r="AZG73" s="55"/>
      <c r="AZH73" s="55"/>
      <c r="AZI73" s="55"/>
      <c r="AZJ73" s="55"/>
      <c r="AZK73" s="55"/>
      <c r="AZL73" s="55"/>
      <c r="AZM73" s="55"/>
      <c r="AZN73" s="55"/>
      <c r="AZO73" s="55"/>
      <c r="AZP73" s="55"/>
      <c r="AZQ73" s="55"/>
      <c r="AZR73" s="55"/>
      <c r="AZS73" s="55"/>
      <c r="AZT73" s="55"/>
      <c r="AZU73" s="55"/>
      <c r="AZV73" s="55"/>
      <c r="AZW73" s="55"/>
      <c r="AZX73" s="55"/>
      <c r="AZY73" s="55"/>
      <c r="AZZ73" s="55"/>
      <c r="BAA73" s="55"/>
      <c r="BAB73" s="55"/>
      <c r="BAC73" s="55"/>
      <c r="BAD73" s="55"/>
      <c r="BAE73" s="55"/>
      <c r="BAF73" s="55"/>
      <c r="BAG73" s="55"/>
      <c r="BAH73" s="55"/>
      <c r="BAI73" s="55"/>
      <c r="BAJ73" s="55"/>
      <c r="BAK73" s="55"/>
      <c r="BAL73" s="55"/>
      <c r="BAM73" s="55"/>
      <c r="BAN73" s="55"/>
      <c r="BAO73" s="55"/>
      <c r="BAP73" s="55"/>
      <c r="BAQ73" s="55"/>
      <c r="BAR73" s="55"/>
      <c r="BAS73" s="55"/>
      <c r="BAT73" s="55"/>
      <c r="BAU73" s="55"/>
      <c r="BAV73" s="55"/>
      <c r="BAW73" s="55"/>
      <c r="BAX73" s="55"/>
      <c r="BAY73" s="55"/>
      <c r="BAZ73" s="55"/>
      <c r="BBA73" s="55"/>
      <c r="BBB73" s="55"/>
      <c r="BBC73" s="55"/>
      <c r="BBD73" s="55"/>
      <c r="BBE73" s="55"/>
      <c r="BBF73" s="55"/>
      <c r="BBG73" s="55"/>
      <c r="BBH73" s="55"/>
      <c r="BBI73" s="55"/>
      <c r="BBJ73" s="55"/>
      <c r="BBK73" s="55"/>
      <c r="BBL73" s="55"/>
      <c r="BBM73" s="55"/>
      <c r="BBN73" s="55"/>
      <c r="BBO73" s="55"/>
      <c r="BBP73" s="55"/>
      <c r="BBQ73" s="55"/>
      <c r="BBR73" s="55"/>
      <c r="BBS73" s="55"/>
      <c r="BBT73" s="55"/>
      <c r="BBU73" s="55"/>
      <c r="BBV73" s="55"/>
      <c r="BBW73" s="55"/>
      <c r="BBX73" s="55"/>
      <c r="BBY73" s="55"/>
      <c r="BBZ73" s="55"/>
      <c r="BCA73" s="55"/>
      <c r="BCB73" s="55"/>
      <c r="BCC73" s="55"/>
      <c r="BCD73" s="55"/>
      <c r="BCE73" s="55"/>
      <c r="BCF73" s="55"/>
      <c r="BCG73" s="55"/>
      <c r="BCH73" s="55"/>
      <c r="BCI73" s="55"/>
      <c r="BCJ73" s="55"/>
      <c r="BCK73" s="55"/>
      <c r="BCL73" s="55"/>
      <c r="BCM73" s="55"/>
      <c r="BCN73" s="55"/>
      <c r="BCO73" s="55"/>
      <c r="BCP73" s="55"/>
      <c r="BCQ73" s="55"/>
      <c r="BCR73" s="55"/>
      <c r="BCS73" s="55"/>
      <c r="BCT73" s="55"/>
      <c r="BCU73" s="55"/>
      <c r="BCV73" s="55"/>
      <c r="BCW73" s="55"/>
      <c r="BCX73" s="55"/>
      <c r="BCY73" s="55"/>
      <c r="BCZ73" s="55"/>
      <c r="BDA73" s="55"/>
      <c r="BDB73" s="55"/>
      <c r="BDC73" s="55"/>
      <c r="BDD73" s="55"/>
      <c r="BDE73" s="55"/>
      <c r="BDF73" s="55"/>
      <c r="BDG73" s="55"/>
      <c r="BDH73" s="55"/>
      <c r="BDI73" s="55"/>
      <c r="BDJ73" s="55"/>
      <c r="BDK73" s="55"/>
      <c r="BDL73" s="55"/>
      <c r="BDM73" s="55"/>
      <c r="BDN73" s="55"/>
      <c r="BDO73" s="55"/>
      <c r="BDP73" s="55"/>
      <c r="BDQ73" s="55"/>
      <c r="BDR73" s="55"/>
      <c r="BDS73" s="55"/>
      <c r="BDT73" s="55"/>
      <c r="BDU73" s="55"/>
      <c r="BDV73" s="55"/>
      <c r="BDW73" s="55"/>
      <c r="BDX73" s="55"/>
      <c r="BDY73" s="55"/>
      <c r="BDZ73" s="55"/>
      <c r="BEA73" s="55"/>
      <c r="BEB73" s="55"/>
      <c r="BEC73" s="55"/>
      <c r="BED73" s="55"/>
      <c r="BEE73" s="55"/>
      <c r="BEF73" s="55"/>
      <c r="BEG73" s="55"/>
      <c r="BEH73" s="55"/>
      <c r="BEI73" s="55"/>
      <c r="BEJ73" s="55"/>
      <c r="BEK73" s="55"/>
      <c r="BEL73" s="55"/>
      <c r="BEM73" s="55"/>
      <c r="BEN73" s="55"/>
      <c r="BEO73" s="55"/>
      <c r="BEP73" s="55"/>
      <c r="BEQ73" s="55"/>
      <c r="BER73" s="55"/>
      <c r="BES73" s="55"/>
      <c r="BET73" s="55"/>
      <c r="BEU73" s="55"/>
      <c r="BEV73" s="55"/>
      <c r="BEW73" s="55"/>
      <c r="BEX73" s="55"/>
      <c r="BEY73" s="55"/>
      <c r="BEZ73" s="55"/>
      <c r="BFA73" s="55"/>
      <c r="BFB73" s="55"/>
      <c r="BFC73" s="55"/>
      <c r="BFD73" s="55"/>
      <c r="BFE73" s="55"/>
      <c r="BFF73" s="55"/>
      <c r="BFG73" s="55"/>
      <c r="BFH73" s="55"/>
      <c r="BFI73" s="55"/>
      <c r="BFJ73" s="55"/>
      <c r="BFK73" s="55"/>
      <c r="BFL73" s="55"/>
      <c r="BFM73" s="55"/>
      <c r="BFN73" s="55"/>
      <c r="BFO73" s="55"/>
      <c r="BFP73" s="55"/>
      <c r="BFQ73" s="55"/>
      <c r="BFR73" s="55"/>
      <c r="BFS73" s="55"/>
      <c r="BFT73" s="55"/>
      <c r="BFU73" s="55"/>
      <c r="BFV73" s="55"/>
      <c r="BFW73" s="55"/>
      <c r="BFX73" s="55"/>
      <c r="BFY73" s="55"/>
      <c r="BFZ73" s="55"/>
      <c r="BGA73" s="55"/>
      <c r="BGB73" s="55"/>
      <c r="BGC73" s="55"/>
      <c r="BGD73" s="55"/>
      <c r="BGE73" s="55"/>
      <c r="BGF73" s="55"/>
      <c r="BGG73" s="55"/>
      <c r="BGH73" s="55"/>
      <c r="BGI73" s="55"/>
      <c r="BGJ73" s="55"/>
      <c r="BGK73" s="55"/>
      <c r="BGL73" s="55"/>
      <c r="BGM73" s="55"/>
      <c r="BGN73" s="55"/>
      <c r="BGO73" s="55"/>
      <c r="BGP73" s="55"/>
      <c r="BGQ73" s="55"/>
      <c r="BGR73" s="55"/>
      <c r="BGS73" s="55"/>
      <c r="BGT73" s="55"/>
      <c r="BGU73" s="55"/>
      <c r="BGV73" s="55"/>
      <c r="BGW73" s="55"/>
      <c r="BGX73" s="55"/>
      <c r="BGY73" s="55"/>
      <c r="BGZ73" s="55"/>
      <c r="BHA73" s="55"/>
      <c r="BHB73" s="55"/>
      <c r="BHC73" s="55"/>
      <c r="BHD73" s="55"/>
      <c r="BHE73" s="55"/>
      <c r="BHF73" s="55"/>
      <c r="BHG73" s="55"/>
      <c r="BHH73" s="55"/>
      <c r="BHI73" s="55"/>
      <c r="BHJ73" s="55"/>
      <c r="BHK73" s="55"/>
      <c r="BHL73" s="55"/>
      <c r="BHM73" s="55"/>
      <c r="BHN73" s="55"/>
      <c r="BHO73" s="55"/>
      <c r="BHP73" s="55"/>
      <c r="BHQ73" s="55"/>
      <c r="BHR73" s="55"/>
      <c r="BHS73" s="55"/>
      <c r="BHT73" s="55"/>
      <c r="BHU73" s="55"/>
      <c r="BHV73" s="55"/>
      <c r="BHW73" s="55"/>
      <c r="BHX73" s="55"/>
      <c r="BHY73" s="55"/>
      <c r="BHZ73" s="55"/>
      <c r="BIA73" s="55"/>
      <c r="BIB73" s="55"/>
      <c r="BIC73" s="55"/>
      <c r="BID73" s="55"/>
      <c r="BIE73" s="55"/>
      <c r="BIF73" s="55"/>
      <c r="BIG73" s="55"/>
      <c r="BIH73" s="55"/>
      <c r="BII73" s="55"/>
      <c r="BIJ73" s="55"/>
      <c r="BIK73" s="55"/>
      <c r="BIL73" s="55"/>
      <c r="BIM73" s="55"/>
      <c r="BIN73" s="55"/>
      <c r="BIO73" s="55"/>
      <c r="BIP73" s="55"/>
      <c r="BIQ73" s="55"/>
      <c r="BIR73" s="55"/>
      <c r="BIS73" s="55"/>
      <c r="BIT73" s="55"/>
      <c r="BIU73" s="55"/>
      <c r="BIV73" s="55"/>
      <c r="BIW73" s="55"/>
      <c r="BIX73" s="55"/>
      <c r="BIY73" s="55"/>
      <c r="BIZ73" s="55"/>
      <c r="BJA73" s="55"/>
      <c r="BJB73" s="55"/>
      <c r="BJC73" s="55"/>
      <c r="BJD73" s="55"/>
      <c r="BJE73" s="55"/>
      <c r="BJF73" s="55"/>
      <c r="BJG73" s="55"/>
      <c r="BJH73" s="55"/>
      <c r="BJI73" s="55"/>
      <c r="BJJ73" s="55"/>
      <c r="BJK73" s="55"/>
      <c r="BJL73" s="55"/>
      <c r="BJM73" s="55"/>
      <c r="BJN73" s="55"/>
      <c r="BJO73" s="55"/>
      <c r="BJP73" s="55"/>
      <c r="BJQ73" s="55"/>
      <c r="BJR73" s="55"/>
      <c r="BJS73" s="55"/>
      <c r="BJT73" s="55"/>
      <c r="BJU73" s="55"/>
      <c r="BJV73" s="55"/>
      <c r="BJW73" s="55"/>
      <c r="BJX73" s="55"/>
      <c r="BJY73" s="55"/>
      <c r="BJZ73" s="55"/>
      <c r="BKA73" s="55"/>
      <c r="BKB73" s="55"/>
      <c r="BKC73" s="55"/>
      <c r="BKD73" s="55"/>
      <c r="BKE73" s="55"/>
      <c r="BKF73" s="55"/>
      <c r="BKG73" s="55"/>
      <c r="BKH73" s="55"/>
      <c r="BKI73" s="55"/>
      <c r="BKJ73" s="55"/>
      <c r="BKK73" s="55"/>
      <c r="BKL73" s="55"/>
      <c r="BKM73" s="55"/>
      <c r="BKN73" s="55"/>
      <c r="BKO73" s="55"/>
      <c r="BKP73" s="55"/>
      <c r="BKQ73" s="55"/>
      <c r="BKR73" s="55"/>
      <c r="BKS73" s="55"/>
      <c r="BKT73" s="55"/>
      <c r="BKU73" s="55"/>
      <c r="BKV73" s="55"/>
      <c r="BKW73" s="55"/>
      <c r="BKX73" s="55"/>
      <c r="BKY73" s="55"/>
      <c r="BKZ73" s="55"/>
      <c r="BLA73" s="55"/>
      <c r="BLB73" s="55"/>
      <c r="BLC73" s="55"/>
      <c r="BLD73" s="55"/>
      <c r="BLE73" s="55"/>
      <c r="BLF73" s="55"/>
      <c r="BLG73" s="55"/>
      <c r="BLH73" s="55"/>
      <c r="BLI73" s="55"/>
      <c r="BLJ73" s="55"/>
      <c r="BLK73" s="55"/>
      <c r="BLL73" s="55"/>
      <c r="BLM73" s="55"/>
      <c r="BLN73" s="55"/>
      <c r="BLO73" s="55"/>
      <c r="BLP73" s="55"/>
      <c r="BLQ73" s="55"/>
      <c r="BLR73" s="55"/>
      <c r="BLS73" s="55"/>
      <c r="BLT73" s="55"/>
      <c r="BLU73" s="55"/>
      <c r="BLV73" s="55"/>
      <c r="BLW73" s="55"/>
      <c r="BLX73" s="55"/>
      <c r="BLY73" s="55"/>
      <c r="BLZ73" s="55"/>
      <c r="BMA73" s="55"/>
      <c r="BMB73" s="55"/>
      <c r="BMC73" s="55"/>
      <c r="BMD73" s="55"/>
      <c r="BME73" s="55"/>
      <c r="BMF73" s="55"/>
      <c r="BMG73" s="55"/>
      <c r="BMH73" s="55"/>
      <c r="BMI73" s="55"/>
      <c r="BMJ73" s="55"/>
      <c r="BMK73" s="55"/>
      <c r="BML73" s="55"/>
      <c r="BMM73" s="55"/>
      <c r="BMN73" s="55"/>
      <c r="BMO73" s="55"/>
      <c r="BMP73" s="55"/>
      <c r="BMQ73" s="55"/>
      <c r="BMR73" s="55"/>
      <c r="BMS73" s="55"/>
      <c r="BMT73" s="55"/>
      <c r="BMU73" s="55"/>
      <c r="BMV73" s="55"/>
      <c r="BMW73" s="55"/>
      <c r="BMX73" s="55"/>
      <c r="BMY73" s="55"/>
      <c r="BMZ73" s="55"/>
      <c r="BNA73" s="55"/>
      <c r="BNB73" s="55"/>
      <c r="BNC73" s="55"/>
      <c r="BND73" s="55"/>
      <c r="BNE73" s="55"/>
      <c r="BNF73" s="55"/>
      <c r="BNG73" s="55"/>
      <c r="BNH73" s="55"/>
      <c r="BNI73" s="55"/>
      <c r="BNJ73" s="55"/>
      <c r="BNK73" s="55"/>
      <c r="BNL73" s="55"/>
      <c r="BNM73" s="55"/>
      <c r="BNN73" s="55"/>
      <c r="BNO73" s="55"/>
      <c r="BNP73" s="55"/>
      <c r="BNQ73" s="55"/>
      <c r="BNR73" s="55"/>
      <c r="BNS73" s="55"/>
      <c r="BNT73" s="55"/>
      <c r="BNU73" s="55"/>
      <c r="BNV73" s="55"/>
      <c r="BNW73" s="55"/>
      <c r="BNX73" s="55"/>
      <c r="BNY73" s="55"/>
      <c r="BNZ73" s="55"/>
      <c r="BOA73" s="55"/>
      <c r="BOB73" s="55"/>
      <c r="BOC73" s="55"/>
      <c r="BOD73" s="55"/>
      <c r="BOE73" s="55"/>
      <c r="BOF73" s="55"/>
      <c r="BOG73" s="55"/>
      <c r="BOH73" s="55"/>
      <c r="BOI73" s="55"/>
      <c r="BOJ73" s="55"/>
      <c r="BOK73" s="55"/>
      <c r="BOL73" s="55"/>
      <c r="BOM73" s="55"/>
      <c r="BON73" s="55"/>
      <c r="BOO73" s="55"/>
      <c r="BOP73" s="55"/>
      <c r="BOQ73" s="55"/>
      <c r="BOR73" s="55"/>
      <c r="BOS73" s="55"/>
      <c r="BOT73" s="55"/>
      <c r="BOU73" s="55"/>
      <c r="BOV73" s="55"/>
      <c r="BOW73" s="55"/>
      <c r="BOX73" s="55"/>
      <c r="BOY73" s="55"/>
      <c r="BOZ73" s="55"/>
      <c r="BPA73" s="55"/>
      <c r="BPB73" s="55"/>
      <c r="BPC73" s="55"/>
      <c r="BPD73" s="55"/>
      <c r="BPE73" s="55"/>
      <c r="BPF73" s="55"/>
      <c r="BPG73" s="55"/>
      <c r="BPH73" s="55"/>
      <c r="BPI73" s="55"/>
      <c r="BPJ73" s="55"/>
      <c r="BPK73" s="55"/>
      <c r="BPL73" s="55"/>
      <c r="BPM73" s="55"/>
      <c r="BPN73" s="55"/>
      <c r="BPO73" s="55"/>
      <c r="BPP73" s="55"/>
      <c r="BPQ73" s="55"/>
      <c r="BPR73" s="55"/>
      <c r="BPS73" s="55"/>
      <c r="BPT73" s="55"/>
      <c r="BPU73" s="55"/>
      <c r="BPV73" s="55"/>
      <c r="BPW73" s="55"/>
      <c r="BPX73" s="55"/>
      <c r="BPY73" s="55"/>
      <c r="BPZ73" s="55"/>
      <c r="BQA73" s="55"/>
      <c r="BQB73" s="55"/>
      <c r="BQC73" s="55"/>
      <c r="BQD73" s="55"/>
      <c r="BQE73" s="55"/>
      <c r="BQF73" s="55"/>
      <c r="BQG73" s="55"/>
      <c r="BQH73" s="55"/>
      <c r="BQI73" s="55"/>
      <c r="BQJ73" s="55"/>
      <c r="BQK73" s="55"/>
      <c r="BQL73" s="55"/>
      <c r="BQM73" s="55"/>
      <c r="BQN73" s="55"/>
      <c r="BQO73" s="55"/>
      <c r="BQP73" s="55"/>
      <c r="BQQ73" s="55"/>
      <c r="BQR73" s="55"/>
      <c r="BQS73" s="55"/>
      <c r="BQT73" s="55"/>
      <c r="BQU73" s="55"/>
      <c r="BQV73" s="55"/>
      <c r="BQW73" s="55"/>
      <c r="BQX73" s="55"/>
      <c r="BQY73" s="55"/>
      <c r="BQZ73" s="55"/>
      <c r="BRA73" s="55"/>
      <c r="BRB73" s="55"/>
      <c r="BRC73" s="55"/>
      <c r="BRD73" s="55"/>
      <c r="BRE73" s="55"/>
      <c r="BRF73" s="55"/>
      <c r="BRG73" s="55"/>
      <c r="BRH73" s="55"/>
      <c r="BRI73" s="55"/>
      <c r="BRJ73" s="55"/>
      <c r="BRK73" s="55"/>
      <c r="BRL73" s="55"/>
      <c r="BRM73" s="55"/>
      <c r="BRN73" s="55"/>
      <c r="BRO73" s="55"/>
      <c r="BRP73" s="55"/>
      <c r="BRQ73" s="55"/>
      <c r="BRR73" s="55"/>
      <c r="BRS73" s="55"/>
      <c r="BRT73" s="55"/>
      <c r="BRU73" s="55"/>
      <c r="BRV73" s="55"/>
      <c r="BRW73" s="55"/>
      <c r="BRX73" s="55"/>
      <c r="BRY73" s="55"/>
      <c r="BRZ73" s="55"/>
      <c r="BSA73" s="55"/>
      <c r="BSB73" s="55"/>
      <c r="BSC73" s="55"/>
      <c r="BSD73" s="55"/>
      <c r="BSE73" s="55"/>
      <c r="BSF73" s="55"/>
      <c r="BSG73" s="55"/>
      <c r="BSH73" s="55"/>
      <c r="BSI73" s="55"/>
      <c r="BSJ73" s="55"/>
      <c r="BSK73" s="55"/>
      <c r="BSL73" s="55"/>
      <c r="BSM73" s="55"/>
      <c r="BSN73" s="55"/>
      <c r="BSO73" s="55"/>
      <c r="BSP73" s="55"/>
      <c r="BSQ73" s="55"/>
      <c r="BSR73" s="55"/>
      <c r="BSS73" s="55"/>
      <c r="BST73" s="55"/>
      <c r="BSU73" s="55"/>
      <c r="BSV73" s="55"/>
      <c r="BSW73" s="55"/>
      <c r="BSX73" s="55"/>
      <c r="BSY73" s="55"/>
      <c r="BSZ73" s="55"/>
      <c r="BTA73" s="55"/>
      <c r="BTB73" s="55"/>
      <c r="BTC73" s="55"/>
      <c r="BTD73" s="55"/>
      <c r="BTE73" s="55"/>
      <c r="BTF73" s="55"/>
      <c r="BTG73" s="55"/>
      <c r="BTH73" s="55"/>
      <c r="BTI73" s="55"/>
      <c r="BTJ73" s="55"/>
      <c r="BTK73" s="55"/>
      <c r="BTL73" s="55"/>
      <c r="BTM73" s="55"/>
      <c r="BTN73" s="55"/>
      <c r="BTO73" s="55"/>
      <c r="BTP73" s="55"/>
      <c r="BTQ73" s="55"/>
      <c r="BTR73" s="55"/>
      <c r="BTS73" s="55"/>
      <c r="BTT73" s="55"/>
      <c r="BTU73" s="55"/>
      <c r="BTV73" s="55"/>
      <c r="BTW73" s="55"/>
      <c r="BTX73" s="55"/>
      <c r="BTY73" s="55"/>
      <c r="BTZ73" s="55"/>
      <c r="BUA73" s="55"/>
      <c r="BUB73" s="55"/>
      <c r="BUC73" s="55"/>
      <c r="BUD73" s="55"/>
      <c r="BUE73" s="55"/>
      <c r="BUF73" s="55"/>
      <c r="BUG73" s="55"/>
      <c r="BUH73" s="55"/>
      <c r="BUI73" s="55"/>
      <c r="BUJ73" s="55"/>
      <c r="BUK73" s="55"/>
      <c r="BUL73" s="55"/>
      <c r="BUM73" s="55"/>
      <c r="BUN73" s="55"/>
      <c r="BUO73" s="55"/>
      <c r="BUP73" s="55"/>
      <c r="BUQ73" s="55"/>
      <c r="BUR73" s="55"/>
      <c r="BUS73" s="55"/>
      <c r="BUT73" s="55"/>
      <c r="BUU73" s="55"/>
      <c r="BUV73" s="55"/>
      <c r="BUW73" s="55"/>
      <c r="BUX73" s="55"/>
      <c r="BUY73" s="55"/>
      <c r="BUZ73" s="55"/>
      <c r="BVA73" s="55"/>
      <c r="BVB73" s="55"/>
      <c r="BVC73" s="55"/>
      <c r="BVD73" s="55"/>
      <c r="BVE73" s="55"/>
      <c r="BVF73" s="55"/>
      <c r="BVG73" s="55"/>
      <c r="BVH73" s="55"/>
      <c r="BVI73" s="55"/>
      <c r="BVJ73" s="55"/>
      <c r="BVK73" s="55"/>
      <c r="BVL73" s="55"/>
      <c r="BVM73" s="55"/>
      <c r="BVN73" s="55"/>
      <c r="BVO73" s="55"/>
      <c r="BVP73" s="55"/>
      <c r="BVQ73" s="55"/>
      <c r="BVR73" s="55"/>
      <c r="BVS73" s="55"/>
      <c r="BVT73" s="55"/>
      <c r="BVU73" s="55"/>
      <c r="BVV73" s="55"/>
      <c r="BVW73" s="55"/>
      <c r="BVX73" s="55"/>
      <c r="BVY73" s="55"/>
      <c r="BVZ73" s="55"/>
      <c r="BWA73" s="55"/>
      <c r="BWB73" s="55"/>
      <c r="BWC73" s="55"/>
      <c r="BWD73" s="55"/>
      <c r="BWE73" s="55"/>
      <c r="BWF73" s="55"/>
      <c r="BWG73" s="55"/>
      <c r="BWH73" s="55"/>
      <c r="BWI73" s="55"/>
      <c r="BWJ73" s="55"/>
      <c r="BWK73" s="55"/>
      <c r="BWL73" s="55"/>
      <c r="BWM73" s="55"/>
      <c r="BWN73" s="55"/>
      <c r="BWO73" s="55"/>
      <c r="BWP73" s="55"/>
      <c r="BWQ73" s="55"/>
      <c r="BWR73" s="55"/>
      <c r="BWS73" s="55"/>
      <c r="BWT73" s="55"/>
      <c r="BWU73" s="55"/>
      <c r="BWV73" s="55"/>
      <c r="BWW73" s="55"/>
      <c r="BWX73" s="55"/>
      <c r="BWY73" s="55"/>
      <c r="BWZ73" s="55"/>
      <c r="BXA73" s="55"/>
      <c r="BXB73" s="55"/>
      <c r="BXC73" s="55"/>
      <c r="BXD73" s="55"/>
      <c r="BXE73" s="55"/>
      <c r="BXF73" s="55"/>
      <c r="BXG73" s="55"/>
      <c r="BXH73" s="55"/>
      <c r="BXI73" s="55"/>
      <c r="BXJ73" s="55"/>
      <c r="BXK73" s="55"/>
      <c r="BXL73" s="55"/>
      <c r="BXM73" s="55"/>
      <c r="BXN73" s="55"/>
      <c r="BXO73" s="55"/>
      <c r="BXP73" s="55"/>
      <c r="BXQ73" s="55"/>
      <c r="BXR73" s="55"/>
      <c r="BXS73" s="55"/>
      <c r="BXT73" s="55"/>
      <c r="BXU73" s="55"/>
      <c r="BXV73" s="55"/>
      <c r="BXW73" s="55"/>
      <c r="BXX73" s="55"/>
      <c r="BXY73" s="55"/>
      <c r="BXZ73" s="55"/>
      <c r="BYA73" s="55"/>
      <c r="BYB73" s="55"/>
      <c r="BYC73" s="55"/>
      <c r="BYD73" s="55"/>
      <c r="BYE73" s="55"/>
      <c r="BYF73" s="55"/>
      <c r="BYG73" s="55"/>
      <c r="BYH73" s="55"/>
      <c r="BYI73" s="55"/>
      <c r="BYJ73" s="55"/>
      <c r="BYK73" s="55"/>
      <c r="BYL73" s="55"/>
      <c r="BYM73" s="55"/>
      <c r="BYN73" s="55"/>
      <c r="BYO73" s="55"/>
      <c r="BYP73" s="55"/>
      <c r="BYQ73" s="55"/>
      <c r="BYR73" s="55"/>
      <c r="BYS73" s="55"/>
      <c r="BYT73" s="55"/>
      <c r="BYU73" s="55"/>
      <c r="BYV73" s="55"/>
      <c r="BYW73" s="55"/>
      <c r="BYX73" s="55"/>
      <c r="BYY73" s="55"/>
      <c r="BYZ73" s="55"/>
      <c r="BZA73" s="55"/>
      <c r="BZB73" s="55"/>
      <c r="BZC73" s="55"/>
      <c r="BZD73" s="55"/>
      <c r="BZE73" s="55"/>
      <c r="BZF73" s="55"/>
      <c r="BZG73" s="55"/>
      <c r="BZH73" s="55"/>
      <c r="BZI73" s="55"/>
      <c r="BZJ73" s="55"/>
      <c r="BZK73" s="55"/>
      <c r="BZL73" s="55"/>
      <c r="BZM73" s="55"/>
      <c r="BZN73" s="55"/>
      <c r="BZO73" s="55"/>
      <c r="BZP73" s="55"/>
      <c r="BZQ73" s="55"/>
      <c r="BZR73" s="55"/>
      <c r="BZS73" s="55"/>
      <c r="BZT73" s="55"/>
      <c r="BZU73" s="55"/>
      <c r="BZV73" s="55"/>
      <c r="BZW73" s="55"/>
      <c r="BZX73" s="55"/>
      <c r="BZY73" s="55"/>
      <c r="BZZ73" s="55"/>
      <c r="CAA73" s="55"/>
      <c r="CAB73" s="55"/>
      <c r="CAC73" s="55"/>
      <c r="CAD73" s="55"/>
      <c r="CAE73" s="55"/>
      <c r="CAF73" s="55"/>
      <c r="CAG73" s="55"/>
      <c r="CAH73" s="55"/>
      <c r="CAI73" s="55"/>
      <c r="CAJ73" s="55"/>
      <c r="CAK73" s="55"/>
      <c r="CAL73" s="55"/>
      <c r="CAM73" s="55"/>
      <c r="CAN73" s="55"/>
      <c r="CAO73" s="55"/>
      <c r="CAP73" s="55"/>
      <c r="CAQ73" s="55"/>
      <c r="CAR73" s="55"/>
      <c r="CAS73" s="55"/>
      <c r="CAT73" s="55"/>
      <c r="CAU73" s="55"/>
      <c r="CAV73" s="55"/>
      <c r="CAW73" s="55"/>
      <c r="CAX73" s="55"/>
      <c r="CAY73" s="55"/>
      <c r="CAZ73" s="55"/>
      <c r="CBA73" s="55"/>
      <c r="CBB73" s="55"/>
      <c r="CBC73" s="55"/>
      <c r="CBD73" s="55"/>
      <c r="CBE73" s="55"/>
      <c r="CBF73" s="55"/>
      <c r="CBG73" s="55"/>
      <c r="CBH73" s="55"/>
      <c r="CBI73" s="55"/>
      <c r="CBJ73" s="55"/>
      <c r="CBK73" s="55"/>
      <c r="CBL73" s="55"/>
      <c r="CBM73" s="55"/>
      <c r="CBN73" s="55"/>
      <c r="CBO73" s="55"/>
      <c r="CBP73" s="55"/>
      <c r="CBQ73" s="55"/>
      <c r="CBR73" s="55"/>
      <c r="CBS73" s="55"/>
      <c r="CBT73" s="55"/>
      <c r="CBU73" s="55"/>
      <c r="CBV73" s="55"/>
      <c r="CBW73" s="55"/>
      <c r="CBX73" s="55"/>
      <c r="CBY73" s="55"/>
      <c r="CBZ73" s="55"/>
      <c r="CCA73" s="55"/>
      <c r="CCB73" s="55"/>
      <c r="CCC73" s="55"/>
      <c r="CCD73" s="55"/>
      <c r="CCE73" s="55"/>
      <c r="CCF73" s="55"/>
      <c r="CCG73" s="55"/>
      <c r="CCH73" s="55"/>
      <c r="CCI73" s="55"/>
      <c r="CCJ73" s="55"/>
      <c r="CCK73" s="55"/>
      <c r="CCL73" s="55"/>
      <c r="CCM73" s="55"/>
      <c r="CCN73" s="55"/>
      <c r="CCO73" s="55"/>
      <c r="CCP73" s="55"/>
      <c r="CCQ73" s="55"/>
      <c r="CCR73" s="55"/>
      <c r="CCS73" s="55"/>
      <c r="CCT73" s="55"/>
      <c r="CCU73" s="55"/>
      <c r="CCV73" s="55"/>
      <c r="CCW73" s="55"/>
      <c r="CCX73" s="55"/>
      <c r="CCY73" s="55"/>
      <c r="CCZ73" s="55"/>
      <c r="CDA73" s="55"/>
      <c r="CDB73" s="55"/>
      <c r="CDC73" s="55"/>
      <c r="CDD73" s="55"/>
      <c r="CDE73" s="55"/>
      <c r="CDF73" s="55"/>
      <c r="CDG73" s="55"/>
      <c r="CDH73" s="55"/>
      <c r="CDI73" s="55"/>
      <c r="CDJ73" s="55"/>
      <c r="CDK73" s="55"/>
      <c r="CDL73" s="55"/>
      <c r="CDM73" s="55"/>
      <c r="CDN73" s="55"/>
      <c r="CDO73" s="55"/>
      <c r="CDP73" s="55"/>
      <c r="CDQ73" s="55"/>
      <c r="CDR73" s="55"/>
      <c r="CDS73" s="55"/>
      <c r="CDT73" s="55"/>
      <c r="CDU73" s="55"/>
      <c r="CDV73" s="55"/>
      <c r="CDW73" s="55"/>
      <c r="CDX73" s="55"/>
      <c r="CDY73" s="55"/>
      <c r="CDZ73" s="55"/>
      <c r="CEA73" s="55"/>
      <c r="CEB73" s="55"/>
      <c r="CEC73" s="55"/>
      <c r="CED73" s="55"/>
      <c r="CEE73" s="55"/>
      <c r="CEF73" s="55"/>
      <c r="CEG73" s="55"/>
      <c r="CEH73" s="55"/>
      <c r="CEI73" s="55"/>
      <c r="CEJ73" s="55"/>
      <c r="CEK73" s="55"/>
      <c r="CEL73" s="55"/>
      <c r="CEM73" s="55"/>
      <c r="CEN73" s="55"/>
      <c r="CEO73" s="55"/>
      <c r="CEP73" s="55"/>
      <c r="CEQ73" s="55"/>
      <c r="CER73" s="55"/>
      <c r="CES73" s="55"/>
      <c r="CET73" s="55"/>
      <c r="CEU73" s="55"/>
      <c r="CEV73" s="55"/>
      <c r="CEW73" s="55"/>
      <c r="CEX73" s="55"/>
      <c r="CEY73" s="55"/>
      <c r="CEZ73" s="55"/>
      <c r="CFA73" s="55"/>
      <c r="CFB73" s="55"/>
      <c r="CFC73" s="55"/>
      <c r="CFD73" s="55"/>
      <c r="CFE73" s="55"/>
      <c r="CFF73" s="55"/>
      <c r="CFG73" s="55"/>
      <c r="CFH73" s="55"/>
      <c r="CFI73" s="55"/>
      <c r="CFJ73" s="55"/>
      <c r="CFK73" s="55"/>
      <c r="CFL73" s="55"/>
      <c r="CFM73" s="55"/>
      <c r="CFN73" s="55"/>
      <c r="CFO73" s="55"/>
      <c r="CFP73" s="55"/>
      <c r="CFQ73" s="55"/>
      <c r="CFR73" s="55"/>
      <c r="CFS73" s="55"/>
      <c r="CFT73" s="55"/>
      <c r="CFU73" s="55"/>
      <c r="CFV73" s="55"/>
      <c r="CFW73" s="55"/>
      <c r="CFX73" s="55"/>
      <c r="CFY73" s="55"/>
      <c r="CFZ73" s="55"/>
      <c r="CGA73" s="55"/>
      <c r="CGB73" s="55"/>
      <c r="CGC73" s="55"/>
      <c r="CGD73" s="55"/>
      <c r="CGE73" s="55"/>
      <c r="CGF73" s="55"/>
      <c r="CGG73" s="55"/>
      <c r="CGH73" s="55"/>
      <c r="CGI73" s="55"/>
      <c r="CGJ73" s="55"/>
      <c r="CGK73" s="55"/>
      <c r="CGL73" s="55"/>
      <c r="CGM73" s="55"/>
      <c r="CGN73" s="55"/>
      <c r="CGO73" s="55"/>
      <c r="CGP73" s="55"/>
      <c r="CGQ73" s="55"/>
      <c r="CGR73" s="55"/>
      <c r="CGS73" s="55"/>
      <c r="CGT73" s="55"/>
      <c r="CGU73" s="55"/>
      <c r="CGV73" s="55"/>
      <c r="CGW73" s="55"/>
      <c r="CGX73" s="55"/>
      <c r="CGY73" s="55"/>
      <c r="CGZ73" s="55"/>
      <c r="CHA73" s="55"/>
      <c r="CHB73" s="55"/>
      <c r="CHC73" s="55"/>
      <c r="CHD73" s="55"/>
      <c r="CHE73" s="55"/>
      <c r="CHF73" s="55"/>
      <c r="CHG73" s="55"/>
      <c r="CHH73" s="55"/>
      <c r="CHI73" s="55"/>
      <c r="CHJ73" s="55"/>
      <c r="CHK73" s="55"/>
      <c r="CHL73" s="55"/>
      <c r="CHM73" s="55"/>
      <c r="CHN73" s="55"/>
      <c r="CHO73" s="55"/>
      <c r="CHP73" s="55"/>
      <c r="CHQ73" s="55"/>
      <c r="CHR73" s="55"/>
      <c r="CHS73" s="55"/>
      <c r="CHT73" s="55"/>
      <c r="CHU73" s="55"/>
      <c r="CHV73" s="55"/>
      <c r="CHW73" s="55"/>
      <c r="CHX73" s="55"/>
      <c r="CHY73" s="55"/>
      <c r="CHZ73" s="55"/>
      <c r="CIA73" s="55"/>
      <c r="CIB73" s="55"/>
      <c r="CIC73" s="55"/>
      <c r="CID73" s="55"/>
      <c r="CIE73" s="55"/>
      <c r="CIF73" s="55"/>
      <c r="CIG73" s="55"/>
      <c r="CIH73" s="55"/>
      <c r="CII73" s="55"/>
      <c r="CIJ73" s="55"/>
      <c r="CIK73" s="55"/>
      <c r="CIL73" s="55"/>
      <c r="CIM73" s="55"/>
      <c r="CIN73" s="55"/>
      <c r="CIO73" s="55"/>
      <c r="CIP73" s="55"/>
      <c r="CIQ73" s="55"/>
      <c r="CIR73" s="55"/>
      <c r="CIS73" s="55"/>
      <c r="CIT73" s="55"/>
      <c r="CIU73" s="55"/>
      <c r="CIV73" s="55"/>
      <c r="CIW73" s="55"/>
      <c r="CIX73" s="55"/>
      <c r="CIY73" s="55"/>
      <c r="CIZ73" s="55"/>
      <c r="CJA73" s="55"/>
      <c r="CJB73" s="55"/>
      <c r="CJC73" s="55"/>
      <c r="CJD73" s="55"/>
      <c r="CJE73" s="55"/>
      <c r="CJF73" s="55"/>
      <c r="CJG73" s="55"/>
      <c r="CJH73" s="55"/>
      <c r="CJI73" s="55"/>
      <c r="CJJ73" s="55"/>
      <c r="CJK73" s="55"/>
      <c r="CJL73" s="55"/>
      <c r="CJM73" s="55"/>
      <c r="CJN73" s="55"/>
      <c r="CJO73" s="55"/>
      <c r="CJP73" s="55"/>
      <c r="CJQ73" s="55"/>
      <c r="CJR73" s="55"/>
      <c r="CJS73" s="55"/>
      <c r="CJT73" s="55"/>
      <c r="CJU73" s="55"/>
      <c r="CJV73" s="55"/>
      <c r="CJW73" s="55"/>
      <c r="CJX73" s="55"/>
      <c r="CJY73" s="55"/>
      <c r="CJZ73" s="55"/>
      <c r="CKA73" s="55"/>
      <c r="CKB73" s="55"/>
      <c r="CKC73" s="55"/>
      <c r="CKD73" s="55"/>
      <c r="CKE73" s="55"/>
      <c r="CKF73" s="55"/>
      <c r="CKG73" s="55"/>
      <c r="CKH73" s="55"/>
      <c r="CKI73" s="55"/>
      <c r="CKJ73" s="55"/>
      <c r="CKK73" s="55"/>
      <c r="CKL73" s="55"/>
      <c r="CKM73" s="55"/>
      <c r="CKN73" s="55"/>
      <c r="CKO73" s="55"/>
      <c r="CKP73" s="55"/>
      <c r="CKQ73" s="55"/>
      <c r="CKR73" s="55"/>
      <c r="CKS73" s="55"/>
      <c r="CKT73" s="55"/>
      <c r="CKU73" s="55"/>
      <c r="CKV73" s="55"/>
      <c r="CKW73" s="55"/>
      <c r="CKX73" s="55"/>
      <c r="CKY73" s="55"/>
      <c r="CKZ73" s="55"/>
      <c r="CLA73" s="55"/>
      <c r="CLB73" s="55"/>
      <c r="CLC73" s="55"/>
      <c r="CLD73" s="55"/>
      <c r="CLE73" s="55"/>
      <c r="CLF73" s="55"/>
      <c r="CLG73" s="55"/>
      <c r="CLH73" s="55"/>
      <c r="CLI73" s="55"/>
      <c r="CLJ73" s="55"/>
      <c r="CLK73" s="55"/>
      <c r="CLL73" s="55"/>
      <c r="CLM73" s="55"/>
      <c r="CLN73" s="55"/>
      <c r="CLO73" s="55"/>
      <c r="CLP73" s="55"/>
      <c r="CLQ73" s="55"/>
      <c r="CLR73" s="55"/>
      <c r="CLS73" s="55"/>
      <c r="CLT73" s="55"/>
      <c r="CLU73" s="55"/>
      <c r="CLV73" s="55"/>
      <c r="CLW73" s="55"/>
      <c r="CLX73" s="55"/>
      <c r="CLY73" s="55"/>
      <c r="CLZ73" s="55"/>
      <c r="CMA73" s="55"/>
      <c r="CMB73" s="55"/>
      <c r="CMC73" s="55"/>
      <c r="CMD73" s="55"/>
      <c r="CME73" s="55"/>
      <c r="CMF73" s="55"/>
      <c r="CMG73" s="55"/>
      <c r="CMH73" s="55"/>
      <c r="CMI73" s="55"/>
      <c r="CMJ73" s="55"/>
      <c r="CMK73" s="55"/>
      <c r="CML73" s="55"/>
      <c r="CMM73" s="55"/>
      <c r="CMN73" s="55"/>
      <c r="CMO73" s="55"/>
      <c r="CMP73" s="55"/>
      <c r="CMQ73" s="55"/>
      <c r="CMR73" s="55"/>
      <c r="CMS73" s="55"/>
      <c r="CMT73" s="55"/>
      <c r="CMU73" s="55"/>
      <c r="CMV73" s="55"/>
      <c r="CMW73" s="55"/>
      <c r="CMX73" s="55"/>
      <c r="CMY73" s="55"/>
      <c r="CMZ73" s="55"/>
      <c r="CNA73" s="55"/>
      <c r="CNB73" s="55"/>
      <c r="CNC73" s="55"/>
      <c r="CND73" s="55"/>
      <c r="CNE73" s="55"/>
      <c r="CNF73" s="55"/>
      <c r="CNG73" s="55"/>
      <c r="CNH73" s="55"/>
      <c r="CNI73" s="55"/>
      <c r="CNJ73" s="55"/>
      <c r="CNK73" s="55"/>
      <c r="CNL73" s="55"/>
      <c r="CNM73" s="55"/>
      <c r="CNN73" s="55"/>
      <c r="CNO73" s="55"/>
      <c r="CNP73" s="55"/>
      <c r="CNQ73" s="55"/>
      <c r="CNR73" s="55"/>
      <c r="CNS73" s="55"/>
      <c r="CNT73" s="55"/>
      <c r="CNU73" s="55"/>
      <c r="CNV73" s="55"/>
      <c r="CNW73" s="55"/>
      <c r="CNX73" s="55"/>
      <c r="CNY73" s="55"/>
      <c r="CNZ73" s="55"/>
      <c r="COA73" s="55"/>
      <c r="COB73" s="55"/>
      <c r="COC73" s="55"/>
      <c r="COD73" s="55"/>
      <c r="COE73" s="55"/>
      <c r="COF73" s="55"/>
      <c r="COG73" s="55"/>
      <c r="COH73" s="55"/>
      <c r="COI73" s="55"/>
      <c r="COJ73" s="55"/>
      <c r="COK73" s="55"/>
      <c r="COL73" s="55"/>
      <c r="COM73" s="55"/>
      <c r="CON73" s="55"/>
      <c r="COO73" s="55"/>
      <c r="COP73" s="55"/>
      <c r="COQ73" s="55"/>
      <c r="COR73" s="55"/>
      <c r="COS73" s="55"/>
      <c r="COT73" s="55"/>
      <c r="COU73" s="55"/>
      <c r="COV73" s="55"/>
      <c r="COW73" s="55"/>
      <c r="COX73" s="55"/>
      <c r="COY73" s="55"/>
      <c r="COZ73" s="55"/>
      <c r="CPA73" s="55"/>
      <c r="CPB73" s="55"/>
      <c r="CPC73" s="55"/>
      <c r="CPD73" s="55"/>
      <c r="CPE73" s="55"/>
      <c r="CPF73" s="55"/>
      <c r="CPG73" s="55"/>
      <c r="CPH73" s="55"/>
      <c r="CPI73" s="55"/>
      <c r="CPJ73" s="55"/>
      <c r="CPK73" s="55"/>
      <c r="CPL73" s="55"/>
      <c r="CPM73" s="55"/>
      <c r="CPN73" s="55"/>
      <c r="CPO73" s="55"/>
      <c r="CPP73" s="55"/>
      <c r="CPQ73" s="55"/>
      <c r="CPR73" s="55"/>
      <c r="CPS73" s="55"/>
      <c r="CPT73" s="55"/>
      <c r="CPU73" s="55"/>
      <c r="CPV73" s="55"/>
      <c r="CPW73" s="55"/>
      <c r="CPX73" s="55"/>
      <c r="CPY73" s="55"/>
      <c r="CPZ73" s="55"/>
      <c r="CQA73" s="55"/>
      <c r="CQB73" s="55"/>
      <c r="CQC73" s="55"/>
      <c r="CQD73" s="55"/>
      <c r="CQE73" s="55"/>
      <c r="CQF73" s="55"/>
      <c r="CQG73" s="55"/>
      <c r="CQH73" s="55"/>
      <c r="CQI73" s="55"/>
      <c r="CQJ73" s="55"/>
      <c r="CQK73" s="55"/>
      <c r="CQL73" s="55"/>
      <c r="CQM73" s="55"/>
      <c r="CQN73" s="55"/>
      <c r="CQO73" s="55"/>
      <c r="CQP73" s="55"/>
      <c r="CQQ73" s="55"/>
      <c r="CQR73" s="55"/>
      <c r="CQS73" s="55"/>
      <c r="CQT73" s="55"/>
      <c r="CQU73" s="55"/>
      <c r="CQV73" s="55"/>
      <c r="CQW73" s="55"/>
      <c r="CQX73" s="55"/>
      <c r="CQY73" s="55"/>
      <c r="CQZ73" s="55"/>
      <c r="CRA73" s="55"/>
      <c r="CRB73" s="55"/>
      <c r="CRC73" s="55"/>
      <c r="CRD73" s="55"/>
      <c r="CRE73" s="55"/>
      <c r="CRF73" s="55"/>
      <c r="CRG73" s="55"/>
      <c r="CRH73" s="55"/>
      <c r="CRI73" s="55"/>
      <c r="CRJ73" s="55"/>
      <c r="CRK73" s="55"/>
      <c r="CRL73" s="55"/>
      <c r="CRM73" s="55"/>
      <c r="CRN73" s="55"/>
      <c r="CRO73" s="55"/>
      <c r="CRP73" s="55"/>
      <c r="CRQ73" s="55"/>
      <c r="CRR73" s="55"/>
      <c r="CRS73" s="55"/>
      <c r="CRT73" s="55"/>
      <c r="CRU73" s="55"/>
      <c r="CRV73" s="55"/>
      <c r="CRW73" s="55"/>
      <c r="CRX73" s="55"/>
      <c r="CRY73" s="55"/>
      <c r="CRZ73" s="55"/>
      <c r="CSA73" s="55"/>
      <c r="CSB73" s="55"/>
      <c r="CSC73" s="55"/>
      <c r="CSD73" s="55"/>
      <c r="CSE73" s="55"/>
      <c r="CSF73" s="55"/>
      <c r="CSG73" s="55"/>
      <c r="CSH73" s="55"/>
      <c r="CSI73" s="55"/>
      <c r="CSJ73" s="55"/>
      <c r="CSK73" s="55"/>
      <c r="CSL73" s="55"/>
      <c r="CSM73" s="55"/>
      <c r="CSN73" s="55"/>
      <c r="CSO73" s="55"/>
      <c r="CSP73" s="55"/>
      <c r="CSQ73" s="55"/>
      <c r="CSR73" s="55"/>
      <c r="CSS73" s="55"/>
      <c r="CST73" s="55"/>
      <c r="CSU73" s="55"/>
      <c r="CSV73" s="55"/>
      <c r="CSW73" s="55"/>
      <c r="CSX73" s="55"/>
      <c r="CSY73" s="55"/>
      <c r="CSZ73" s="55"/>
      <c r="CTA73" s="55"/>
      <c r="CTB73" s="55"/>
      <c r="CTC73" s="55"/>
      <c r="CTD73" s="55"/>
      <c r="CTE73" s="55"/>
      <c r="CTF73" s="55"/>
      <c r="CTG73" s="55"/>
      <c r="CTH73" s="55"/>
      <c r="CTI73" s="55"/>
      <c r="CTJ73" s="55"/>
      <c r="CTK73" s="55"/>
      <c r="CTL73" s="55"/>
      <c r="CTM73" s="55"/>
      <c r="CTN73" s="55"/>
      <c r="CTO73" s="55"/>
      <c r="CTP73" s="55"/>
      <c r="CTQ73" s="55"/>
      <c r="CTR73" s="55"/>
      <c r="CTS73" s="55"/>
      <c r="CTT73" s="55"/>
      <c r="CTU73" s="55"/>
      <c r="CTV73" s="55"/>
      <c r="CTW73" s="55"/>
      <c r="CTX73" s="55"/>
      <c r="CTY73" s="55"/>
      <c r="CTZ73" s="55"/>
      <c r="CUA73" s="55"/>
      <c r="CUB73" s="55"/>
      <c r="CUC73" s="55"/>
      <c r="CUD73" s="55"/>
      <c r="CUE73" s="55"/>
      <c r="CUF73" s="55"/>
      <c r="CUG73" s="55"/>
      <c r="CUH73" s="55"/>
      <c r="CUI73" s="55"/>
      <c r="CUJ73" s="55"/>
      <c r="CUK73" s="55"/>
      <c r="CUL73" s="55"/>
      <c r="CUM73" s="55"/>
      <c r="CUN73" s="55"/>
      <c r="CUO73" s="55"/>
      <c r="CUP73" s="55"/>
      <c r="CUQ73" s="55"/>
      <c r="CUR73" s="55"/>
      <c r="CUS73" s="55"/>
      <c r="CUT73" s="55"/>
      <c r="CUU73" s="55"/>
      <c r="CUV73" s="55"/>
      <c r="CUW73" s="55"/>
      <c r="CUX73" s="55"/>
      <c r="CUY73" s="55"/>
      <c r="CUZ73" s="55"/>
      <c r="CVA73" s="55"/>
      <c r="CVB73" s="55"/>
      <c r="CVC73" s="55"/>
      <c r="CVD73" s="55"/>
      <c r="CVE73" s="55"/>
      <c r="CVF73" s="55"/>
      <c r="CVG73" s="55"/>
      <c r="CVH73" s="55"/>
      <c r="CVI73" s="55"/>
      <c r="CVJ73" s="55"/>
      <c r="CVK73" s="55"/>
      <c r="CVL73" s="55"/>
      <c r="CVM73" s="55"/>
      <c r="CVN73" s="55"/>
      <c r="CVO73" s="55"/>
      <c r="CVP73" s="55"/>
      <c r="CVQ73" s="55"/>
      <c r="CVR73" s="55"/>
      <c r="CVS73" s="55"/>
      <c r="CVT73" s="55"/>
      <c r="CVU73" s="55"/>
      <c r="CVV73" s="55"/>
      <c r="CVW73" s="55"/>
      <c r="CVX73" s="55"/>
      <c r="CVY73" s="55"/>
      <c r="CVZ73" s="55"/>
      <c r="CWA73" s="55"/>
      <c r="CWB73" s="55"/>
      <c r="CWC73" s="55"/>
      <c r="CWD73" s="55"/>
      <c r="CWE73" s="55"/>
      <c r="CWF73" s="55"/>
      <c r="CWG73" s="55"/>
      <c r="CWH73" s="55"/>
      <c r="CWI73" s="55"/>
      <c r="CWJ73" s="55"/>
      <c r="CWK73" s="55"/>
      <c r="CWL73" s="55"/>
      <c r="CWM73" s="55"/>
      <c r="CWN73" s="55"/>
      <c r="CWO73" s="55"/>
      <c r="CWP73" s="55"/>
      <c r="CWQ73" s="55"/>
      <c r="CWR73" s="55"/>
      <c r="CWS73" s="55"/>
      <c r="CWT73" s="55"/>
      <c r="CWU73" s="55"/>
      <c r="CWV73" s="55"/>
      <c r="CWW73" s="55"/>
      <c r="CWX73" s="55"/>
      <c r="CWY73" s="55"/>
      <c r="CWZ73" s="55"/>
      <c r="CXA73" s="55"/>
      <c r="CXB73" s="55"/>
      <c r="CXC73" s="55"/>
      <c r="CXD73" s="55"/>
      <c r="CXE73" s="55"/>
      <c r="CXF73" s="55"/>
      <c r="CXG73" s="55"/>
      <c r="CXH73" s="55"/>
      <c r="CXI73" s="55"/>
      <c r="CXJ73" s="55"/>
      <c r="CXK73" s="55"/>
      <c r="CXL73" s="55"/>
      <c r="CXM73" s="55"/>
      <c r="CXN73" s="55"/>
      <c r="CXO73" s="55"/>
      <c r="CXP73" s="55"/>
      <c r="CXQ73" s="55"/>
      <c r="CXR73" s="55"/>
      <c r="CXS73" s="55"/>
      <c r="CXT73" s="55"/>
      <c r="CXU73" s="55"/>
      <c r="CXV73" s="55"/>
      <c r="CXW73" s="55"/>
      <c r="CXX73" s="55"/>
      <c r="CXY73" s="55"/>
      <c r="CXZ73" s="55"/>
      <c r="CYA73" s="55"/>
      <c r="CYB73" s="55"/>
      <c r="CYC73" s="55"/>
      <c r="CYD73" s="55"/>
      <c r="CYE73" s="55"/>
      <c r="CYF73" s="55"/>
      <c r="CYG73" s="55"/>
      <c r="CYH73" s="55"/>
      <c r="CYI73" s="55"/>
      <c r="CYJ73" s="55"/>
      <c r="CYK73" s="55"/>
      <c r="CYL73" s="55"/>
      <c r="CYM73" s="55"/>
      <c r="CYN73" s="55"/>
      <c r="CYO73" s="55"/>
      <c r="CYP73" s="55"/>
      <c r="CYQ73" s="55"/>
      <c r="CYR73" s="55"/>
      <c r="CYS73" s="55"/>
      <c r="CYT73" s="55"/>
      <c r="CYU73" s="55"/>
      <c r="CYV73" s="55"/>
      <c r="CYW73" s="55"/>
      <c r="CYX73" s="55"/>
      <c r="CYY73" s="55"/>
      <c r="CYZ73" s="55"/>
      <c r="CZA73" s="55"/>
      <c r="CZB73" s="55"/>
      <c r="CZC73" s="55"/>
      <c r="CZD73" s="55"/>
      <c r="CZE73" s="55"/>
      <c r="CZF73" s="55"/>
      <c r="CZG73" s="55"/>
      <c r="CZH73" s="55"/>
      <c r="CZI73" s="55"/>
      <c r="CZJ73" s="55"/>
      <c r="CZK73" s="55"/>
      <c r="CZL73" s="55"/>
      <c r="CZM73" s="55"/>
      <c r="CZN73" s="55"/>
      <c r="CZO73" s="55"/>
      <c r="CZP73" s="55"/>
      <c r="CZQ73" s="55"/>
      <c r="CZR73" s="55"/>
      <c r="CZS73" s="55"/>
      <c r="CZT73" s="55"/>
      <c r="CZU73" s="55"/>
      <c r="CZV73" s="55"/>
      <c r="CZW73" s="55"/>
      <c r="CZX73" s="55"/>
      <c r="CZY73" s="55"/>
      <c r="CZZ73" s="55"/>
      <c r="DAA73" s="55"/>
      <c r="DAB73" s="55"/>
      <c r="DAC73" s="55"/>
      <c r="DAD73" s="55"/>
      <c r="DAE73" s="55"/>
      <c r="DAF73" s="55"/>
      <c r="DAG73" s="55"/>
      <c r="DAH73" s="55"/>
      <c r="DAI73" s="55"/>
      <c r="DAJ73" s="55"/>
      <c r="DAK73" s="55"/>
      <c r="DAL73" s="55"/>
      <c r="DAM73" s="55"/>
      <c r="DAN73" s="55"/>
      <c r="DAO73" s="55"/>
      <c r="DAP73" s="55"/>
      <c r="DAQ73" s="55"/>
      <c r="DAR73" s="55"/>
      <c r="DAS73" s="55"/>
      <c r="DAT73" s="55"/>
      <c r="DAU73" s="55"/>
      <c r="DAV73" s="55"/>
      <c r="DAW73" s="55"/>
      <c r="DAX73" s="55"/>
      <c r="DAY73" s="55"/>
      <c r="DAZ73" s="55"/>
      <c r="DBA73" s="55"/>
      <c r="DBB73" s="55"/>
      <c r="DBC73" s="55"/>
      <c r="DBD73" s="55"/>
      <c r="DBE73" s="55"/>
      <c r="DBF73" s="55"/>
      <c r="DBG73" s="55"/>
      <c r="DBH73" s="55"/>
      <c r="DBI73" s="55"/>
      <c r="DBJ73" s="55"/>
      <c r="DBK73" s="55"/>
      <c r="DBL73" s="55"/>
      <c r="DBM73" s="55"/>
      <c r="DBN73" s="55"/>
      <c r="DBO73" s="55"/>
      <c r="DBP73" s="55"/>
      <c r="DBQ73" s="55"/>
      <c r="DBR73" s="55"/>
      <c r="DBS73" s="55"/>
      <c r="DBT73" s="55"/>
      <c r="DBU73" s="55"/>
      <c r="DBV73" s="55"/>
      <c r="DBW73" s="55"/>
      <c r="DBX73" s="55"/>
      <c r="DBY73" s="55"/>
      <c r="DBZ73" s="55"/>
      <c r="DCA73" s="55"/>
      <c r="DCB73" s="55"/>
      <c r="DCC73" s="55"/>
      <c r="DCD73" s="55"/>
      <c r="DCE73" s="55"/>
      <c r="DCF73" s="55"/>
      <c r="DCG73" s="55"/>
      <c r="DCH73" s="55"/>
      <c r="DCI73" s="55"/>
      <c r="DCJ73" s="55"/>
      <c r="DCK73" s="55"/>
      <c r="DCL73" s="55"/>
      <c r="DCM73" s="55"/>
      <c r="DCN73" s="55"/>
      <c r="DCO73" s="55"/>
      <c r="DCP73" s="55"/>
      <c r="DCQ73" s="55"/>
      <c r="DCR73" s="55"/>
      <c r="DCS73" s="55"/>
      <c r="DCT73" s="55"/>
      <c r="DCU73" s="55"/>
      <c r="DCV73" s="55"/>
      <c r="DCW73" s="55"/>
      <c r="DCX73" s="55"/>
      <c r="DCY73" s="55"/>
      <c r="DCZ73" s="55"/>
      <c r="DDA73" s="55"/>
      <c r="DDB73" s="55"/>
      <c r="DDC73" s="55"/>
      <c r="DDD73" s="55"/>
      <c r="DDE73" s="55"/>
      <c r="DDF73" s="55"/>
      <c r="DDG73" s="55"/>
      <c r="DDH73" s="55"/>
      <c r="DDI73" s="55"/>
      <c r="DDJ73" s="55"/>
      <c r="DDK73" s="55"/>
      <c r="DDL73" s="55"/>
      <c r="DDM73" s="55"/>
      <c r="DDN73" s="55"/>
      <c r="DDO73" s="55"/>
      <c r="DDP73" s="55"/>
      <c r="DDQ73" s="55"/>
      <c r="DDR73" s="55"/>
      <c r="DDS73" s="55"/>
      <c r="DDT73" s="55"/>
      <c r="DDU73" s="55"/>
      <c r="DDV73" s="55"/>
      <c r="DDW73" s="55"/>
      <c r="DDX73" s="55"/>
      <c r="DDY73" s="55"/>
      <c r="DDZ73" s="55"/>
      <c r="DEA73" s="55"/>
      <c r="DEB73" s="55"/>
      <c r="DEC73" s="55"/>
      <c r="DED73" s="55"/>
      <c r="DEE73" s="55"/>
      <c r="DEF73" s="55"/>
      <c r="DEG73" s="55"/>
      <c r="DEH73" s="55"/>
      <c r="DEI73" s="55"/>
      <c r="DEJ73" s="55"/>
      <c r="DEK73" s="55"/>
      <c r="DEL73" s="55"/>
      <c r="DEM73" s="55"/>
      <c r="DEN73" s="55"/>
      <c r="DEO73" s="55"/>
      <c r="DEP73" s="55"/>
      <c r="DEQ73" s="55"/>
      <c r="DER73" s="55"/>
      <c r="DES73" s="55"/>
      <c r="DET73" s="55"/>
      <c r="DEU73" s="55"/>
      <c r="DEV73" s="55"/>
      <c r="DEW73" s="55"/>
      <c r="DEX73" s="55"/>
      <c r="DEY73" s="55"/>
      <c r="DEZ73" s="55"/>
      <c r="DFA73" s="55"/>
      <c r="DFB73" s="55"/>
      <c r="DFC73" s="55"/>
      <c r="DFD73" s="55"/>
      <c r="DFE73" s="55"/>
      <c r="DFF73" s="55"/>
      <c r="DFG73" s="55"/>
      <c r="DFH73" s="55"/>
      <c r="DFI73" s="55"/>
      <c r="DFJ73" s="55"/>
      <c r="DFK73" s="55"/>
      <c r="DFL73" s="55"/>
      <c r="DFM73" s="55"/>
      <c r="DFN73" s="55"/>
      <c r="DFO73" s="55"/>
      <c r="DFP73" s="55"/>
      <c r="DFQ73" s="55"/>
      <c r="DFR73" s="55"/>
      <c r="DFS73" s="55"/>
      <c r="DFT73" s="55"/>
      <c r="DFU73" s="55"/>
      <c r="DFV73" s="55"/>
      <c r="DFW73" s="55"/>
      <c r="DFX73" s="55"/>
      <c r="DFY73" s="55"/>
      <c r="DFZ73" s="55"/>
      <c r="DGA73" s="55"/>
      <c r="DGB73" s="55"/>
      <c r="DGC73" s="55"/>
      <c r="DGD73" s="55"/>
      <c r="DGE73" s="55"/>
      <c r="DGF73" s="55"/>
      <c r="DGG73" s="55"/>
      <c r="DGH73" s="55"/>
      <c r="DGI73" s="55"/>
      <c r="DGJ73" s="55"/>
      <c r="DGK73" s="55"/>
      <c r="DGL73" s="55"/>
      <c r="DGM73" s="55"/>
      <c r="DGN73" s="55"/>
      <c r="DGO73" s="55"/>
      <c r="DGP73" s="55"/>
      <c r="DGQ73" s="55"/>
      <c r="DGR73" s="55"/>
      <c r="DGS73" s="55"/>
      <c r="DGT73" s="55"/>
      <c r="DGU73" s="55"/>
      <c r="DGV73" s="55"/>
      <c r="DGW73" s="55"/>
      <c r="DGX73" s="55"/>
      <c r="DGY73" s="55"/>
      <c r="DGZ73" s="55"/>
      <c r="DHA73" s="55"/>
      <c r="DHB73" s="55"/>
      <c r="DHC73" s="55"/>
      <c r="DHD73" s="55"/>
      <c r="DHE73" s="55"/>
      <c r="DHF73" s="55"/>
      <c r="DHG73" s="55"/>
      <c r="DHH73" s="55"/>
      <c r="DHI73" s="55"/>
      <c r="DHJ73" s="55"/>
      <c r="DHK73" s="55"/>
      <c r="DHL73" s="55"/>
      <c r="DHM73" s="55"/>
      <c r="DHN73" s="55"/>
      <c r="DHO73" s="55"/>
      <c r="DHP73" s="55"/>
      <c r="DHQ73" s="55"/>
      <c r="DHR73" s="55"/>
      <c r="DHS73" s="55"/>
      <c r="DHT73" s="55"/>
      <c r="DHU73" s="55"/>
      <c r="DHV73" s="55"/>
      <c r="DHW73" s="55"/>
      <c r="DHX73" s="55"/>
      <c r="DHY73" s="55"/>
      <c r="DHZ73" s="55"/>
      <c r="DIA73" s="55"/>
      <c r="DIB73" s="55"/>
      <c r="DIC73" s="55"/>
      <c r="DID73" s="55"/>
      <c r="DIE73" s="55"/>
      <c r="DIF73" s="55"/>
      <c r="DIG73" s="55"/>
      <c r="DIH73" s="55"/>
      <c r="DII73" s="55"/>
      <c r="DIJ73" s="55"/>
      <c r="DIK73" s="55"/>
      <c r="DIL73" s="55"/>
      <c r="DIM73" s="55"/>
      <c r="DIN73" s="55"/>
      <c r="DIO73" s="55"/>
      <c r="DIP73" s="55"/>
      <c r="DIQ73" s="55"/>
      <c r="DIR73" s="55"/>
      <c r="DIS73" s="55"/>
      <c r="DIT73" s="55"/>
      <c r="DIU73" s="55"/>
      <c r="DIV73" s="55"/>
      <c r="DIW73" s="55"/>
      <c r="DIX73" s="55"/>
      <c r="DIY73" s="55"/>
      <c r="DIZ73" s="55"/>
      <c r="DJA73" s="55"/>
      <c r="DJB73" s="55"/>
      <c r="DJC73" s="55"/>
      <c r="DJD73" s="55"/>
      <c r="DJE73" s="55"/>
      <c r="DJF73" s="55"/>
      <c r="DJG73" s="55"/>
      <c r="DJH73" s="55"/>
      <c r="DJI73" s="55"/>
      <c r="DJJ73" s="55"/>
      <c r="DJK73" s="55"/>
      <c r="DJL73" s="55"/>
      <c r="DJM73" s="55"/>
      <c r="DJN73" s="55"/>
      <c r="DJO73" s="55"/>
      <c r="DJP73" s="55"/>
      <c r="DJQ73" s="55"/>
      <c r="DJR73" s="55"/>
      <c r="DJS73" s="55"/>
      <c r="DJT73" s="55"/>
      <c r="DJU73" s="55"/>
      <c r="DJV73" s="55"/>
      <c r="DJW73" s="55"/>
      <c r="DJX73" s="55"/>
      <c r="DJY73" s="55"/>
      <c r="DJZ73" s="55"/>
      <c r="DKA73" s="55"/>
      <c r="DKB73" s="55"/>
      <c r="DKC73" s="55"/>
      <c r="DKD73" s="55"/>
      <c r="DKE73" s="55"/>
      <c r="DKF73" s="55"/>
      <c r="DKG73" s="55"/>
      <c r="DKH73" s="55"/>
      <c r="DKI73" s="55"/>
      <c r="DKJ73" s="55"/>
      <c r="DKK73" s="55"/>
      <c r="DKL73" s="55"/>
      <c r="DKM73" s="55"/>
      <c r="DKN73" s="55"/>
      <c r="DKO73" s="55"/>
      <c r="DKP73" s="55"/>
      <c r="DKQ73" s="55"/>
      <c r="DKR73" s="55"/>
      <c r="DKS73" s="55"/>
      <c r="DKT73" s="55"/>
      <c r="DKU73" s="55"/>
      <c r="DKV73" s="55"/>
      <c r="DKW73" s="55"/>
      <c r="DKX73" s="55"/>
      <c r="DKY73" s="55"/>
      <c r="DKZ73" s="55"/>
      <c r="DLA73" s="55"/>
      <c r="DLB73" s="55"/>
      <c r="DLC73" s="55"/>
      <c r="DLD73" s="55"/>
      <c r="DLE73" s="55"/>
      <c r="DLF73" s="55"/>
      <c r="DLG73" s="55"/>
      <c r="DLH73" s="55"/>
      <c r="DLI73" s="55"/>
      <c r="DLJ73" s="55"/>
      <c r="DLK73" s="55"/>
      <c r="DLL73" s="55"/>
      <c r="DLM73" s="55"/>
      <c r="DLN73" s="55"/>
      <c r="DLO73" s="55"/>
      <c r="DLP73" s="55"/>
      <c r="DLQ73" s="55"/>
      <c r="DLR73" s="55"/>
      <c r="DLS73" s="55"/>
      <c r="DLT73" s="55"/>
      <c r="DLU73" s="55"/>
      <c r="DLV73" s="55"/>
      <c r="DLW73" s="55"/>
      <c r="DLX73" s="55"/>
      <c r="DLY73" s="55"/>
      <c r="DLZ73" s="55"/>
      <c r="DMA73" s="55"/>
      <c r="DMB73" s="55"/>
      <c r="DMC73" s="55"/>
      <c r="DMD73" s="55"/>
      <c r="DME73" s="55"/>
      <c r="DMF73" s="55"/>
      <c r="DMG73" s="55"/>
      <c r="DMH73" s="55"/>
      <c r="DMI73" s="55"/>
      <c r="DMJ73" s="55"/>
      <c r="DMK73" s="55"/>
      <c r="DML73" s="55"/>
      <c r="DMM73" s="55"/>
      <c r="DMN73" s="55"/>
      <c r="DMO73" s="55"/>
      <c r="DMP73" s="55"/>
      <c r="DMQ73" s="55"/>
      <c r="DMR73" s="55"/>
      <c r="DMS73" s="55"/>
      <c r="DMT73" s="55"/>
      <c r="DMU73" s="55"/>
      <c r="DMV73" s="55"/>
      <c r="DMW73" s="55"/>
      <c r="DMX73" s="55"/>
      <c r="DMY73" s="55"/>
      <c r="DMZ73" s="55"/>
      <c r="DNA73" s="55"/>
      <c r="DNB73" s="55"/>
      <c r="DNC73" s="55"/>
      <c r="DND73" s="55"/>
      <c r="DNE73" s="55"/>
      <c r="DNF73" s="55"/>
      <c r="DNG73" s="55"/>
      <c r="DNH73" s="55"/>
      <c r="DNI73" s="55"/>
      <c r="DNJ73" s="55"/>
      <c r="DNK73" s="55"/>
      <c r="DNL73" s="55"/>
      <c r="DNM73" s="55"/>
      <c r="DNN73" s="55"/>
      <c r="DNO73" s="55"/>
      <c r="DNP73" s="55"/>
      <c r="DNQ73" s="55"/>
      <c r="DNR73" s="55"/>
      <c r="DNS73" s="55"/>
      <c r="DNT73" s="55"/>
      <c r="DNU73" s="55"/>
      <c r="DNV73" s="55"/>
      <c r="DNW73" s="55"/>
      <c r="DNX73" s="55"/>
      <c r="DNY73" s="55"/>
      <c r="DNZ73" s="55"/>
      <c r="DOA73" s="55"/>
      <c r="DOB73" s="55"/>
      <c r="DOC73" s="55"/>
      <c r="DOD73" s="55"/>
      <c r="DOE73" s="55"/>
      <c r="DOF73" s="55"/>
      <c r="DOG73" s="55"/>
      <c r="DOH73" s="55"/>
      <c r="DOI73" s="55"/>
      <c r="DOJ73" s="55"/>
      <c r="DOK73" s="55"/>
      <c r="DOL73" s="55"/>
      <c r="DOM73" s="55"/>
      <c r="DON73" s="55"/>
      <c r="DOO73" s="55"/>
      <c r="DOP73" s="55"/>
      <c r="DOQ73" s="55"/>
      <c r="DOR73" s="55"/>
      <c r="DOS73" s="55"/>
      <c r="DOT73" s="55"/>
      <c r="DOU73" s="55"/>
      <c r="DOV73" s="55"/>
      <c r="DOW73" s="55"/>
      <c r="DOX73" s="55"/>
      <c r="DOY73" s="55"/>
      <c r="DOZ73" s="55"/>
      <c r="DPA73" s="55"/>
      <c r="DPB73" s="55"/>
      <c r="DPC73" s="55"/>
      <c r="DPD73" s="55"/>
      <c r="DPE73" s="55"/>
      <c r="DPF73" s="55"/>
      <c r="DPG73" s="55"/>
      <c r="DPH73" s="55"/>
      <c r="DPI73" s="55"/>
      <c r="DPJ73" s="55"/>
      <c r="DPK73" s="55"/>
      <c r="DPL73" s="55"/>
      <c r="DPM73" s="55"/>
      <c r="DPN73" s="55"/>
      <c r="DPO73" s="55"/>
      <c r="DPP73" s="55"/>
      <c r="DPQ73" s="55"/>
      <c r="DPR73" s="55"/>
      <c r="DPS73" s="55"/>
      <c r="DPT73" s="55"/>
      <c r="DPU73" s="55"/>
      <c r="DPV73" s="55"/>
      <c r="DPW73" s="55"/>
      <c r="DPX73" s="55"/>
      <c r="DPY73" s="55"/>
      <c r="DPZ73" s="55"/>
      <c r="DQA73" s="55"/>
      <c r="DQB73" s="55"/>
      <c r="DQC73" s="55"/>
      <c r="DQD73" s="55"/>
      <c r="DQE73" s="55"/>
      <c r="DQF73" s="55"/>
      <c r="DQG73" s="55"/>
      <c r="DQH73" s="55"/>
      <c r="DQI73" s="55"/>
      <c r="DQJ73" s="55"/>
      <c r="DQK73" s="55"/>
      <c r="DQL73" s="55"/>
      <c r="DQM73" s="55"/>
      <c r="DQN73" s="55"/>
      <c r="DQO73" s="55"/>
      <c r="DQP73" s="55"/>
      <c r="DQQ73" s="55"/>
      <c r="DQR73" s="55"/>
      <c r="DQS73" s="55"/>
      <c r="DQT73" s="55"/>
      <c r="DQU73" s="55"/>
      <c r="DQV73" s="55"/>
      <c r="DQW73" s="55"/>
      <c r="DQX73" s="55"/>
      <c r="DQY73" s="55"/>
      <c r="DQZ73" s="55"/>
      <c r="DRA73" s="55"/>
      <c r="DRB73" s="55"/>
      <c r="DRC73" s="55"/>
      <c r="DRD73" s="55"/>
      <c r="DRE73" s="55"/>
      <c r="DRF73" s="55"/>
      <c r="DRG73" s="55"/>
      <c r="DRH73" s="55"/>
      <c r="DRI73" s="55"/>
      <c r="DRJ73" s="55"/>
      <c r="DRK73" s="55"/>
      <c r="DRL73" s="55"/>
      <c r="DRM73" s="55"/>
      <c r="DRN73" s="55"/>
      <c r="DRO73" s="55"/>
      <c r="DRP73" s="55"/>
      <c r="DRQ73" s="55"/>
      <c r="DRR73" s="55"/>
      <c r="DRS73" s="55"/>
      <c r="DRT73" s="55"/>
      <c r="DRU73" s="55"/>
      <c r="DRV73" s="55"/>
      <c r="DRW73" s="55"/>
      <c r="DRX73" s="55"/>
      <c r="DRY73" s="55"/>
      <c r="DRZ73" s="55"/>
      <c r="DSA73" s="55"/>
      <c r="DSB73" s="55"/>
      <c r="DSC73" s="55"/>
      <c r="DSD73" s="55"/>
      <c r="DSE73" s="55"/>
      <c r="DSF73" s="55"/>
      <c r="DSG73" s="55"/>
      <c r="DSH73" s="55"/>
      <c r="DSI73" s="55"/>
      <c r="DSJ73" s="55"/>
      <c r="DSK73" s="55"/>
      <c r="DSL73" s="55"/>
      <c r="DSM73" s="55"/>
      <c r="DSN73" s="55"/>
      <c r="DSO73" s="55"/>
      <c r="DSP73" s="55"/>
      <c r="DSQ73" s="55"/>
      <c r="DSR73" s="55"/>
      <c r="DSS73" s="55"/>
      <c r="DST73" s="55"/>
      <c r="DSU73" s="55"/>
      <c r="DSV73" s="55"/>
      <c r="DSW73" s="55"/>
      <c r="DSX73" s="55"/>
      <c r="DSY73" s="55"/>
      <c r="DSZ73" s="55"/>
      <c r="DTA73" s="55"/>
      <c r="DTB73" s="55"/>
      <c r="DTC73" s="55"/>
      <c r="DTD73" s="55"/>
      <c r="DTE73" s="55"/>
      <c r="DTF73" s="55"/>
      <c r="DTG73" s="55"/>
      <c r="DTH73" s="55"/>
      <c r="DTI73" s="55"/>
      <c r="DTJ73" s="55"/>
      <c r="DTK73" s="55"/>
      <c r="DTL73" s="55"/>
      <c r="DTM73" s="55"/>
      <c r="DTN73" s="55"/>
      <c r="DTO73" s="55"/>
      <c r="DTP73" s="55"/>
      <c r="DTQ73" s="55"/>
      <c r="DTR73" s="55"/>
      <c r="DTS73" s="55"/>
      <c r="DTT73" s="55"/>
      <c r="DTU73" s="55"/>
      <c r="DTV73" s="55"/>
      <c r="DTW73" s="55"/>
      <c r="DTX73" s="55"/>
      <c r="DTY73" s="55"/>
      <c r="DTZ73" s="55"/>
      <c r="DUA73" s="55"/>
      <c r="DUB73" s="55"/>
      <c r="DUC73" s="55"/>
      <c r="DUD73" s="55"/>
      <c r="DUE73" s="55"/>
      <c r="DUF73" s="55"/>
      <c r="DUG73" s="55"/>
      <c r="DUH73" s="55"/>
      <c r="DUI73" s="55"/>
      <c r="DUJ73" s="55"/>
      <c r="DUK73" s="55"/>
      <c r="DUL73" s="55"/>
      <c r="DUM73" s="55"/>
      <c r="DUN73" s="55"/>
      <c r="DUO73" s="55"/>
      <c r="DUP73" s="55"/>
      <c r="DUQ73" s="55"/>
      <c r="DUR73" s="55"/>
      <c r="DUS73" s="55"/>
      <c r="DUT73" s="55"/>
      <c r="DUU73" s="55"/>
      <c r="DUV73" s="55"/>
      <c r="DUW73" s="55"/>
      <c r="DUX73" s="55"/>
      <c r="DUY73" s="55"/>
      <c r="DUZ73" s="55"/>
      <c r="DVA73" s="55"/>
      <c r="DVB73" s="55"/>
      <c r="DVC73" s="55"/>
      <c r="DVD73" s="55"/>
      <c r="DVE73" s="55"/>
      <c r="DVF73" s="55"/>
      <c r="DVG73" s="55"/>
      <c r="DVH73" s="55"/>
      <c r="DVI73" s="55"/>
      <c r="DVJ73" s="55"/>
      <c r="DVK73" s="55"/>
      <c r="DVL73" s="55"/>
      <c r="DVM73" s="55"/>
      <c r="DVN73" s="55"/>
      <c r="DVO73" s="55"/>
      <c r="DVP73" s="55"/>
      <c r="DVQ73" s="55"/>
      <c r="DVR73" s="55"/>
      <c r="DVS73" s="55"/>
      <c r="DVT73" s="55"/>
      <c r="DVU73" s="55"/>
      <c r="DVV73" s="55"/>
      <c r="DVW73" s="55"/>
      <c r="DVX73" s="55"/>
      <c r="DVY73" s="55"/>
      <c r="DVZ73" s="55"/>
      <c r="DWA73" s="55"/>
      <c r="DWB73" s="55"/>
      <c r="DWC73" s="55"/>
      <c r="DWD73" s="55"/>
      <c r="DWE73" s="55"/>
      <c r="DWF73" s="55"/>
      <c r="DWG73" s="55"/>
      <c r="DWH73" s="55"/>
      <c r="DWI73" s="55"/>
      <c r="DWJ73" s="55"/>
      <c r="DWK73" s="55"/>
      <c r="DWL73" s="55"/>
      <c r="DWM73" s="55"/>
      <c r="DWN73" s="55"/>
      <c r="DWO73" s="55"/>
      <c r="DWP73" s="55"/>
      <c r="DWQ73" s="55"/>
      <c r="DWR73" s="55"/>
      <c r="DWS73" s="55"/>
      <c r="DWT73" s="55"/>
      <c r="DWU73" s="55"/>
      <c r="DWV73" s="55"/>
      <c r="DWW73" s="55"/>
      <c r="DWX73" s="55"/>
      <c r="DWY73" s="55"/>
      <c r="DWZ73" s="55"/>
      <c r="DXA73" s="55"/>
      <c r="DXB73" s="55"/>
      <c r="DXC73" s="55"/>
      <c r="DXD73" s="55"/>
      <c r="DXE73" s="55"/>
      <c r="DXF73" s="55"/>
      <c r="DXG73" s="55"/>
      <c r="DXH73" s="55"/>
      <c r="DXI73" s="55"/>
      <c r="DXJ73" s="55"/>
      <c r="DXK73" s="55"/>
      <c r="DXL73" s="55"/>
      <c r="DXM73" s="55"/>
      <c r="DXN73" s="55"/>
      <c r="DXO73" s="55"/>
      <c r="DXP73" s="55"/>
      <c r="DXQ73" s="55"/>
      <c r="DXR73" s="55"/>
      <c r="DXS73" s="55"/>
      <c r="DXT73" s="55"/>
      <c r="DXU73" s="55"/>
      <c r="DXV73" s="55"/>
      <c r="DXW73" s="55"/>
      <c r="DXX73" s="55"/>
      <c r="DXY73" s="55"/>
      <c r="DXZ73" s="55"/>
      <c r="DYA73" s="55"/>
      <c r="DYB73" s="55"/>
      <c r="DYC73" s="55"/>
      <c r="DYD73" s="55"/>
      <c r="DYE73" s="55"/>
      <c r="DYF73" s="55"/>
      <c r="DYG73" s="55"/>
      <c r="DYH73" s="55"/>
      <c r="DYI73" s="55"/>
      <c r="DYJ73" s="55"/>
      <c r="DYK73" s="55"/>
      <c r="DYL73" s="55"/>
      <c r="DYM73" s="55"/>
      <c r="DYN73" s="55"/>
      <c r="DYO73" s="55"/>
      <c r="DYP73" s="55"/>
      <c r="DYQ73" s="55"/>
      <c r="DYR73" s="55"/>
      <c r="DYS73" s="55"/>
      <c r="DYT73" s="55"/>
      <c r="DYU73" s="55"/>
      <c r="DYV73" s="55"/>
      <c r="DYW73" s="55"/>
      <c r="DYX73" s="55"/>
      <c r="DYY73" s="55"/>
      <c r="DYZ73" s="55"/>
      <c r="DZA73" s="55"/>
      <c r="DZB73" s="55"/>
      <c r="DZC73" s="55"/>
      <c r="DZD73" s="55"/>
      <c r="DZE73" s="55"/>
      <c r="DZF73" s="55"/>
      <c r="DZG73" s="55"/>
      <c r="DZH73" s="55"/>
      <c r="DZI73" s="55"/>
      <c r="DZJ73" s="55"/>
      <c r="DZK73" s="55"/>
      <c r="DZL73" s="55"/>
      <c r="DZM73" s="55"/>
      <c r="DZN73" s="55"/>
      <c r="DZO73" s="55"/>
      <c r="DZP73" s="55"/>
      <c r="DZQ73" s="55"/>
      <c r="DZR73" s="55"/>
      <c r="DZS73" s="55"/>
      <c r="DZT73" s="55"/>
      <c r="DZU73" s="55"/>
      <c r="DZV73" s="55"/>
      <c r="DZW73" s="55"/>
      <c r="DZX73" s="55"/>
      <c r="DZY73" s="55"/>
      <c r="DZZ73" s="55"/>
      <c r="EAA73" s="55"/>
      <c r="EAB73" s="55"/>
      <c r="EAC73" s="55"/>
      <c r="EAD73" s="55"/>
      <c r="EAE73" s="55"/>
      <c r="EAF73" s="55"/>
      <c r="EAG73" s="55"/>
      <c r="EAH73" s="55"/>
      <c r="EAI73" s="55"/>
      <c r="EAJ73" s="55"/>
      <c r="EAK73" s="55"/>
      <c r="EAL73" s="55"/>
      <c r="EAM73" s="55"/>
      <c r="EAN73" s="55"/>
      <c r="EAO73" s="55"/>
      <c r="EAP73" s="55"/>
      <c r="EAQ73" s="55"/>
      <c r="EAR73" s="55"/>
      <c r="EAS73" s="55"/>
      <c r="EAT73" s="55"/>
      <c r="EAU73" s="55"/>
      <c r="EAV73" s="55"/>
      <c r="EAW73" s="55"/>
      <c r="EAX73" s="55"/>
      <c r="EAY73" s="55"/>
      <c r="EAZ73" s="55"/>
      <c r="EBA73" s="55"/>
      <c r="EBB73" s="55"/>
      <c r="EBC73" s="55"/>
      <c r="EBD73" s="55"/>
      <c r="EBE73" s="55"/>
      <c r="EBF73" s="55"/>
      <c r="EBG73" s="55"/>
      <c r="EBH73" s="55"/>
      <c r="EBI73" s="55"/>
      <c r="EBJ73" s="55"/>
      <c r="EBK73" s="55"/>
      <c r="EBL73" s="55"/>
      <c r="EBM73" s="55"/>
      <c r="EBN73" s="55"/>
      <c r="EBO73" s="55"/>
      <c r="EBP73" s="55"/>
      <c r="EBQ73" s="55"/>
      <c r="EBR73" s="55"/>
      <c r="EBS73" s="55"/>
      <c r="EBT73" s="55"/>
      <c r="EBU73" s="55"/>
      <c r="EBV73" s="55"/>
      <c r="EBW73" s="55"/>
      <c r="EBX73" s="55"/>
      <c r="EBY73" s="55"/>
      <c r="EBZ73" s="55"/>
      <c r="ECA73" s="55"/>
      <c r="ECB73" s="55"/>
      <c r="ECC73" s="55"/>
      <c r="ECD73" s="55"/>
      <c r="ECE73" s="55"/>
      <c r="ECF73" s="55"/>
      <c r="ECG73" s="55"/>
      <c r="ECH73" s="55"/>
      <c r="ECI73" s="55"/>
      <c r="ECJ73" s="55"/>
      <c r="ECK73" s="55"/>
      <c r="ECL73" s="55"/>
      <c r="ECM73" s="55"/>
      <c r="ECN73" s="55"/>
      <c r="ECO73" s="55"/>
      <c r="ECP73" s="55"/>
      <c r="ECQ73" s="55"/>
      <c r="ECR73" s="55"/>
      <c r="ECS73" s="55"/>
      <c r="ECT73" s="55"/>
      <c r="ECU73" s="55"/>
      <c r="ECV73" s="55"/>
      <c r="ECW73" s="55"/>
      <c r="ECX73" s="55"/>
      <c r="ECY73" s="55"/>
      <c r="ECZ73" s="55"/>
      <c r="EDA73" s="55"/>
      <c r="EDB73" s="55"/>
      <c r="EDC73" s="55"/>
      <c r="EDD73" s="55"/>
      <c r="EDE73" s="55"/>
      <c r="EDF73" s="55"/>
      <c r="EDG73" s="55"/>
      <c r="EDH73" s="55"/>
      <c r="EDI73" s="55"/>
      <c r="EDJ73" s="55"/>
      <c r="EDK73" s="55"/>
      <c r="EDL73" s="55"/>
      <c r="EDM73" s="55"/>
      <c r="EDN73" s="55"/>
      <c r="EDO73" s="55"/>
      <c r="EDP73" s="55"/>
      <c r="EDQ73" s="55"/>
      <c r="EDR73" s="55"/>
      <c r="EDS73" s="55"/>
      <c r="EDT73" s="55"/>
      <c r="EDU73" s="55"/>
      <c r="EDV73" s="55"/>
      <c r="EDW73" s="55"/>
      <c r="EDX73" s="55"/>
      <c r="EDY73" s="55"/>
      <c r="EDZ73" s="55"/>
      <c r="EEA73" s="55"/>
      <c r="EEB73" s="55"/>
      <c r="EEC73" s="55"/>
      <c r="EED73" s="55"/>
      <c r="EEE73" s="55"/>
      <c r="EEF73" s="55"/>
      <c r="EEG73" s="55"/>
      <c r="EEH73" s="55"/>
      <c r="EEI73" s="55"/>
      <c r="EEJ73" s="55"/>
      <c r="EEK73" s="55"/>
      <c r="EEL73" s="55"/>
      <c r="EEM73" s="55"/>
      <c r="EEN73" s="55"/>
      <c r="EEO73" s="55"/>
      <c r="EEP73" s="55"/>
      <c r="EEQ73" s="55"/>
      <c r="EER73" s="55"/>
      <c r="EES73" s="55"/>
      <c r="EET73" s="55"/>
      <c r="EEU73" s="55"/>
      <c r="EEV73" s="55"/>
      <c r="EEW73" s="55"/>
      <c r="EEX73" s="55"/>
      <c r="EEY73" s="55"/>
      <c r="EEZ73" s="55"/>
      <c r="EFA73" s="55"/>
      <c r="EFB73" s="55"/>
      <c r="EFC73" s="55"/>
      <c r="EFD73" s="55"/>
      <c r="EFE73" s="55"/>
      <c r="EFF73" s="55"/>
      <c r="EFG73" s="55"/>
      <c r="EFH73" s="55"/>
      <c r="EFI73" s="55"/>
      <c r="EFJ73" s="55"/>
      <c r="EFK73" s="55"/>
      <c r="EFL73" s="55"/>
      <c r="EFM73" s="55"/>
      <c r="EFN73" s="55"/>
      <c r="EFO73" s="55"/>
      <c r="EFP73" s="55"/>
      <c r="EFQ73" s="55"/>
      <c r="EFR73" s="55"/>
      <c r="EFS73" s="55"/>
      <c r="EFT73" s="55"/>
      <c r="EFU73" s="55"/>
      <c r="EFV73" s="55"/>
      <c r="EFW73" s="55"/>
      <c r="EFX73" s="55"/>
      <c r="EFY73" s="55"/>
      <c r="EFZ73" s="55"/>
      <c r="EGA73" s="55"/>
      <c r="EGB73" s="55"/>
      <c r="EGC73" s="55"/>
      <c r="EGD73" s="55"/>
      <c r="EGE73" s="55"/>
      <c r="EGF73" s="55"/>
      <c r="EGG73" s="55"/>
      <c r="EGH73" s="55"/>
      <c r="EGI73" s="55"/>
      <c r="EGJ73" s="55"/>
      <c r="EGK73" s="55"/>
      <c r="EGL73" s="55"/>
      <c r="EGM73" s="55"/>
      <c r="EGN73" s="55"/>
      <c r="EGO73" s="55"/>
      <c r="EGP73" s="55"/>
      <c r="EGQ73" s="55"/>
      <c r="EGR73" s="55"/>
      <c r="EGS73" s="55"/>
      <c r="EGT73" s="55"/>
      <c r="EGU73" s="55"/>
      <c r="EGV73" s="55"/>
      <c r="EGW73" s="55"/>
      <c r="EGX73" s="55"/>
      <c r="EGY73" s="55"/>
      <c r="EGZ73" s="55"/>
      <c r="EHA73" s="55"/>
      <c r="EHB73" s="55"/>
      <c r="EHC73" s="55"/>
      <c r="EHD73" s="55"/>
      <c r="EHE73" s="55"/>
      <c r="EHF73" s="55"/>
      <c r="EHG73" s="55"/>
      <c r="EHH73" s="55"/>
      <c r="EHI73" s="55"/>
      <c r="EHJ73" s="55"/>
      <c r="EHK73" s="55"/>
      <c r="EHL73" s="55"/>
      <c r="EHM73" s="55"/>
      <c r="EHN73" s="55"/>
      <c r="EHO73" s="55"/>
      <c r="EHP73" s="55"/>
      <c r="EHQ73" s="55"/>
      <c r="EHR73" s="55"/>
      <c r="EHS73" s="55"/>
      <c r="EHT73" s="55"/>
      <c r="EHU73" s="55"/>
      <c r="EHV73" s="55"/>
      <c r="EHW73" s="55"/>
      <c r="EHX73" s="55"/>
      <c r="EHY73" s="55"/>
      <c r="EHZ73" s="55"/>
      <c r="EIA73" s="55"/>
      <c r="EIB73" s="55"/>
      <c r="EIC73" s="55"/>
      <c r="EID73" s="55"/>
      <c r="EIE73" s="55"/>
      <c r="EIF73" s="55"/>
      <c r="EIG73" s="55"/>
      <c r="EIH73" s="55"/>
      <c r="EII73" s="55"/>
      <c r="EIJ73" s="55"/>
      <c r="EIK73" s="55"/>
      <c r="EIL73" s="55"/>
      <c r="EIM73" s="55"/>
      <c r="EIN73" s="55"/>
      <c r="EIO73" s="55"/>
      <c r="EIP73" s="55"/>
      <c r="EIQ73" s="55"/>
      <c r="EIR73" s="55"/>
      <c r="EIS73" s="55"/>
      <c r="EIT73" s="55"/>
      <c r="EIU73" s="55"/>
      <c r="EIV73" s="55"/>
      <c r="EIW73" s="55"/>
      <c r="EIX73" s="55"/>
      <c r="EIY73" s="55"/>
      <c r="EIZ73" s="55"/>
      <c r="EJA73" s="55"/>
      <c r="EJB73" s="55"/>
      <c r="EJC73" s="55"/>
      <c r="EJD73" s="55"/>
      <c r="EJE73" s="55"/>
      <c r="EJF73" s="55"/>
      <c r="EJG73" s="55"/>
      <c r="EJH73" s="55"/>
      <c r="EJI73" s="55"/>
      <c r="EJJ73" s="55"/>
      <c r="EJK73" s="55"/>
      <c r="EJL73" s="55"/>
      <c r="EJM73" s="55"/>
      <c r="EJN73" s="55"/>
      <c r="EJO73" s="55"/>
      <c r="EJP73" s="55"/>
      <c r="EJQ73" s="55"/>
      <c r="EJR73" s="55"/>
      <c r="EJS73" s="55"/>
      <c r="EJT73" s="55"/>
      <c r="EJU73" s="55"/>
      <c r="EJV73" s="55"/>
      <c r="EJW73" s="55"/>
      <c r="EJX73" s="55"/>
      <c r="EJY73" s="55"/>
      <c r="EJZ73" s="55"/>
      <c r="EKA73" s="55"/>
      <c r="EKB73" s="55"/>
      <c r="EKC73" s="55"/>
      <c r="EKD73" s="55"/>
      <c r="EKE73" s="55"/>
      <c r="EKF73" s="55"/>
      <c r="EKG73" s="55"/>
      <c r="EKH73" s="55"/>
      <c r="EKI73" s="55"/>
      <c r="EKJ73" s="55"/>
      <c r="EKK73" s="55"/>
      <c r="EKL73" s="55"/>
      <c r="EKM73" s="55"/>
      <c r="EKN73" s="55"/>
      <c r="EKO73" s="55"/>
      <c r="EKP73" s="55"/>
      <c r="EKQ73" s="55"/>
      <c r="EKR73" s="55"/>
      <c r="EKS73" s="55"/>
      <c r="EKT73" s="55"/>
      <c r="EKU73" s="55"/>
      <c r="EKV73" s="55"/>
      <c r="EKW73" s="55"/>
      <c r="EKX73" s="55"/>
      <c r="EKY73" s="55"/>
      <c r="EKZ73" s="55"/>
      <c r="ELA73" s="55"/>
      <c r="ELB73" s="55"/>
      <c r="ELC73" s="55"/>
      <c r="ELD73" s="55"/>
      <c r="ELE73" s="55"/>
      <c r="ELF73" s="55"/>
      <c r="ELG73" s="55"/>
      <c r="ELH73" s="55"/>
      <c r="ELI73" s="55"/>
      <c r="ELJ73" s="55"/>
      <c r="ELK73" s="55"/>
      <c r="ELL73" s="55"/>
      <c r="ELM73" s="55"/>
      <c r="ELN73" s="55"/>
      <c r="ELO73" s="55"/>
      <c r="ELP73" s="55"/>
      <c r="ELQ73" s="55"/>
      <c r="ELR73" s="55"/>
      <c r="ELS73" s="55"/>
      <c r="ELT73" s="55"/>
      <c r="ELU73" s="55"/>
      <c r="ELV73" s="55"/>
      <c r="ELW73" s="55"/>
      <c r="ELX73" s="55"/>
      <c r="ELY73" s="55"/>
      <c r="ELZ73" s="55"/>
      <c r="EMA73" s="55"/>
      <c r="EMB73" s="55"/>
      <c r="EMC73" s="55"/>
      <c r="EMD73" s="55"/>
      <c r="EME73" s="55"/>
      <c r="EMF73" s="55"/>
      <c r="EMG73" s="55"/>
      <c r="EMH73" s="55"/>
      <c r="EMI73" s="55"/>
      <c r="EMJ73" s="55"/>
      <c r="EMK73" s="55"/>
      <c r="EML73" s="55"/>
      <c r="EMM73" s="55"/>
      <c r="EMN73" s="55"/>
      <c r="EMO73" s="55"/>
      <c r="EMP73" s="55"/>
      <c r="EMQ73" s="55"/>
      <c r="EMR73" s="55"/>
      <c r="EMS73" s="55"/>
      <c r="EMT73" s="55"/>
      <c r="EMU73" s="55"/>
      <c r="EMV73" s="55"/>
      <c r="EMW73" s="55"/>
      <c r="EMX73" s="55"/>
      <c r="EMY73" s="55"/>
      <c r="EMZ73" s="55"/>
      <c r="ENA73" s="55"/>
      <c r="ENB73" s="55"/>
      <c r="ENC73" s="55"/>
      <c r="END73" s="55"/>
      <c r="ENE73" s="55"/>
      <c r="ENF73" s="55"/>
      <c r="ENG73" s="55"/>
      <c r="ENH73" s="55"/>
      <c r="ENI73" s="55"/>
      <c r="ENJ73" s="55"/>
      <c r="ENK73" s="55"/>
      <c r="ENL73" s="55"/>
      <c r="ENM73" s="55"/>
      <c r="ENN73" s="55"/>
      <c r="ENO73" s="55"/>
      <c r="ENP73" s="55"/>
      <c r="ENQ73" s="55"/>
      <c r="ENR73" s="55"/>
      <c r="ENS73" s="55"/>
      <c r="ENT73" s="55"/>
      <c r="ENU73" s="55"/>
      <c r="ENV73" s="55"/>
      <c r="ENW73" s="55"/>
      <c r="ENX73" s="55"/>
      <c r="ENY73" s="55"/>
      <c r="ENZ73" s="55"/>
      <c r="EOA73" s="55"/>
      <c r="EOB73" s="55"/>
      <c r="EOC73" s="55"/>
      <c r="EOD73" s="55"/>
      <c r="EOE73" s="55"/>
      <c r="EOF73" s="55"/>
      <c r="EOG73" s="55"/>
      <c r="EOH73" s="55"/>
      <c r="EOI73" s="55"/>
      <c r="EOJ73" s="55"/>
      <c r="EOK73" s="55"/>
      <c r="EOL73" s="55"/>
      <c r="EOM73" s="55"/>
      <c r="EON73" s="55"/>
      <c r="EOO73" s="55"/>
      <c r="EOP73" s="55"/>
      <c r="EOQ73" s="55"/>
      <c r="EOR73" s="55"/>
      <c r="EOS73" s="55"/>
      <c r="EOT73" s="55"/>
      <c r="EOU73" s="55"/>
      <c r="EOV73" s="55"/>
      <c r="EOW73" s="55"/>
      <c r="EOX73" s="55"/>
      <c r="EOY73" s="55"/>
      <c r="EOZ73" s="55"/>
      <c r="EPA73" s="55"/>
      <c r="EPB73" s="55"/>
      <c r="EPC73" s="55"/>
      <c r="EPD73" s="55"/>
      <c r="EPE73" s="55"/>
      <c r="EPF73" s="55"/>
      <c r="EPG73" s="55"/>
      <c r="EPH73" s="55"/>
      <c r="EPI73" s="55"/>
      <c r="EPJ73" s="55"/>
      <c r="EPK73" s="55"/>
      <c r="EPL73" s="55"/>
      <c r="EPM73" s="55"/>
      <c r="EPN73" s="55"/>
      <c r="EPO73" s="55"/>
      <c r="EPP73" s="55"/>
      <c r="EPQ73" s="55"/>
      <c r="EPR73" s="55"/>
      <c r="EPS73" s="55"/>
      <c r="EPT73" s="55"/>
      <c r="EPU73" s="55"/>
      <c r="EPV73" s="55"/>
      <c r="EPW73" s="55"/>
      <c r="EPX73" s="55"/>
      <c r="EPY73" s="55"/>
      <c r="EPZ73" s="55"/>
      <c r="EQA73" s="55"/>
      <c r="EQB73" s="55"/>
      <c r="EQC73" s="55"/>
      <c r="EQD73" s="55"/>
      <c r="EQE73" s="55"/>
      <c r="EQF73" s="55"/>
      <c r="EQG73" s="55"/>
      <c r="EQH73" s="55"/>
      <c r="EQI73" s="55"/>
      <c r="EQJ73" s="55"/>
      <c r="EQK73" s="55"/>
      <c r="EQL73" s="55"/>
      <c r="EQM73" s="55"/>
      <c r="EQN73" s="55"/>
      <c r="EQO73" s="55"/>
      <c r="EQP73" s="55"/>
      <c r="EQQ73" s="55"/>
      <c r="EQR73" s="55"/>
      <c r="EQS73" s="55"/>
      <c r="EQT73" s="55"/>
      <c r="EQU73" s="55"/>
      <c r="EQV73" s="55"/>
      <c r="EQW73" s="55"/>
      <c r="EQX73" s="55"/>
      <c r="EQY73" s="55"/>
      <c r="EQZ73" s="55"/>
      <c r="ERA73" s="55"/>
      <c r="ERB73" s="55"/>
      <c r="ERC73" s="55"/>
      <c r="ERD73" s="55"/>
      <c r="ERE73" s="55"/>
      <c r="ERF73" s="55"/>
      <c r="ERG73" s="55"/>
      <c r="ERH73" s="55"/>
      <c r="ERI73" s="55"/>
      <c r="ERJ73" s="55"/>
      <c r="ERK73" s="55"/>
      <c r="ERL73" s="55"/>
      <c r="ERM73" s="55"/>
      <c r="ERN73" s="55"/>
      <c r="ERO73" s="55"/>
      <c r="ERP73" s="55"/>
      <c r="ERQ73" s="55"/>
      <c r="ERR73" s="55"/>
      <c r="ERS73" s="55"/>
      <c r="ERT73" s="55"/>
      <c r="ERU73" s="55"/>
      <c r="ERV73" s="55"/>
      <c r="ERW73" s="55"/>
      <c r="ERX73" s="55"/>
      <c r="ERY73" s="55"/>
      <c r="ERZ73" s="55"/>
      <c r="ESA73" s="55"/>
      <c r="ESB73" s="55"/>
      <c r="ESC73" s="55"/>
      <c r="ESD73" s="55"/>
      <c r="ESE73" s="55"/>
      <c r="ESF73" s="55"/>
      <c r="ESG73" s="55"/>
      <c r="ESH73" s="55"/>
      <c r="ESI73" s="55"/>
      <c r="ESJ73" s="55"/>
      <c r="ESK73" s="55"/>
      <c r="ESL73" s="55"/>
      <c r="ESM73" s="55"/>
      <c r="ESN73" s="55"/>
      <c r="ESO73" s="55"/>
      <c r="ESP73" s="55"/>
      <c r="ESQ73" s="55"/>
      <c r="ESR73" s="55"/>
      <c r="ESS73" s="55"/>
      <c r="EST73" s="55"/>
      <c r="ESU73" s="55"/>
      <c r="ESV73" s="55"/>
      <c r="ESW73" s="55"/>
      <c r="ESX73" s="55"/>
      <c r="ESY73" s="55"/>
      <c r="ESZ73" s="55"/>
      <c r="ETA73" s="55"/>
      <c r="ETB73" s="55"/>
      <c r="ETC73" s="55"/>
      <c r="ETD73" s="55"/>
      <c r="ETE73" s="55"/>
      <c r="ETF73" s="55"/>
      <c r="ETG73" s="55"/>
      <c r="ETH73" s="55"/>
      <c r="ETI73" s="55"/>
      <c r="ETJ73" s="55"/>
      <c r="ETK73" s="55"/>
      <c r="ETL73" s="55"/>
      <c r="ETM73" s="55"/>
      <c r="ETN73" s="55"/>
      <c r="ETO73" s="55"/>
      <c r="ETP73" s="55"/>
      <c r="ETQ73" s="55"/>
      <c r="ETR73" s="55"/>
      <c r="ETS73" s="55"/>
      <c r="ETT73" s="55"/>
      <c r="ETU73" s="55"/>
      <c r="ETV73" s="55"/>
      <c r="ETW73" s="55"/>
      <c r="ETX73" s="55"/>
      <c r="ETY73" s="55"/>
      <c r="ETZ73" s="55"/>
      <c r="EUA73" s="55"/>
      <c r="EUB73" s="55"/>
      <c r="EUC73" s="55"/>
      <c r="EUD73" s="55"/>
      <c r="EUE73" s="55"/>
      <c r="EUF73" s="55"/>
      <c r="EUG73" s="55"/>
      <c r="EUH73" s="55"/>
      <c r="EUI73" s="55"/>
      <c r="EUJ73" s="55"/>
      <c r="EUK73" s="55"/>
      <c r="EUL73" s="55"/>
      <c r="EUM73" s="55"/>
      <c r="EUN73" s="55"/>
      <c r="EUO73" s="55"/>
      <c r="EUP73" s="55"/>
      <c r="EUQ73" s="55"/>
      <c r="EUR73" s="55"/>
      <c r="EUS73" s="55"/>
      <c r="EUT73" s="55"/>
      <c r="EUU73" s="55"/>
      <c r="EUV73" s="55"/>
      <c r="EUW73" s="55"/>
      <c r="EUX73" s="55"/>
      <c r="EUY73" s="55"/>
      <c r="EUZ73" s="55"/>
      <c r="EVA73" s="55"/>
      <c r="EVB73" s="55"/>
      <c r="EVC73" s="55"/>
      <c r="EVD73" s="55"/>
      <c r="EVE73" s="55"/>
      <c r="EVF73" s="55"/>
      <c r="EVG73" s="55"/>
      <c r="EVH73" s="55"/>
      <c r="EVI73" s="55"/>
      <c r="EVJ73" s="55"/>
      <c r="EVK73" s="55"/>
      <c r="EVL73" s="55"/>
      <c r="EVM73" s="55"/>
      <c r="EVN73" s="55"/>
      <c r="EVO73" s="55"/>
      <c r="EVP73" s="55"/>
      <c r="EVQ73" s="55"/>
      <c r="EVR73" s="55"/>
      <c r="EVS73" s="55"/>
      <c r="EVT73" s="55"/>
      <c r="EVU73" s="55"/>
      <c r="EVV73" s="55"/>
      <c r="EVW73" s="55"/>
      <c r="EVX73" s="55"/>
      <c r="EVY73" s="55"/>
      <c r="EVZ73" s="55"/>
      <c r="EWA73" s="55"/>
      <c r="EWB73" s="55"/>
      <c r="EWC73" s="55"/>
      <c r="EWD73" s="55"/>
      <c r="EWE73" s="55"/>
      <c r="EWF73" s="55"/>
      <c r="EWG73" s="55"/>
      <c r="EWH73" s="55"/>
      <c r="EWI73" s="55"/>
      <c r="EWJ73" s="55"/>
      <c r="EWK73" s="55"/>
      <c r="EWL73" s="55"/>
      <c r="EWM73" s="55"/>
      <c r="EWN73" s="55"/>
      <c r="EWO73" s="55"/>
      <c r="EWP73" s="55"/>
      <c r="EWQ73" s="55"/>
      <c r="EWR73" s="55"/>
      <c r="EWS73" s="55"/>
      <c r="EWT73" s="55"/>
      <c r="EWU73" s="55"/>
      <c r="EWV73" s="55"/>
      <c r="EWW73" s="55"/>
      <c r="EWX73" s="55"/>
      <c r="EWY73" s="55"/>
      <c r="EWZ73" s="55"/>
      <c r="EXA73" s="55"/>
      <c r="EXB73" s="55"/>
      <c r="EXC73" s="55"/>
      <c r="EXD73" s="55"/>
      <c r="EXE73" s="55"/>
      <c r="EXF73" s="55"/>
      <c r="EXG73" s="55"/>
      <c r="EXH73" s="55"/>
      <c r="EXI73" s="55"/>
      <c r="EXJ73" s="55"/>
      <c r="EXK73" s="55"/>
      <c r="EXL73" s="55"/>
      <c r="EXM73" s="55"/>
      <c r="EXN73" s="55"/>
      <c r="EXO73" s="55"/>
      <c r="EXP73" s="55"/>
      <c r="EXQ73" s="55"/>
      <c r="EXR73" s="55"/>
      <c r="EXS73" s="55"/>
      <c r="EXT73" s="55"/>
      <c r="EXU73" s="55"/>
      <c r="EXV73" s="55"/>
      <c r="EXW73" s="55"/>
      <c r="EXX73" s="55"/>
      <c r="EXY73" s="55"/>
      <c r="EXZ73" s="55"/>
      <c r="EYA73" s="55"/>
      <c r="EYB73" s="55"/>
      <c r="EYC73" s="55"/>
      <c r="EYD73" s="55"/>
      <c r="EYE73" s="55"/>
      <c r="EYF73" s="55"/>
      <c r="EYG73" s="55"/>
      <c r="EYH73" s="55"/>
      <c r="EYI73" s="55"/>
      <c r="EYJ73" s="55"/>
      <c r="EYK73" s="55"/>
      <c r="EYL73" s="55"/>
      <c r="EYM73" s="55"/>
      <c r="EYN73" s="55"/>
      <c r="EYO73" s="55"/>
      <c r="EYP73" s="55"/>
      <c r="EYQ73" s="55"/>
      <c r="EYR73" s="55"/>
      <c r="EYS73" s="55"/>
      <c r="EYT73" s="55"/>
      <c r="EYU73" s="55"/>
      <c r="EYV73" s="55"/>
      <c r="EYW73" s="55"/>
      <c r="EYX73" s="55"/>
      <c r="EYY73" s="55"/>
      <c r="EYZ73" s="55"/>
      <c r="EZA73" s="55"/>
      <c r="EZB73" s="55"/>
      <c r="EZC73" s="55"/>
      <c r="EZD73" s="55"/>
      <c r="EZE73" s="55"/>
      <c r="EZF73" s="55"/>
      <c r="EZG73" s="55"/>
      <c r="EZH73" s="55"/>
      <c r="EZI73" s="55"/>
      <c r="EZJ73" s="55"/>
      <c r="EZK73" s="55"/>
      <c r="EZL73" s="55"/>
      <c r="EZM73" s="55"/>
      <c r="EZN73" s="55"/>
      <c r="EZO73" s="55"/>
      <c r="EZP73" s="55"/>
      <c r="EZQ73" s="55"/>
      <c r="EZR73" s="55"/>
      <c r="EZS73" s="55"/>
      <c r="EZT73" s="55"/>
      <c r="EZU73" s="55"/>
      <c r="EZV73" s="55"/>
      <c r="EZW73" s="55"/>
      <c r="EZX73" s="55"/>
      <c r="EZY73" s="55"/>
      <c r="EZZ73" s="55"/>
      <c r="FAA73" s="55"/>
      <c r="FAB73" s="55"/>
      <c r="FAC73" s="55"/>
      <c r="FAD73" s="55"/>
      <c r="FAE73" s="55"/>
      <c r="FAF73" s="55"/>
      <c r="FAG73" s="55"/>
      <c r="FAH73" s="55"/>
      <c r="FAI73" s="55"/>
      <c r="FAJ73" s="55"/>
      <c r="FAK73" s="55"/>
      <c r="FAL73" s="55"/>
      <c r="FAM73" s="55"/>
      <c r="FAN73" s="55"/>
      <c r="FAO73" s="55"/>
      <c r="FAP73" s="55"/>
      <c r="FAQ73" s="55"/>
      <c r="FAR73" s="55"/>
      <c r="FAS73" s="55"/>
      <c r="FAT73" s="55"/>
      <c r="FAU73" s="55"/>
      <c r="FAV73" s="55"/>
      <c r="FAW73" s="55"/>
      <c r="FAX73" s="55"/>
      <c r="FAY73" s="55"/>
      <c r="FAZ73" s="55"/>
      <c r="FBA73" s="55"/>
      <c r="FBB73" s="55"/>
      <c r="FBC73" s="55"/>
      <c r="FBD73" s="55"/>
      <c r="FBE73" s="55"/>
      <c r="FBF73" s="55"/>
      <c r="FBG73" s="55"/>
      <c r="FBH73" s="55"/>
      <c r="FBI73" s="55"/>
      <c r="FBJ73" s="55"/>
      <c r="FBK73" s="55"/>
      <c r="FBL73" s="55"/>
      <c r="FBM73" s="55"/>
      <c r="FBN73" s="55"/>
      <c r="FBO73" s="55"/>
      <c r="FBP73" s="55"/>
      <c r="FBQ73" s="55"/>
      <c r="FBR73" s="55"/>
      <c r="FBS73" s="55"/>
      <c r="FBT73" s="55"/>
      <c r="FBU73" s="55"/>
      <c r="FBV73" s="55"/>
      <c r="FBW73" s="55"/>
      <c r="FBX73" s="55"/>
      <c r="FBY73" s="55"/>
      <c r="FBZ73" s="55"/>
      <c r="FCA73" s="55"/>
      <c r="FCB73" s="55"/>
      <c r="FCC73" s="55"/>
      <c r="FCD73" s="55"/>
      <c r="FCE73" s="55"/>
      <c r="FCF73" s="55"/>
      <c r="FCG73" s="55"/>
      <c r="FCH73" s="55"/>
      <c r="FCI73" s="55"/>
      <c r="FCJ73" s="55"/>
      <c r="FCK73" s="55"/>
      <c r="FCL73" s="55"/>
      <c r="FCM73" s="55"/>
      <c r="FCN73" s="55"/>
      <c r="FCO73" s="55"/>
      <c r="FCP73" s="55"/>
      <c r="FCQ73" s="55"/>
      <c r="FCR73" s="55"/>
      <c r="FCS73" s="55"/>
      <c r="FCT73" s="55"/>
      <c r="FCU73" s="55"/>
      <c r="FCV73" s="55"/>
      <c r="FCW73" s="55"/>
      <c r="FCX73" s="55"/>
      <c r="FCY73" s="55"/>
      <c r="FCZ73" s="55"/>
      <c r="FDA73" s="55"/>
      <c r="FDB73" s="55"/>
      <c r="FDC73" s="55"/>
      <c r="FDD73" s="55"/>
      <c r="FDE73" s="55"/>
      <c r="FDF73" s="55"/>
      <c r="FDG73" s="55"/>
      <c r="FDH73" s="55"/>
      <c r="FDI73" s="55"/>
      <c r="FDJ73" s="55"/>
      <c r="FDK73" s="55"/>
      <c r="FDL73" s="55"/>
      <c r="FDM73" s="55"/>
      <c r="FDN73" s="55"/>
      <c r="FDO73" s="55"/>
      <c r="FDP73" s="55"/>
      <c r="FDQ73" s="55"/>
      <c r="FDR73" s="55"/>
      <c r="FDS73" s="55"/>
      <c r="FDT73" s="55"/>
      <c r="FDU73" s="55"/>
      <c r="FDV73" s="55"/>
      <c r="FDW73" s="55"/>
      <c r="FDX73" s="55"/>
      <c r="FDY73" s="55"/>
      <c r="FDZ73" s="55"/>
      <c r="FEA73" s="55"/>
      <c r="FEB73" s="55"/>
      <c r="FEC73" s="55"/>
      <c r="FED73" s="55"/>
      <c r="FEE73" s="55"/>
      <c r="FEF73" s="55"/>
      <c r="FEG73" s="55"/>
      <c r="FEH73" s="55"/>
      <c r="FEI73" s="55"/>
      <c r="FEJ73" s="55"/>
      <c r="FEK73" s="55"/>
      <c r="FEL73" s="55"/>
      <c r="FEM73" s="55"/>
      <c r="FEN73" s="55"/>
      <c r="FEO73" s="55"/>
      <c r="FEP73" s="55"/>
      <c r="FEQ73" s="55"/>
      <c r="FER73" s="55"/>
      <c r="FES73" s="55"/>
      <c r="FET73" s="55"/>
      <c r="FEU73" s="55"/>
      <c r="FEV73" s="55"/>
      <c r="FEW73" s="55"/>
      <c r="FEX73" s="55"/>
      <c r="FEY73" s="55"/>
      <c r="FEZ73" s="55"/>
      <c r="FFA73" s="55"/>
      <c r="FFB73" s="55"/>
      <c r="FFC73" s="55"/>
      <c r="FFD73" s="55"/>
      <c r="FFE73" s="55"/>
      <c r="FFF73" s="55"/>
      <c r="FFG73" s="55"/>
      <c r="FFH73" s="55"/>
      <c r="FFI73" s="55"/>
      <c r="FFJ73" s="55"/>
      <c r="FFK73" s="55"/>
      <c r="FFL73" s="55"/>
      <c r="FFM73" s="55"/>
      <c r="FFN73" s="55"/>
      <c r="FFO73" s="55"/>
      <c r="FFP73" s="55"/>
      <c r="FFQ73" s="55"/>
      <c r="FFR73" s="55"/>
      <c r="FFS73" s="55"/>
      <c r="FFT73" s="55"/>
      <c r="FFU73" s="55"/>
      <c r="FFV73" s="55"/>
      <c r="FFW73" s="55"/>
      <c r="FFX73" s="55"/>
      <c r="FFY73" s="55"/>
      <c r="FFZ73" s="55"/>
      <c r="FGA73" s="55"/>
      <c r="FGB73" s="55"/>
      <c r="FGC73" s="55"/>
      <c r="FGD73" s="55"/>
      <c r="FGE73" s="55"/>
      <c r="FGF73" s="55"/>
      <c r="FGG73" s="55"/>
      <c r="FGH73" s="55"/>
      <c r="FGI73" s="55"/>
      <c r="FGJ73" s="55"/>
      <c r="FGK73" s="55"/>
      <c r="FGL73" s="55"/>
      <c r="FGM73" s="55"/>
      <c r="FGN73" s="55"/>
      <c r="FGO73" s="55"/>
      <c r="FGP73" s="55"/>
      <c r="FGQ73" s="55"/>
      <c r="FGR73" s="55"/>
      <c r="FGS73" s="55"/>
      <c r="FGT73" s="55"/>
      <c r="FGU73" s="55"/>
      <c r="FGV73" s="55"/>
      <c r="FGW73" s="55"/>
      <c r="FGX73" s="55"/>
      <c r="FGY73" s="55"/>
      <c r="FGZ73" s="55"/>
      <c r="FHA73" s="55"/>
      <c r="FHB73" s="55"/>
      <c r="FHC73" s="55"/>
      <c r="FHD73" s="55"/>
      <c r="FHE73" s="55"/>
      <c r="FHF73" s="55"/>
      <c r="FHG73" s="55"/>
      <c r="FHH73" s="55"/>
      <c r="FHI73" s="55"/>
      <c r="FHJ73" s="55"/>
      <c r="FHK73" s="55"/>
      <c r="FHL73" s="55"/>
      <c r="FHM73" s="55"/>
      <c r="FHN73" s="55"/>
      <c r="FHO73" s="55"/>
      <c r="FHP73" s="55"/>
      <c r="FHQ73" s="55"/>
      <c r="FHR73" s="55"/>
      <c r="FHS73" s="55"/>
      <c r="FHT73" s="55"/>
      <c r="FHU73" s="55"/>
      <c r="FHV73" s="55"/>
      <c r="FHW73" s="55"/>
      <c r="FHX73" s="55"/>
      <c r="FHY73" s="55"/>
      <c r="FHZ73" s="55"/>
      <c r="FIA73" s="55"/>
      <c r="FIB73" s="55"/>
      <c r="FIC73" s="55"/>
      <c r="FID73" s="55"/>
      <c r="FIE73" s="55"/>
      <c r="FIF73" s="55"/>
      <c r="FIG73" s="55"/>
      <c r="FIH73" s="55"/>
      <c r="FII73" s="55"/>
      <c r="FIJ73" s="55"/>
      <c r="FIK73" s="55"/>
      <c r="FIL73" s="55"/>
      <c r="FIM73" s="55"/>
      <c r="FIN73" s="55"/>
      <c r="FIO73" s="55"/>
      <c r="FIP73" s="55"/>
      <c r="FIQ73" s="55"/>
      <c r="FIR73" s="55"/>
      <c r="FIS73" s="55"/>
      <c r="FIT73" s="55"/>
      <c r="FIU73" s="55"/>
      <c r="FIV73" s="55"/>
      <c r="FIW73" s="55"/>
      <c r="FIX73" s="55"/>
      <c r="FIY73" s="55"/>
      <c r="FIZ73" s="55"/>
      <c r="FJA73" s="55"/>
      <c r="FJB73" s="55"/>
      <c r="FJC73" s="55"/>
      <c r="FJD73" s="55"/>
      <c r="FJE73" s="55"/>
      <c r="FJF73" s="55"/>
      <c r="FJG73" s="55"/>
      <c r="FJH73" s="55"/>
      <c r="FJI73" s="55"/>
      <c r="FJJ73" s="55"/>
      <c r="FJK73" s="55"/>
      <c r="FJL73" s="55"/>
      <c r="FJM73" s="55"/>
      <c r="FJN73" s="55"/>
      <c r="FJO73" s="55"/>
      <c r="FJP73" s="55"/>
      <c r="FJQ73" s="55"/>
      <c r="FJR73" s="55"/>
      <c r="FJS73" s="55"/>
      <c r="FJT73" s="55"/>
      <c r="FJU73" s="55"/>
      <c r="FJV73" s="55"/>
      <c r="FJW73" s="55"/>
      <c r="FJX73" s="55"/>
      <c r="FJY73" s="55"/>
      <c r="FJZ73" s="55"/>
      <c r="FKA73" s="55"/>
      <c r="FKB73" s="55"/>
      <c r="FKC73" s="55"/>
      <c r="FKD73" s="55"/>
      <c r="FKE73" s="55"/>
      <c r="FKF73" s="55"/>
      <c r="FKG73" s="55"/>
      <c r="FKH73" s="55"/>
      <c r="FKI73" s="55"/>
      <c r="FKJ73" s="55"/>
      <c r="FKK73" s="55"/>
      <c r="FKL73" s="55"/>
      <c r="FKM73" s="55"/>
      <c r="FKN73" s="55"/>
      <c r="FKO73" s="55"/>
      <c r="FKP73" s="55"/>
      <c r="FKQ73" s="55"/>
      <c r="FKR73" s="55"/>
      <c r="FKS73" s="55"/>
      <c r="FKT73" s="55"/>
      <c r="FKU73" s="55"/>
      <c r="FKV73" s="55"/>
      <c r="FKW73" s="55"/>
      <c r="FKX73" s="55"/>
      <c r="FKY73" s="55"/>
      <c r="FKZ73" s="55"/>
      <c r="FLA73" s="55"/>
      <c r="FLB73" s="55"/>
      <c r="FLC73" s="55"/>
      <c r="FLD73" s="55"/>
      <c r="FLE73" s="55"/>
      <c r="FLF73" s="55"/>
      <c r="FLG73" s="55"/>
      <c r="FLH73" s="55"/>
      <c r="FLI73" s="55"/>
      <c r="FLJ73" s="55"/>
      <c r="FLK73" s="55"/>
      <c r="FLL73" s="55"/>
      <c r="FLM73" s="55"/>
      <c r="FLN73" s="55"/>
      <c r="FLO73" s="55"/>
      <c r="FLP73" s="55"/>
      <c r="FLQ73" s="55"/>
      <c r="FLR73" s="55"/>
      <c r="FLS73" s="55"/>
      <c r="FLT73" s="55"/>
      <c r="FLU73" s="55"/>
      <c r="FLV73" s="55"/>
      <c r="FLW73" s="55"/>
      <c r="FLX73" s="55"/>
      <c r="FLY73" s="55"/>
      <c r="FLZ73" s="55"/>
      <c r="FMA73" s="55"/>
      <c r="FMB73" s="55"/>
      <c r="FMC73" s="55"/>
      <c r="FMD73" s="55"/>
      <c r="FME73" s="55"/>
      <c r="FMF73" s="55"/>
      <c r="FMG73" s="55"/>
      <c r="FMH73" s="55"/>
      <c r="FMI73" s="55"/>
      <c r="FMJ73" s="55"/>
      <c r="FMK73" s="55"/>
      <c r="FML73" s="55"/>
      <c r="FMM73" s="55"/>
      <c r="FMN73" s="55"/>
      <c r="FMO73" s="55"/>
      <c r="FMP73" s="55"/>
      <c r="FMQ73" s="55"/>
      <c r="FMR73" s="55"/>
      <c r="FMS73" s="55"/>
      <c r="FMT73" s="55"/>
      <c r="FMU73" s="55"/>
      <c r="FMV73" s="55"/>
      <c r="FMW73" s="55"/>
      <c r="FMX73" s="55"/>
      <c r="FMY73" s="55"/>
      <c r="FMZ73" s="55"/>
      <c r="FNA73" s="55"/>
      <c r="FNB73" s="55"/>
      <c r="FNC73" s="55"/>
      <c r="FND73" s="55"/>
      <c r="FNE73" s="55"/>
      <c r="FNF73" s="55"/>
      <c r="FNG73" s="55"/>
      <c r="FNH73" s="55"/>
      <c r="FNI73" s="55"/>
      <c r="FNJ73" s="55"/>
      <c r="FNK73" s="55"/>
      <c r="FNL73" s="55"/>
      <c r="FNM73" s="55"/>
      <c r="FNN73" s="55"/>
      <c r="FNO73" s="55"/>
      <c r="FNP73" s="55"/>
      <c r="FNQ73" s="55"/>
      <c r="FNR73" s="55"/>
      <c r="FNS73" s="55"/>
      <c r="FNT73" s="55"/>
      <c r="FNU73" s="55"/>
      <c r="FNV73" s="55"/>
      <c r="FNW73" s="55"/>
      <c r="FNX73" s="55"/>
      <c r="FNY73" s="55"/>
      <c r="FNZ73" s="55"/>
      <c r="FOA73" s="55"/>
      <c r="FOB73" s="55"/>
      <c r="FOC73" s="55"/>
      <c r="FOD73" s="55"/>
      <c r="FOE73" s="55"/>
      <c r="FOF73" s="55"/>
      <c r="FOG73" s="55"/>
      <c r="FOH73" s="55"/>
      <c r="FOI73" s="55"/>
      <c r="FOJ73" s="55"/>
      <c r="FOK73" s="55"/>
      <c r="FOL73" s="55"/>
      <c r="FOM73" s="55"/>
      <c r="FON73" s="55"/>
      <c r="FOO73" s="55"/>
      <c r="FOP73" s="55"/>
      <c r="FOQ73" s="55"/>
      <c r="FOR73" s="55"/>
      <c r="FOS73" s="55"/>
      <c r="FOT73" s="55"/>
      <c r="FOU73" s="55"/>
      <c r="FOV73" s="55"/>
      <c r="FOW73" s="55"/>
      <c r="FOX73" s="55"/>
      <c r="FOY73" s="55"/>
      <c r="FOZ73" s="55"/>
      <c r="FPA73" s="55"/>
      <c r="FPB73" s="55"/>
      <c r="FPC73" s="55"/>
      <c r="FPD73" s="55"/>
      <c r="FPE73" s="55"/>
      <c r="FPF73" s="55"/>
      <c r="FPG73" s="55"/>
      <c r="FPH73" s="55"/>
      <c r="FPI73" s="55"/>
      <c r="FPJ73" s="55"/>
      <c r="FPK73" s="55"/>
      <c r="FPL73" s="55"/>
      <c r="FPM73" s="55"/>
      <c r="FPN73" s="55"/>
      <c r="FPO73" s="55"/>
      <c r="FPP73" s="55"/>
      <c r="FPQ73" s="55"/>
      <c r="FPR73" s="55"/>
      <c r="FPS73" s="55"/>
      <c r="FPT73" s="55"/>
      <c r="FPU73" s="55"/>
      <c r="FPV73" s="55"/>
      <c r="FPW73" s="55"/>
      <c r="FPX73" s="55"/>
      <c r="FPY73" s="55"/>
      <c r="FPZ73" s="55"/>
      <c r="FQA73" s="55"/>
      <c r="FQB73" s="55"/>
      <c r="FQC73" s="55"/>
      <c r="FQD73" s="55"/>
      <c r="FQE73" s="55"/>
      <c r="FQF73" s="55"/>
      <c r="FQG73" s="55"/>
      <c r="FQH73" s="55"/>
      <c r="FQI73" s="55"/>
      <c r="FQJ73" s="55"/>
      <c r="FQK73" s="55"/>
      <c r="FQL73" s="55"/>
      <c r="FQM73" s="55"/>
      <c r="FQN73" s="55"/>
      <c r="FQO73" s="55"/>
      <c r="FQP73" s="55"/>
      <c r="FQQ73" s="55"/>
      <c r="FQR73" s="55"/>
      <c r="FQS73" s="55"/>
      <c r="FQT73" s="55"/>
      <c r="FQU73" s="55"/>
      <c r="FQV73" s="55"/>
      <c r="FQW73" s="55"/>
      <c r="FQX73" s="55"/>
      <c r="FQY73" s="55"/>
      <c r="FQZ73" s="55"/>
      <c r="FRA73" s="55"/>
      <c r="FRB73" s="55"/>
      <c r="FRC73" s="55"/>
      <c r="FRD73" s="55"/>
      <c r="FRE73" s="55"/>
      <c r="FRF73" s="55"/>
      <c r="FRG73" s="55"/>
      <c r="FRH73" s="55"/>
      <c r="FRI73" s="55"/>
      <c r="FRJ73" s="55"/>
      <c r="FRK73" s="55"/>
      <c r="FRL73" s="55"/>
      <c r="FRM73" s="55"/>
      <c r="FRN73" s="55"/>
      <c r="FRO73" s="55"/>
      <c r="FRP73" s="55"/>
      <c r="FRQ73" s="55"/>
      <c r="FRR73" s="55"/>
      <c r="FRS73" s="55"/>
      <c r="FRT73" s="55"/>
      <c r="FRU73" s="55"/>
      <c r="FRV73" s="55"/>
      <c r="FRW73" s="55"/>
      <c r="FRX73" s="55"/>
      <c r="FRY73" s="55"/>
      <c r="FRZ73" s="55"/>
      <c r="FSA73" s="55"/>
      <c r="FSB73" s="55"/>
      <c r="FSC73" s="55"/>
      <c r="FSD73" s="55"/>
      <c r="FSE73" s="55"/>
      <c r="FSF73" s="55"/>
      <c r="FSG73" s="55"/>
      <c r="FSH73" s="55"/>
      <c r="FSI73" s="55"/>
      <c r="FSJ73" s="55"/>
      <c r="FSK73" s="55"/>
      <c r="FSL73" s="55"/>
      <c r="FSM73" s="55"/>
      <c r="FSN73" s="55"/>
      <c r="FSO73" s="55"/>
      <c r="FSP73" s="55"/>
      <c r="FSQ73" s="55"/>
      <c r="FSR73" s="55"/>
      <c r="FSS73" s="55"/>
      <c r="FST73" s="55"/>
      <c r="FSU73" s="55"/>
      <c r="FSV73" s="55"/>
      <c r="FSW73" s="55"/>
      <c r="FSX73" s="55"/>
      <c r="FSY73" s="55"/>
      <c r="FSZ73" s="55"/>
      <c r="FTA73" s="55"/>
      <c r="FTB73" s="55"/>
      <c r="FTC73" s="55"/>
      <c r="FTD73" s="55"/>
      <c r="FTE73" s="55"/>
      <c r="FTF73" s="55"/>
      <c r="FTG73" s="55"/>
      <c r="FTH73" s="55"/>
      <c r="FTI73" s="55"/>
      <c r="FTJ73" s="55"/>
      <c r="FTK73" s="55"/>
      <c r="FTL73" s="55"/>
      <c r="FTM73" s="55"/>
      <c r="FTN73" s="55"/>
      <c r="FTO73" s="55"/>
      <c r="FTP73" s="55"/>
      <c r="FTQ73" s="55"/>
      <c r="FTR73" s="55"/>
      <c r="FTS73" s="55"/>
      <c r="FTT73" s="55"/>
      <c r="FTU73" s="55"/>
      <c r="FTV73" s="55"/>
      <c r="FTW73" s="55"/>
      <c r="FTX73" s="55"/>
      <c r="FTY73" s="55"/>
      <c r="FTZ73" s="55"/>
      <c r="FUA73" s="55"/>
      <c r="FUB73" s="55"/>
      <c r="FUC73" s="55"/>
      <c r="FUD73" s="55"/>
      <c r="FUE73" s="55"/>
      <c r="FUF73" s="55"/>
      <c r="FUG73" s="55"/>
      <c r="FUH73" s="55"/>
      <c r="FUI73" s="55"/>
      <c r="FUJ73" s="55"/>
      <c r="FUK73" s="55"/>
      <c r="FUL73" s="55"/>
      <c r="FUM73" s="55"/>
      <c r="FUN73" s="55"/>
      <c r="FUO73" s="55"/>
      <c r="FUP73" s="55"/>
      <c r="FUQ73" s="55"/>
      <c r="FUR73" s="55"/>
      <c r="FUS73" s="55"/>
      <c r="FUT73" s="55"/>
      <c r="FUU73" s="55"/>
      <c r="FUV73" s="55"/>
      <c r="FUW73" s="55"/>
      <c r="FUX73" s="55"/>
      <c r="FUY73" s="55"/>
      <c r="FUZ73" s="55"/>
      <c r="FVA73" s="55"/>
      <c r="FVB73" s="55"/>
      <c r="FVC73" s="55"/>
      <c r="FVD73" s="55"/>
      <c r="FVE73" s="55"/>
      <c r="FVF73" s="55"/>
      <c r="FVG73" s="55"/>
      <c r="FVH73" s="55"/>
      <c r="FVI73" s="55"/>
      <c r="FVJ73" s="55"/>
      <c r="FVK73" s="55"/>
      <c r="FVL73" s="55"/>
      <c r="FVM73" s="55"/>
      <c r="FVN73" s="55"/>
      <c r="FVO73" s="55"/>
      <c r="FVP73" s="55"/>
      <c r="FVQ73" s="55"/>
      <c r="FVR73" s="55"/>
      <c r="FVS73" s="55"/>
      <c r="FVT73" s="55"/>
      <c r="FVU73" s="55"/>
      <c r="FVV73" s="55"/>
      <c r="FVW73" s="55"/>
      <c r="FVX73" s="55"/>
      <c r="FVY73" s="55"/>
      <c r="FVZ73" s="55"/>
      <c r="FWA73" s="55"/>
      <c r="FWB73" s="55"/>
      <c r="FWC73" s="55"/>
      <c r="FWD73" s="55"/>
      <c r="FWE73" s="55"/>
      <c r="FWF73" s="55"/>
      <c r="FWG73" s="55"/>
      <c r="FWH73" s="55"/>
      <c r="FWI73" s="55"/>
      <c r="FWJ73" s="55"/>
      <c r="FWK73" s="55"/>
      <c r="FWL73" s="55"/>
      <c r="FWM73" s="55"/>
      <c r="FWN73" s="55"/>
      <c r="FWO73" s="55"/>
      <c r="FWP73" s="55"/>
      <c r="FWQ73" s="55"/>
      <c r="FWR73" s="55"/>
      <c r="FWS73" s="55"/>
      <c r="FWT73" s="55"/>
      <c r="FWU73" s="55"/>
      <c r="FWV73" s="55"/>
      <c r="FWW73" s="55"/>
      <c r="FWX73" s="55"/>
      <c r="FWY73" s="55"/>
      <c r="FWZ73" s="55"/>
      <c r="FXA73" s="55"/>
      <c r="FXB73" s="55"/>
      <c r="FXC73" s="55"/>
      <c r="FXD73" s="55"/>
      <c r="FXE73" s="55"/>
      <c r="FXF73" s="55"/>
      <c r="FXG73" s="55"/>
      <c r="FXH73" s="55"/>
      <c r="FXI73" s="55"/>
      <c r="FXJ73" s="55"/>
      <c r="FXK73" s="55"/>
      <c r="FXL73" s="55"/>
      <c r="FXM73" s="55"/>
      <c r="FXN73" s="55"/>
      <c r="FXO73" s="55"/>
      <c r="FXP73" s="55"/>
      <c r="FXQ73" s="55"/>
      <c r="FXR73" s="55"/>
      <c r="FXS73" s="55"/>
      <c r="FXT73" s="55"/>
      <c r="FXU73" s="55"/>
      <c r="FXV73" s="55"/>
      <c r="FXW73" s="55"/>
      <c r="FXX73" s="55"/>
      <c r="FXY73" s="55"/>
      <c r="FXZ73" s="55"/>
      <c r="FYA73" s="55"/>
      <c r="FYB73" s="55"/>
      <c r="FYC73" s="55"/>
      <c r="FYD73" s="55"/>
      <c r="FYE73" s="55"/>
      <c r="FYF73" s="55"/>
      <c r="FYG73" s="55"/>
      <c r="FYH73" s="55"/>
      <c r="FYI73" s="55"/>
      <c r="FYJ73" s="55"/>
      <c r="FYK73" s="55"/>
      <c r="FYL73" s="55"/>
      <c r="FYM73" s="55"/>
      <c r="FYN73" s="55"/>
      <c r="FYO73" s="55"/>
      <c r="FYP73" s="55"/>
      <c r="FYQ73" s="55"/>
      <c r="FYR73" s="55"/>
      <c r="FYS73" s="55"/>
      <c r="FYT73" s="55"/>
      <c r="FYU73" s="55"/>
      <c r="FYV73" s="55"/>
      <c r="FYW73" s="55"/>
      <c r="FYX73" s="55"/>
      <c r="FYY73" s="55"/>
      <c r="FYZ73" s="55"/>
      <c r="FZA73" s="55"/>
      <c r="FZB73" s="55"/>
      <c r="FZC73" s="55"/>
      <c r="FZD73" s="55"/>
      <c r="FZE73" s="55"/>
      <c r="FZF73" s="55"/>
      <c r="FZG73" s="55"/>
      <c r="FZH73" s="55"/>
      <c r="FZI73" s="55"/>
      <c r="FZJ73" s="55"/>
      <c r="FZK73" s="55"/>
      <c r="FZL73" s="55"/>
      <c r="FZM73" s="55"/>
      <c r="FZN73" s="55"/>
      <c r="FZO73" s="55"/>
      <c r="FZP73" s="55"/>
      <c r="FZQ73" s="55"/>
      <c r="FZR73" s="55"/>
      <c r="FZS73" s="55"/>
      <c r="FZT73" s="55"/>
      <c r="FZU73" s="55"/>
      <c r="FZV73" s="55"/>
      <c r="FZW73" s="55"/>
      <c r="FZX73" s="55"/>
      <c r="FZY73" s="55"/>
      <c r="FZZ73" s="55"/>
      <c r="GAA73" s="55"/>
      <c r="GAB73" s="55"/>
      <c r="GAC73" s="55"/>
      <c r="GAD73" s="55"/>
      <c r="GAE73" s="55"/>
      <c r="GAF73" s="55"/>
      <c r="GAG73" s="55"/>
      <c r="GAH73" s="55"/>
      <c r="GAI73" s="55"/>
      <c r="GAJ73" s="55"/>
      <c r="GAK73" s="55"/>
      <c r="GAL73" s="55"/>
      <c r="GAM73" s="55"/>
      <c r="GAN73" s="55"/>
      <c r="GAO73" s="55"/>
      <c r="GAP73" s="55"/>
      <c r="GAQ73" s="55"/>
      <c r="GAR73" s="55"/>
      <c r="GAS73" s="55"/>
      <c r="GAT73" s="55"/>
      <c r="GAU73" s="55"/>
      <c r="GAV73" s="55"/>
      <c r="GAW73" s="55"/>
      <c r="GAX73" s="55"/>
      <c r="GAY73" s="55"/>
      <c r="GAZ73" s="55"/>
      <c r="GBA73" s="55"/>
      <c r="GBB73" s="55"/>
      <c r="GBC73" s="55"/>
      <c r="GBD73" s="55"/>
      <c r="GBE73" s="55"/>
      <c r="GBF73" s="55"/>
      <c r="GBG73" s="55"/>
      <c r="GBH73" s="55"/>
      <c r="GBI73" s="55"/>
      <c r="GBJ73" s="55"/>
      <c r="GBK73" s="55"/>
      <c r="GBL73" s="55"/>
      <c r="GBM73" s="55"/>
      <c r="GBN73" s="55"/>
      <c r="GBO73" s="55"/>
      <c r="GBP73" s="55"/>
      <c r="GBQ73" s="55"/>
      <c r="GBR73" s="55"/>
      <c r="GBS73" s="55"/>
      <c r="GBT73" s="55"/>
      <c r="GBU73" s="55"/>
      <c r="GBV73" s="55"/>
      <c r="GBW73" s="55"/>
      <c r="GBX73" s="55"/>
      <c r="GBY73" s="55"/>
      <c r="GBZ73" s="55"/>
      <c r="GCA73" s="55"/>
      <c r="GCB73" s="55"/>
      <c r="GCC73" s="55"/>
      <c r="GCD73" s="55"/>
      <c r="GCE73" s="55"/>
      <c r="GCF73" s="55"/>
      <c r="GCG73" s="55"/>
      <c r="GCH73" s="55"/>
      <c r="GCI73" s="55"/>
      <c r="GCJ73" s="55"/>
      <c r="GCK73" s="55"/>
      <c r="GCL73" s="55"/>
      <c r="GCM73" s="55"/>
      <c r="GCN73" s="55"/>
      <c r="GCO73" s="55"/>
      <c r="GCP73" s="55"/>
      <c r="GCQ73" s="55"/>
      <c r="GCR73" s="55"/>
      <c r="GCS73" s="55"/>
      <c r="GCT73" s="55"/>
      <c r="GCU73" s="55"/>
      <c r="GCV73" s="55"/>
      <c r="GCW73" s="55"/>
      <c r="GCX73" s="55"/>
      <c r="GCY73" s="55"/>
      <c r="GCZ73" s="55"/>
      <c r="GDA73" s="55"/>
      <c r="GDB73" s="55"/>
      <c r="GDC73" s="55"/>
      <c r="GDD73" s="55"/>
      <c r="GDE73" s="55"/>
      <c r="GDF73" s="55"/>
      <c r="GDG73" s="55"/>
      <c r="GDH73" s="55"/>
      <c r="GDI73" s="55"/>
      <c r="GDJ73" s="55"/>
      <c r="GDK73" s="55"/>
      <c r="GDL73" s="55"/>
      <c r="GDM73" s="55"/>
      <c r="GDN73" s="55"/>
      <c r="GDO73" s="55"/>
      <c r="GDP73" s="55"/>
      <c r="GDQ73" s="55"/>
      <c r="GDR73" s="55"/>
      <c r="GDS73" s="55"/>
      <c r="GDT73" s="55"/>
      <c r="GDU73" s="55"/>
      <c r="GDV73" s="55"/>
      <c r="GDW73" s="55"/>
      <c r="GDX73" s="55"/>
      <c r="GDY73" s="55"/>
      <c r="GDZ73" s="55"/>
      <c r="GEA73" s="55"/>
      <c r="GEB73" s="55"/>
      <c r="GEC73" s="55"/>
      <c r="GED73" s="55"/>
      <c r="GEE73" s="55"/>
      <c r="GEF73" s="55"/>
      <c r="GEG73" s="55"/>
      <c r="GEH73" s="55"/>
      <c r="GEI73" s="55"/>
      <c r="GEJ73" s="55"/>
      <c r="GEK73" s="55"/>
      <c r="GEL73" s="55"/>
      <c r="GEM73" s="55"/>
      <c r="GEN73" s="55"/>
      <c r="GEO73" s="55"/>
      <c r="GEP73" s="55"/>
      <c r="GEQ73" s="55"/>
      <c r="GER73" s="55"/>
      <c r="GES73" s="55"/>
      <c r="GET73" s="55"/>
      <c r="GEU73" s="55"/>
      <c r="GEV73" s="55"/>
      <c r="GEW73" s="55"/>
      <c r="GEX73" s="55"/>
      <c r="GEY73" s="55"/>
      <c r="GEZ73" s="55"/>
      <c r="GFA73" s="55"/>
      <c r="GFB73" s="55"/>
      <c r="GFC73" s="55"/>
      <c r="GFD73" s="55"/>
      <c r="GFE73" s="55"/>
      <c r="GFF73" s="55"/>
      <c r="GFG73" s="55"/>
      <c r="GFH73" s="55"/>
      <c r="GFI73" s="55"/>
      <c r="GFJ73" s="55"/>
      <c r="GFK73" s="55"/>
      <c r="GFL73" s="55"/>
      <c r="GFM73" s="55"/>
      <c r="GFN73" s="55"/>
      <c r="GFO73" s="55"/>
      <c r="GFP73" s="55"/>
      <c r="GFQ73" s="55"/>
      <c r="GFR73" s="55"/>
      <c r="GFS73" s="55"/>
      <c r="GFT73" s="55"/>
      <c r="GFU73" s="55"/>
      <c r="GFV73" s="55"/>
      <c r="GFW73" s="55"/>
      <c r="GFX73" s="55"/>
      <c r="GFY73" s="55"/>
      <c r="GFZ73" s="55"/>
      <c r="GGA73" s="55"/>
      <c r="GGB73" s="55"/>
      <c r="GGC73" s="55"/>
      <c r="GGD73" s="55"/>
      <c r="GGE73" s="55"/>
      <c r="GGF73" s="55"/>
      <c r="GGG73" s="55"/>
      <c r="GGH73" s="55"/>
      <c r="GGI73" s="55"/>
      <c r="GGJ73" s="55"/>
      <c r="GGK73" s="55"/>
      <c r="GGL73" s="55"/>
      <c r="GGM73" s="55"/>
      <c r="GGN73" s="55"/>
      <c r="GGO73" s="55"/>
      <c r="GGP73" s="55"/>
      <c r="GGQ73" s="55"/>
      <c r="GGR73" s="55"/>
      <c r="GGS73" s="55"/>
      <c r="GGT73" s="55"/>
      <c r="GGU73" s="55"/>
      <c r="GGV73" s="55"/>
      <c r="GGW73" s="55"/>
      <c r="GGX73" s="55"/>
      <c r="GGY73" s="55"/>
      <c r="GGZ73" s="55"/>
      <c r="GHA73" s="55"/>
      <c r="GHB73" s="55"/>
      <c r="GHC73" s="55"/>
      <c r="GHD73" s="55"/>
      <c r="GHE73" s="55"/>
      <c r="GHF73" s="55"/>
      <c r="GHG73" s="55"/>
      <c r="GHH73" s="55"/>
      <c r="GHI73" s="55"/>
      <c r="GHJ73" s="55"/>
      <c r="GHK73" s="55"/>
      <c r="GHL73" s="55"/>
      <c r="GHM73" s="55"/>
      <c r="GHN73" s="55"/>
      <c r="GHO73" s="55"/>
      <c r="GHP73" s="55"/>
      <c r="GHQ73" s="55"/>
      <c r="GHR73" s="55"/>
      <c r="GHS73" s="55"/>
      <c r="GHT73" s="55"/>
      <c r="GHU73" s="55"/>
      <c r="GHV73" s="55"/>
      <c r="GHW73" s="55"/>
      <c r="GHX73" s="55"/>
      <c r="GHY73" s="55"/>
      <c r="GHZ73" s="55"/>
      <c r="GIA73" s="55"/>
      <c r="GIB73" s="55"/>
      <c r="GIC73" s="55"/>
      <c r="GID73" s="55"/>
      <c r="GIE73" s="55"/>
      <c r="GIF73" s="55"/>
      <c r="GIG73" s="55"/>
      <c r="GIH73" s="55"/>
      <c r="GII73" s="55"/>
      <c r="GIJ73" s="55"/>
      <c r="GIK73" s="55"/>
      <c r="GIL73" s="55"/>
      <c r="GIM73" s="55"/>
      <c r="GIN73" s="55"/>
      <c r="GIO73" s="55"/>
      <c r="GIP73" s="55"/>
      <c r="GIQ73" s="55"/>
      <c r="GIR73" s="55"/>
      <c r="GIS73" s="55"/>
      <c r="GIT73" s="55"/>
      <c r="GIU73" s="55"/>
      <c r="GIV73" s="55"/>
      <c r="GIW73" s="55"/>
      <c r="GIX73" s="55"/>
      <c r="GIY73" s="55"/>
      <c r="GIZ73" s="55"/>
      <c r="GJA73" s="55"/>
      <c r="GJB73" s="55"/>
      <c r="GJC73" s="55"/>
      <c r="GJD73" s="55"/>
      <c r="GJE73" s="55"/>
      <c r="GJF73" s="55"/>
      <c r="GJG73" s="55"/>
      <c r="GJH73" s="55"/>
      <c r="GJI73" s="55"/>
      <c r="GJJ73" s="55"/>
      <c r="GJK73" s="55"/>
      <c r="GJL73" s="55"/>
      <c r="GJM73" s="55"/>
      <c r="GJN73" s="55"/>
      <c r="GJO73" s="55"/>
      <c r="GJP73" s="55"/>
      <c r="GJQ73" s="55"/>
      <c r="GJR73" s="55"/>
      <c r="GJS73" s="55"/>
      <c r="GJT73" s="55"/>
      <c r="GJU73" s="55"/>
      <c r="GJV73" s="55"/>
      <c r="GJW73" s="55"/>
      <c r="GJX73" s="55"/>
      <c r="GJY73" s="55"/>
      <c r="GJZ73" s="55"/>
      <c r="GKA73" s="55"/>
      <c r="GKB73" s="55"/>
      <c r="GKC73" s="55"/>
      <c r="GKD73" s="55"/>
      <c r="GKE73" s="55"/>
      <c r="GKF73" s="55"/>
      <c r="GKG73" s="55"/>
      <c r="GKH73" s="55"/>
      <c r="GKI73" s="55"/>
      <c r="GKJ73" s="55"/>
      <c r="GKK73" s="55"/>
      <c r="GKL73" s="55"/>
      <c r="GKM73" s="55"/>
      <c r="GKN73" s="55"/>
      <c r="GKO73" s="55"/>
      <c r="GKP73" s="55"/>
      <c r="GKQ73" s="55"/>
      <c r="GKR73" s="55"/>
      <c r="GKS73" s="55"/>
      <c r="GKT73" s="55"/>
      <c r="GKU73" s="55"/>
      <c r="GKV73" s="55"/>
      <c r="GKW73" s="55"/>
      <c r="GKX73" s="55"/>
      <c r="GKY73" s="55"/>
      <c r="GKZ73" s="55"/>
      <c r="GLA73" s="55"/>
      <c r="GLB73" s="55"/>
      <c r="GLC73" s="55"/>
      <c r="GLD73" s="55"/>
      <c r="GLE73" s="55"/>
      <c r="GLF73" s="55"/>
      <c r="GLG73" s="55"/>
      <c r="GLH73" s="55"/>
      <c r="GLI73" s="55"/>
      <c r="GLJ73" s="55"/>
      <c r="GLK73" s="55"/>
      <c r="GLL73" s="55"/>
      <c r="GLM73" s="55"/>
      <c r="GLN73" s="55"/>
      <c r="GLO73" s="55"/>
      <c r="GLP73" s="55"/>
      <c r="GLQ73" s="55"/>
      <c r="GLR73" s="55"/>
      <c r="GLS73" s="55"/>
      <c r="GLT73" s="55"/>
      <c r="GLU73" s="55"/>
      <c r="GLV73" s="55"/>
      <c r="GLW73" s="55"/>
      <c r="GLX73" s="55"/>
      <c r="GLY73" s="55"/>
      <c r="GLZ73" s="55"/>
      <c r="GMA73" s="55"/>
      <c r="GMB73" s="55"/>
      <c r="GMC73" s="55"/>
      <c r="GMD73" s="55"/>
      <c r="GME73" s="55"/>
      <c r="GMF73" s="55"/>
      <c r="GMG73" s="55"/>
      <c r="GMH73" s="55"/>
      <c r="GMI73" s="55"/>
      <c r="GMJ73" s="55"/>
      <c r="GMK73" s="55"/>
      <c r="GML73" s="55"/>
      <c r="GMM73" s="55"/>
      <c r="GMN73" s="55"/>
      <c r="GMO73" s="55"/>
      <c r="GMP73" s="55"/>
      <c r="GMQ73" s="55"/>
      <c r="GMR73" s="55"/>
      <c r="GMS73" s="55"/>
      <c r="GMT73" s="55"/>
      <c r="GMU73" s="55"/>
      <c r="GMV73" s="55"/>
      <c r="GMW73" s="55"/>
      <c r="GMX73" s="55"/>
      <c r="GMY73" s="55"/>
      <c r="GMZ73" s="55"/>
      <c r="GNA73" s="55"/>
      <c r="GNB73" s="55"/>
      <c r="GNC73" s="55"/>
      <c r="GND73" s="55"/>
      <c r="GNE73" s="55"/>
      <c r="GNF73" s="55"/>
      <c r="GNG73" s="55"/>
      <c r="GNH73" s="55"/>
      <c r="GNI73" s="55"/>
      <c r="GNJ73" s="55"/>
      <c r="GNK73" s="55"/>
      <c r="GNL73" s="55"/>
      <c r="GNM73" s="55"/>
      <c r="GNN73" s="55"/>
      <c r="GNO73" s="55"/>
      <c r="GNP73" s="55"/>
      <c r="GNQ73" s="55"/>
      <c r="GNR73" s="55"/>
      <c r="GNS73" s="55"/>
      <c r="GNT73" s="55"/>
      <c r="GNU73" s="55"/>
      <c r="GNV73" s="55"/>
      <c r="GNW73" s="55"/>
      <c r="GNX73" s="55"/>
      <c r="GNY73" s="55"/>
      <c r="GNZ73" s="55"/>
      <c r="GOA73" s="55"/>
      <c r="GOB73" s="55"/>
      <c r="GOC73" s="55"/>
      <c r="GOD73" s="55"/>
      <c r="GOE73" s="55"/>
      <c r="GOF73" s="55"/>
      <c r="GOG73" s="55"/>
      <c r="GOH73" s="55"/>
      <c r="GOI73" s="55"/>
      <c r="GOJ73" s="55"/>
      <c r="GOK73" s="55"/>
      <c r="GOL73" s="55"/>
      <c r="GOM73" s="55"/>
      <c r="GON73" s="55"/>
      <c r="GOO73" s="55"/>
      <c r="GOP73" s="55"/>
      <c r="GOQ73" s="55"/>
      <c r="GOR73" s="55"/>
      <c r="GOS73" s="55"/>
      <c r="GOT73" s="55"/>
      <c r="GOU73" s="55"/>
      <c r="GOV73" s="55"/>
      <c r="GOW73" s="55"/>
      <c r="GOX73" s="55"/>
      <c r="GOY73" s="55"/>
      <c r="GOZ73" s="55"/>
      <c r="GPA73" s="55"/>
      <c r="GPB73" s="55"/>
      <c r="GPC73" s="55"/>
      <c r="GPD73" s="55"/>
      <c r="GPE73" s="55"/>
      <c r="GPF73" s="55"/>
      <c r="GPG73" s="55"/>
      <c r="GPH73" s="55"/>
      <c r="GPI73" s="55"/>
      <c r="GPJ73" s="55"/>
      <c r="GPK73" s="55"/>
      <c r="GPL73" s="55"/>
      <c r="GPM73" s="55"/>
      <c r="GPN73" s="55"/>
      <c r="GPO73" s="55"/>
      <c r="GPP73" s="55"/>
      <c r="GPQ73" s="55"/>
      <c r="GPR73" s="55"/>
      <c r="GPS73" s="55"/>
      <c r="GPT73" s="55"/>
      <c r="GPU73" s="55"/>
      <c r="GPV73" s="55"/>
      <c r="GPW73" s="55"/>
      <c r="GPX73" s="55"/>
      <c r="GPY73" s="55"/>
      <c r="GPZ73" s="55"/>
      <c r="GQA73" s="55"/>
      <c r="GQB73" s="55"/>
      <c r="GQC73" s="55"/>
      <c r="GQD73" s="55"/>
      <c r="GQE73" s="55"/>
      <c r="GQF73" s="55"/>
      <c r="GQG73" s="55"/>
      <c r="GQH73" s="55"/>
      <c r="GQI73" s="55"/>
      <c r="GQJ73" s="55"/>
      <c r="GQK73" s="55"/>
      <c r="GQL73" s="55"/>
      <c r="GQM73" s="55"/>
      <c r="GQN73" s="55"/>
      <c r="GQO73" s="55"/>
      <c r="GQP73" s="55"/>
      <c r="GQQ73" s="55"/>
      <c r="GQR73" s="55"/>
      <c r="GQS73" s="55"/>
      <c r="GQT73" s="55"/>
      <c r="GQU73" s="55"/>
      <c r="GQV73" s="55"/>
      <c r="GQW73" s="55"/>
      <c r="GQX73" s="55"/>
      <c r="GQY73" s="55"/>
      <c r="GQZ73" s="55"/>
      <c r="GRA73" s="55"/>
      <c r="GRB73" s="55"/>
      <c r="GRC73" s="55"/>
      <c r="GRD73" s="55"/>
      <c r="GRE73" s="55"/>
      <c r="GRF73" s="55"/>
      <c r="GRG73" s="55"/>
      <c r="GRH73" s="55"/>
      <c r="GRI73" s="55"/>
      <c r="GRJ73" s="55"/>
      <c r="GRK73" s="55"/>
      <c r="GRL73" s="55"/>
      <c r="GRM73" s="55"/>
      <c r="GRN73" s="55"/>
      <c r="GRO73" s="55"/>
      <c r="GRP73" s="55"/>
      <c r="GRQ73" s="55"/>
      <c r="GRR73" s="55"/>
      <c r="GRS73" s="55"/>
      <c r="GRT73" s="55"/>
      <c r="GRU73" s="55"/>
      <c r="GRV73" s="55"/>
      <c r="GRW73" s="55"/>
      <c r="GRX73" s="55"/>
      <c r="GRY73" s="55"/>
      <c r="GRZ73" s="55"/>
      <c r="GSA73" s="55"/>
      <c r="GSB73" s="55"/>
      <c r="GSC73" s="55"/>
      <c r="GSD73" s="55"/>
      <c r="GSE73" s="55"/>
      <c r="GSF73" s="55"/>
      <c r="GSG73" s="55"/>
      <c r="GSH73" s="55"/>
      <c r="GSI73" s="55"/>
      <c r="GSJ73" s="55"/>
      <c r="GSK73" s="55"/>
      <c r="GSL73" s="55"/>
      <c r="GSM73" s="55"/>
      <c r="GSN73" s="55"/>
      <c r="GSO73" s="55"/>
      <c r="GSP73" s="55"/>
      <c r="GSQ73" s="55"/>
      <c r="GSR73" s="55"/>
      <c r="GSS73" s="55"/>
      <c r="GST73" s="55"/>
      <c r="GSU73" s="55"/>
      <c r="GSV73" s="55"/>
      <c r="GSW73" s="55"/>
      <c r="GSX73" s="55"/>
      <c r="GSY73" s="55"/>
      <c r="GSZ73" s="55"/>
      <c r="GTA73" s="55"/>
      <c r="GTB73" s="55"/>
      <c r="GTC73" s="55"/>
      <c r="GTD73" s="55"/>
      <c r="GTE73" s="55"/>
      <c r="GTF73" s="55"/>
      <c r="GTG73" s="55"/>
      <c r="GTH73" s="55"/>
      <c r="GTI73" s="55"/>
      <c r="GTJ73" s="55"/>
      <c r="GTK73" s="55"/>
      <c r="GTL73" s="55"/>
      <c r="GTM73" s="55"/>
      <c r="GTN73" s="55"/>
      <c r="GTO73" s="55"/>
      <c r="GTP73" s="55"/>
      <c r="GTQ73" s="55"/>
      <c r="GTR73" s="55"/>
      <c r="GTS73" s="55"/>
      <c r="GTT73" s="55"/>
      <c r="GTU73" s="55"/>
      <c r="GTV73" s="55"/>
      <c r="GTW73" s="55"/>
      <c r="GTX73" s="55"/>
      <c r="GTY73" s="55"/>
      <c r="GTZ73" s="55"/>
      <c r="GUA73" s="55"/>
      <c r="GUB73" s="55"/>
      <c r="GUC73" s="55"/>
      <c r="GUD73" s="55"/>
      <c r="GUE73" s="55"/>
      <c r="GUF73" s="55"/>
      <c r="GUG73" s="55"/>
      <c r="GUH73" s="55"/>
      <c r="GUI73" s="55"/>
      <c r="GUJ73" s="55"/>
      <c r="GUK73" s="55"/>
      <c r="GUL73" s="55"/>
      <c r="GUM73" s="55"/>
      <c r="GUN73" s="55"/>
      <c r="GUO73" s="55"/>
      <c r="GUP73" s="55"/>
      <c r="GUQ73" s="55"/>
      <c r="GUR73" s="55"/>
      <c r="GUS73" s="55"/>
      <c r="GUT73" s="55"/>
      <c r="GUU73" s="55"/>
      <c r="GUV73" s="55"/>
      <c r="GUW73" s="55"/>
      <c r="GUX73" s="55"/>
      <c r="GUY73" s="55"/>
      <c r="GUZ73" s="55"/>
      <c r="GVA73" s="55"/>
      <c r="GVB73" s="55"/>
      <c r="GVC73" s="55"/>
      <c r="GVD73" s="55"/>
      <c r="GVE73" s="55"/>
      <c r="GVF73" s="55"/>
      <c r="GVG73" s="55"/>
      <c r="GVH73" s="55"/>
      <c r="GVI73" s="55"/>
      <c r="GVJ73" s="55"/>
      <c r="GVK73" s="55"/>
      <c r="GVL73" s="55"/>
      <c r="GVM73" s="55"/>
      <c r="GVN73" s="55"/>
      <c r="GVO73" s="55"/>
      <c r="GVP73" s="55"/>
      <c r="GVQ73" s="55"/>
      <c r="GVR73" s="55"/>
      <c r="GVS73" s="55"/>
      <c r="GVT73" s="55"/>
      <c r="GVU73" s="55"/>
      <c r="GVV73" s="55"/>
      <c r="GVW73" s="55"/>
      <c r="GVX73" s="55"/>
      <c r="GVY73" s="55"/>
      <c r="GVZ73" s="55"/>
      <c r="GWA73" s="55"/>
      <c r="GWB73" s="55"/>
      <c r="GWC73" s="55"/>
      <c r="GWD73" s="55"/>
      <c r="GWE73" s="55"/>
      <c r="GWF73" s="55"/>
      <c r="GWG73" s="55"/>
      <c r="GWH73" s="55"/>
      <c r="GWI73" s="55"/>
      <c r="GWJ73" s="55"/>
      <c r="GWK73" s="55"/>
      <c r="GWL73" s="55"/>
      <c r="GWM73" s="55"/>
      <c r="GWN73" s="55"/>
      <c r="GWO73" s="55"/>
      <c r="GWP73" s="55"/>
      <c r="GWQ73" s="55"/>
      <c r="GWR73" s="55"/>
      <c r="GWS73" s="55"/>
      <c r="GWT73" s="55"/>
      <c r="GWU73" s="55"/>
      <c r="GWV73" s="55"/>
      <c r="GWW73" s="55"/>
      <c r="GWX73" s="55"/>
      <c r="GWY73" s="55"/>
      <c r="GWZ73" s="55"/>
      <c r="GXA73" s="55"/>
      <c r="GXB73" s="55"/>
      <c r="GXC73" s="55"/>
      <c r="GXD73" s="55"/>
      <c r="GXE73" s="55"/>
      <c r="GXF73" s="55"/>
      <c r="GXG73" s="55"/>
      <c r="GXH73" s="55"/>
      <c r="GXI73" s="55"/>
      <c r="GXJ73" s="55"/>
      <c r="GXK73" s="55"/>
      <c r="GXL73" s="55"/>
      <c r="GXM73" s="55"/>
      <c r="GXN73" s="55"/>
      <c r="GXO73" s="55"/>
      <c r="GXP73" s="55"/>
      <c r="GXQ73" s="55"/>
      <c r="GXR73" s="55"/>
      <c r="GXS73" s="55"/>
      <c r="GXT73" s="55"/>
      <c r="GXU73" s="55"/>
      <c r="GXV73" s="55"/>
      <c r="GXW73" s="55"/>
      <c r="GXX73" s="55"/>
      <c r="GXY73" s="55"/>
      <c r="GXZ73" s="55"/>
      <c r="GYA73" s="55"/>
      <c r="GYB73" s="55"/>
      <c r="GYC73" s="55"/>
      <c r="GYD73" s="55"/>
      <c r="GYE73" s="55"/>
      <c r="GYF73" s="55"/>
      <c r="GYG73" s="55"/>
      <c r="GYH73" s="55"/>
      <c r="GYI73" s="55"/>
      <c r="GYJ73" s="55"/>
      <c r="GYK73" s="55"/>
      <c r="GYL73" s="55"/>
      <c r="GYM73" s="55"/>
      <c r="GYN73" s="55"/>
      <c r="GYO73" s="55"/>
      <c r="GYP73" s="55"/>
      <c r="GYQ73" s="55"/>
      <c r="GYR73" s="55"/>
      <c r="GYS73" s="55"/>
      <c r="GYT73" s="55"/>
      <c r="GYU73" s="55"/>
      <c r="GYV73" s="55"/>
      <c r="GYW73" s="55"/>
      <c r="GYX73" s="55"/>
      <c r="GYY73" s="55"/>
      <c r="GYZ73" s="55"/>
      <c r="GZA73" s="55"/>
      <c r="GZB73" s="55"/>
      <c r="GZC73" s="55"/>
      <c r="GZD73" s="55"/>
      <c r="GZE73" s="55"/>
      <c r="GZF73" s="55"/>
      <c r="GZG73" s="55"/>
      <c r="GZH73" s="55"/>
      <c r="GZI73" s="55"/>
      <c r="GZJ73" s="55"/>
      <c r="GZK73" s="55"/>
      <c r="GZL73" s="55"/>
      <c r="GZM73" s="55"/>
      <c r="GZN73" s="55"/>
      <c r="GZO73" s="55"/>
      <c r="GZP73" s="55"/>
      <c r="GZQ73" s="55"/>
      <c r="GZR73" s="55"/>
      <c r="GZS73" s="55"/>
      <c r="GZT73" s="55"/>
      <c r="GZU73" s="55"/>
      <c r="GZV73" s="55"/>
      <c r="GZW73" s="55"/>
      <c r="GZX73" s="55"/>
      <c r="GZY73" s="55"/>
      <c r="GZZ73" s="55"/>
      <c r="HAA73" s="55"/>
      <c r="HAB73" s="55"/>
      <c r="HAC73" s="55"/>
      <c r="HAD73" s="55"/>
      <c r="HAE73" s="55"/>
      <c r="HAF73" s="55"/>
      <c r="HAG73" s="55"/>
      <c r="HAH73" s="55"/>
      <c r="HAI73" s="55"/>
      <c r="HAJ73" s="55"/>
      <c r="HAK73" s="55"/>
      <c r="HAL73" s="55"/>
      <c r="HAM73" s="55"/>
      <c r="HAN73" s="55"/>
      <c r="HAO73" s="55"/>
      <c r="HAP73" s="55"/>
      <c r="HAQ73" s="55"/>
      <c r="HAR73" s="55"/>
      <c r="HAS73" s="55"/>
      <c r="HAT73" s="55"/>
      <c r="HAU73" s="55"/>
      <c r="HAV73" s="55"/>
      <c r="HAW73" s="55"/>
      <c r="HAX73" s="55"/>
      <c r="HAY73" s="55"/>
      <c r="HAZ73" s="55"/>
      <c r="HBA73" s="55"/>
      <c r="HBB73" s="55"/>
      <c r="HBC73" s="55"/>
      <c r="HBD73" s="55"/>
      <c r="HBE73" s="55"/>
      <c r="HBF73" s="55"/>
      <c r="HBG73" s="55"/>
      <c r="HBH73" s="55"/>
      <c r="HBI73" s="55"/>
      <c r="HBJ73" s="55"/>
      <c r="HBK73" s="55"/>
      <c r="HBL73" s="55"/>
      <c r="HBM73" s="55"/>
      <c r="HBN73" s="55"/>
      <c r="HBO73" s="55"/>
      <c r="HBP73" s="55"/>
      <c r="HBQ73" s="55"/>
      <c r="HBR73" s="55"/>
      <c r="HBS73" s="55"/>
      <c r="HBT73" s="55"/>
      <c r="HBU73" s="55"/>
      <c r="HBV73" s="55"/>
      <c r="HBW73" s="55"/>
      <c r="HBX73" s="55"/>
      <c r="HBY73" s="55"/>
      <c r="HBZ73" s="55"/>
      <c r="HCA73" s="55"/>
      <c r="HCB73" s="55"/>
      <c r="HCC73" s="55"/>
      <c r="HCD73" s="55"/>
      <c r="HCE73" s="55"/>
      <c r="HCF73" s="55"/>
      <c r="HCG73" s="55"/>
      <c r="HCH73" s="55"/>
      <c r="HCI73" s="55"/>
      <c r="HCJ73" s="55"/>
      <c r="HCK73" s="55"/>
      <c r="HCL73" s="55"/>
      <c r="HCM73" s="55"/>
      <c r="HCN73" s="55"/>
      <c r="HCO73" s="55"/>
      <c r="HCP73" s="55"/>
      <c r="HCQ73" s="55"/>
      <c r="HCR73" s="55"/>
      <c r="HCS73" s="55"/>
      <c r="HCT73" s="55"/>
      <c r="HCU73" s="55"/>
      <c r="HCV73" s="55"/>
      <c r="HCW73" s="55"/>
      <c r="HCX73" s="55"/>
      <c r="HCY73" s="55"/>
      <c r="HCZ73" s="55"/>
      <c r="HDA73" s="55"/>
      <c r="HDB73" s="55"/>
      <c r="HDC73" s="55"/>
      <c r="HDD73" s="55"/>
      <c r="HDE73" s="55"/>
      <c r="HDF73" s="55"/>
      <c r="HDG73" s="55"/>
      <c r="HDH73" s="55"/>
      <c r="HDI73" s="55"/>
      <c r="HDJ73" s="55"/>
      <c r="HDK73" s="55"/>
      <c r="HDL73" s="55"/>
      <c r="HDM73" s="55"/>
      <c r="HDN73" s="55"/>
      <c r="HDO73" s="55"/>
      <c r="HDP73" s="55"/>
      <c r="HDQ73" s="55"/>
      <c r="HDR73" s="55"/>
      <c r="HDS73" s="55"/>
      <c r="HDT73" s="55"/>
      <c r="HDU73" s="55"/>
      <c r="HDV73" s="55"/>
      <c r="HDW73" s="55"/>
      <c r="HDX73" s="55"/>
      <c r="HDY73" s="55"/>
      <c r="HDZ73" s="55"/>
      <c r="HEA73" s="55"/>
      <c r="HEB73" s="55"/>
      <c r="HEC73" s="55"/>
      <c r="HED73" s="55"/>
      <c r="HEE73" s="55"/>
      <c r="HEF73" s="55"/>
      <c r="HEG73" s="55"/>
      <c r="HEH73" s="55"/>
      <c r="HEI73" s="55"/>
      <c r="HEJ73" s="55"/>
      <c r="HEK73" s="55"/>
      <c r="HEL73" s="55"/>
      <c r="HEM73" s="55"/>
      <c r="HEN73" s="55"/>
      <c r="HEO73" s="55"/>
      <c r="HEP73" s="55"/>
      <c r="HEQ73" s="55"/>
      <c r="HER73" s="55"/>
      <c r="HES73" s="55"/>
      <c r="HET73" s="55"/>
      <c r="HEU73" s="55"/>
      <c r="HEV73" s="55"/>
      <c r="HEW73" s="55"/>
      <c r="HEX73" s="55"/>
      <c r="HEY73" s="55"/>
      <c r="HEZ73" s="55"/>
      <c r="HFA73" s="55"/>
      <c r="HFB73" s="55"/>
      <c r="HFC73" s="55"/>
      <c r="HFD73" s="55"/>
      <c r="HFE73" s="55"/>
      <c r="HFF73" s="55"/>
      <c r="HFG73" s="55"/>
      <c r="HFH73" s="55"/>
      <c r="HFI73" s="55"/>
      <c r="HFJ73" s="55"/>
      <c r="HFK73" s="55"/>
      <c r="HFL73" s="55"/>
      <c r="HFM73" s="55"/>
      <c r="HFN73" s="55"/>
      <c r="HFO73" s="55"/>
      <c r="HFP73" s="55"/>
      <c r="HFQ73" s="55"/>
      <c r="HFR73" s="55"/>
      <c r="HFS73" s="55"/>
      <c r="HFT73" s="55"/>
      <c r="HFU73" s="55"/>
      <c r="HFV73" s="55"/>
      <c r="HFW73" s="55"/>
      <c r="HFX73" s="55"/>
      <c r="HFY73" s="55"/>
      <c r="HFZ73" s="55"/>
      <c r="HGA73" s="55"/>
      <c r="HGB73" s="55"/>
      <c r="HGC73" s="55"/>
      <c r="HGD73" s="55"/>
      <c r="HGE73" s="55"/>
      <c r="HGF73" s="55"/>
      <c r="HGG73" s="55"/>
      <c r="HGH73" s="55"/>
      <c r="HGI73" s="55"/>
      <c r="HGJ73" s="55"/>
      <c r="HGK73" s="55"/>
      <c r="HGL73" s="55"/>
      <c r="HGM73" s="55"/>
      <c r="HGN73" s="55"/>
      <c r="HGO73" s="55"/>
      <c r="HGP73" s="55"/>
      <c r="HGQ73" s="55"/>
      <c r="HGR73" s="55"/>
      <c r="HGS73" s="55"/>
      <c r="HGT73" s="55"/>
      <c r="HGU73" s="55"/>
      <c r="HGV73" s="55"/>
      <c r="HGW73" s="55"/>
      <c r="HGX73" s="55"/>
      <c r="HGY73" s="55"/>
      <c r="HGZ73" s="55"/>
      <c r="HHA73" s="55"/>
      <c r="HHB73" s="55"/>
      <c r="HHC73" s="55"/>
      <c r="HHD73" s="55"/>
      <c r="HHE73" s="55"/>
      <c r="HHF73" s="55"/>
      <c r="HHG73" s="55"/>
      <c r="HHH73" s="55"/>
      <c r="HHI73" s="55"/>
      <c r="HHJ73" s="55"/>
      <c r="HHK73" s="55"/>
      <c r="HHL73" s="55"/>
      <c r="HHM73" s="55"/>
      <c r="HHN73" s="55"/>
      <c r="HHO73" s="55"/>
      <c r="HHP73" s="55"/>
      <c r="HHQ73" s="55"/>
      <c r="HHR73" s="55"/>
      <c r="HHS73" s="55"/>
      <c r="HHT73" s="55"/>
      <c r="HHU73" s="55"/>
      <c r="HHV73" s="55"/>
      <c r="HHW73" s="55"/>
      <c r="HHX73" s="55"/>
      <c r="HHY73" s="55"/>
      <c r="HHZ73" s="55"/>
      <c r="HIA73" s="55"/>
      <c r="HIB73" s="55"/>
      <c r="HIC73" s="55"/>
      <c r="HID73" s="55"/>
      <c r="HIE73" s="55"/>
      <c r="HIF73" s="55"/>
      <c r="HIG73" s="55"/>
      <c r="HIH73" s="55"/>
      <c r="HII73" s="55"/>
      <c r="HIJ73" s="55"/>
      <c r="HIK73" s="55"/>
      <c r="HIL73" s="55"/>
      <c r="HIM73" s="55"/>
      <c r="HIN73" s="55"/>
      <c r="HIO73" s="55"/>
      <c r="HIP73" s="55"/>
      <c r="HIQ73" s="55"/>
      <c r="HIR73" s="55"/>
      <c r="HIS73" s="55"/>
      <c r="HIT73" s="55"/>
      <c r="HIU73" s="55"/>
      <c r="HIV73" s="55"/>
      <c r="HIW73" s="55"/>
      <c r="HIX73" s="55"/>
      <c r="HIY73" s="55"/>
      <c r="HIZ73" s="55"/>
      <c r="HJA73" s="55"/>
      <c r="HJB73" s="55"/>
      <c r="HJC73" s="55"/>
      <c r="HJD73" s="55"/>
      <c r="HJE73" s="55"/>
      <c r="HJF73" s="55"/>
      <c r="HJG73" s="55"/>
      <c r="HJH73" s="55"/>
      <c r="HJI73" s="55"/>
      <c r="HJJ73" s="55"/>
      <c r="HJK73" s="55"/>
      <c r="HJL73" s="55"/>
      <c r="HJM73" s="55"/>
      <c r="HJN73" s="55"/>
      <c r="HJO73" s="55"/>
      <c r="HJP73" s="55"/>
      <c r="HJQ73" s="55"/>
      <c r="HJR73" s="55"/>
      <c r="HJS73" s="55"/>
      <c r="HJT73" s="55"/>
      <c r="HJU73" s="55"/>
      <c r="HJV73" s="55"/>
      <c r="HJW73" s="55"/>
      <c r="HJX73" s="55"/>
      <c r="HJY73" s="55"/>
      <c r="HJZ73" s="55"/>
      <c r="HKA73" s="55"/>
      <c r="HKB73" s="55"/>
      <c r="HKC73" s="55"/>
      <c r="HKD73" s="55"/>
      <c r="HKE73" s="55"/>
      <c r="HKF73" s="55"/>
      <c r="HKG73" s="55"/>
      <c r="HKH73" s="55"/>
      <c r="HKI73" s="55"/>
      <c r="HKJ73" s="55"/>
      <c r="HKK73" s="55"/>
      <c r="HKL73" s="55"/>
      <c r="HKM73" s="55"/>
      <c r="HKN73" s="55"/>
      <c r="HKO73" s="55"/>
      <c r="HKP73" s="55"/>
      <c r="HKQ73" s="55"/>
      <c r="HKR73" s="55"/>
      <c r="HKS73" s="55"/>
      <c r="HKT73" s="55"/>
      <c r="HKU73" s="55"/>
      <c r="HKV73" s="55"/>
      <c r="HKW73" s="55"/>
      <c r="HKX73" s="55"/>
      <c r="HKY73" s="55"/>
      <c r="HKZ73" s="55"/>
      <c r="HLA73" s="55"/>
      <c r="HLB73" s="55"/>
      <c r="HLC73" s="55"/>
      <c r="HLD73" s="55"/>
      <c r="HLE73" s="55"/>
      <c r="HLF73" s="55"/>
      <c r="HLG73" s="55"/>
      <c r="HLH73" s="55"/>
      <c r="HLI73" s="55"/>
      <c r="HLJ73" s="55"/>
      <c r="HLK73" s="55"/>
      <c r="HLL73" s="55"/>
      <c r="HLM73" s="55"/>
      <c r="HLN73" s="55"/>
      <c r="HLO73" s="55"/>
      <c r="HLP73" s="55"/>
      <c r="HLQ73" s="55"/>
      <c r="HLR73" s="55"/>
      <c r="HLS73" s="55"/>
      <c r="HLT73" s="55"/>
      <c r="HLU73" s="55"/>
      <c r="HLV73" s="55"/>
      <c r="HLW73" s="55"/>
      <c r="HLX73" s="55"/>
      <c r="HLY73" s="55"/>
      <c r="HLZ73" s="55"/>
      <c r="HMA73" s="55"/>
      <c r="HMB73" s="55"/>
      <c r="HMC73" s="55"/>
      <c r="HMD73" s="55"/>
      <c r="HME73" s="55"/>
      <c r="HMF73" s="55"/>
      <c r="HMG73" s="55"/>
      <c r="HMH73" s="55"/>
      <c r="HMI73" s="55"/>
      <c r="HMJ73" s="55"/>
      <c r="HMK73" s="55"/>
      <c r="HML73" s="55"/>
      <c r="HMM73" s="55"/>
      <c r="HMN73" s="55"/>
      <c r="HMO73" s="55"/>
      <c r="HMP73" s="55"/>
      <c r="HMQ73" s="55"/>
      <c r="HMR73" s="55"/>
      <c r="HMS73" s="55"/>
      <c r="HMT73" s="55"/>
      <c r="HMU73" s="55"/>
      <c r="HMV73" s="55"/>
      <c r="HMW73" s="55"/>
      <c r="HMX73" s="55"/>
      <c r="HMY73" s="55"/>
      <c r="HMZ73" s="55"/>
      <c r="HNA73" s="55"/>
      <c r="HNB73" s="55"/>
      <c r="HNC73" s="55"/>
      <c r="HND73" s="55"/>
      <c r="HNE73" s="55"/>
      <c r="HNF73" s="55"/>
      <c r="HNG73" s="55"/>
      <c r="HNH73" s="55"/>
      <c r="HNI73" s="55"/>
      <c r="HNJ73" s="55"/>
      <c r="HNK73" s="55"/>
      <c r="HNL73" s="55"/>
      <c r="HNM73" s="55"/>
      <c r="HNN73" s="55"/>
      <c r="HNO73" s="55"/>
      <c r="HNP73" s="55"/>
      <c r="HNQ73" s="55"/>
      <c r="HNR73" s="55"/>
      <c r="HNS73" s="55"/>
      <c r="HNT73" s="55"/>
      <c r="HNU73" s="55"/>
      <c r="HNV73" s="55"/>
      <c r="HNW73" s="55"/>
      <c r="HNX73" s="55"/>
      <c r="HNY73" s="55"/>
      <c r="HNZ73" s="55"/>
      <c r="HOA73" s="55"/>
      <c r="HOB73" s="55"/>
      <c r="HOC73" s="55"/>
      <c r="HOD73" s="55"/>
      <c r="HOE73" s="55"/>
      <c r="HOF73" s="55"/>
      <c r="HOG73" s="55"/>
      <c r="HOH73" s="55"/>
      <c r="HOI73" s="55"/>
      <c r="HOJ73" s="55"/>
      <c r="HOK73" s="55"/>
      <c r="HOL73" s="55"/>
      <c r="HOM73" s="55"/>
      <c r="HON73" s="55"/>
      <c r="HOO73" s="55"/>
      <c r="HOP73" s="55"/>
      <c r="HOQ73" s="55"/>
      <c r="HOR73" s="55"/>
      <c r="HOS73" s="55"/>
      <c r="HOT73" s="55"/>
      <c r="HOU73" s="55"/>
      <c r="HOV73" s="55"/>
      <c r="HOW73" s="55"/>
      <c r="HOX73" s="55"/>
      <c r="HOY73" s="55"/>
      <c r="HOZ73" s="55"/>
      <c r="HPA73" s="55"/>
      <c r="HPB73" s="55"/>
      <c r="HPC73" s="55"/>
      <c r="HPD73" s="55"/>
      <c r="HPE73" s="55"/>
      <c r="HPF73" s="55"/>
      <c r="HPG73" s="55"/>
      <c r="HPH73" s="55"/>
      <c r="HPI73" s="55"/>
      <c r="HPJ73" s="55"/>
      <c r="HPK73" s="55"/>
      <c r="HPL73" s="55"/>
      <c r="HPM73" s="55"/>
      <c r="HPN73" s="55"/>
      <c r="HPO73" s="55"/>
      <c r="HPP73" s="55"/>
      <c r="HPQ73" s="55"/>
      <c r="HPR73" s="55"/>
      <c r="HPS73" s="55"/>
      <c r="HPT73" s="55"/>
      <c r="HPU73" s="55"/>
      <c r="HPV73" s="55"/>
      <c r="HPW73" s="55"/>
      <c r="HPX73" s="55"/>
      <c r="HPY73" s="55"/>
      <c r="HPZ73" s="55"/>
      <c r="HQA73" s="55"/>
      <c r="HQB73" s="55"/>
      <c r="HQC73" s="55"/>
      <c r="HQD73" s="55"/>
      <c r="HQE73" s="55"/>
      <c r="HQF73" s="55"/>
      <c r="HQG73" s="55"/>
      <c r="HQH73" s="55"/>
      <c r="HQI73" s="55"/>
      <c r="HQJ73" s="55"/>
      <c r="HQK73" s="55"/>
      <c r="HQL73" s="55"/>
      <c r="HQM73" s="55"/>
      <c r="HQN73" s="55"/>
      <c r="HQO73" s="55"/>
      <c r="HQP73" s="55"/>
      <c r="HQQ73" s="55"/>
      <c r="HQR73" s="55"/>
      <c r="HQS73" s="55"/>
      <c r="HQT73" s="55"/>
      <c r="HQU73" s="55"/>
      <c r="HQV73" s="55"/>
      <c r="HQW73" s="55"/>
      <c r="HQX73" s="55"/>
      <c r="HQY73" s="55"/>
      <c r="HQZ73" s="55"/>
      <c r="HRA73" s="55"/>
      <c r="HRB73" s="55"/>
      <c r="HRC73" s="55"/>
      <c r="HRD73" s="55"/>
      <c r="HRE73" s="55"/>
      <c r="HRF73" s="55"/>
      <c r="HRG73" s="55"/>
      <c r="HRH73" s="55"/>
      <c r="HRI73" s="55"/>
      <c r="HRJ73" s="55"/>
      <c r="HRK73" s="55"/>
      <c r="HRL73" s="55"/>
      <c r="HRM73" s="55"/>
      <c r="HRN73" s="55"/>
      <c r="HRO73" s="55"/>
      <c r="HRP73" s="55"/>
      <c r="HRQ73" s="55"/>
      <c r="HRR73" s="55"/>
      <c r="HRS73" s="55"/>
      <c r="HRT73" s="55"/>
      <c r="HRU73" s="55"/>
      <c r="HRV73" s="55"/>
      <c r="HRW73" s="55"/>
      <c r="HRX73" s="55"/>
      <c r="HRY73" s="55"/>
      <c r="HRZ73" s="55"/>
      <c r="HSA73" s="55"/>
      <c r="HSB73" s="55"/>
      <c r="HSC73" s="55"/>
      <c r="HSD73" s="55"/>
      <c r="HSE73" s="55"/>
      <c r="HSF73" s="55"/>
      <c r="HSG73" s="55"/>
      <c r="HSH73" s="55"/>
      <c r="HSI73" s="55"/>
      <c r="HSJ73" s="55"/>
      <c r="HSK73" s="55"/>
      <c r="HSL73" s="55"/>
      <c r="HSM73" s="55"/>
      <c r="HSN73" s="55"/>
      <c r="HSO73" s="55"/>
      <c r="HSP73" s="55"/>
      <c r="HSQ73" s="55"/>
      <c r="HSR73" s="55"/>
      <c r="HSS73" s="55"/>
      <c r="HST73" s="55"/>
      <c r="HSU73" s="55"/>
      <c r="HSV73" s="55"/>
      <c r="HSW73" s="55"/>
      <c r="HSX73" s="55"/>
      <c r="HSY73" s="55"/>
      <c r="HSZ73" s="55"/>
      <c r="HTA73" s="55"/>
      <c r="HTB73" s="55"/>
      <c r="HTC73" s="55"/>
      <c r="HTD73" s="55"/>
      <c r="HTE73" s="55"/>
      <c r="HTF73" s="55"/>
      <c r="HTG73" s="55"/>
      <c r="HTH73" s="55"/>
      <c r="HTI73" s="55"/>
      <c r="HTJ73" s="55"/>
      <c r="HTK73" s="55"/>
      <c r="HTL73" s="55"/>
      <c r="HTM73" s="55"/>
      <c r="HTN73" s="55"/>
      <c r="HTO73" s="55"/>
      <c r="HTP73" s="55"/>
      <c r="HTQ73" s="55"/>
      <c r="HTR73" s="55"/>
      <c r="HTS73" s="55"/>
      <c r="HTT73" s="55"/>
      <c r="HTU73" s="55"/>
      <c r="HTV73" s="55"/>
      <c r="HTW73" s="55"/>
      <c r="HTX73" s="55"/>
      <c r="HTY73" s="55"/>
      <c r="HTZ73" s="55"/>
      <c r="HUA73" s="55"/>
      <c r="HUB73" s="55"/>
      <c r="HUC73" s="55"/>
      <c r="HUD73" s="55"/>
      <c r="HUE73" s="55"/>
      <c r="HUF73" s="55"/>
      <c r="HUG73" s="55"/>
      <c r="HUH73" s="55"/>
      <c r="HUI73" s="55"/>
      <c r="HUJ73" s="55"/>
      <c r="HUK73" s="55"/>
      <c r="HUL73" s="55"/>
      <c r="HUM73" s="55"/>
      <c r="HUN73" s="55"/>
      <c r="HUO73" s="55"/>
      <c r="HUP73" s="55"/>
      <c r="HUQ73" s="55"/>
      <c r="HUR73" s="55"/>
      <c r="HUS73" s="55"/>
      <c r="HUT73" s="55"/>
      <c r="HUU73" s="55"/>
      <c r="HUV73" s="55"/>
      <c r="HUW73" s="55"/>
      <c r="HUX73" s="55"/>
      <c r="HUY73" s="55"/>
      <c r="HUZ73" s="55"/>
      <c r="HVA73" s="55"/>
      <c r="HVB73" s="55"/>
      <c r="HVC73" s="55"/>
      <c r="HVD73" s="55"/>
      <c r="HVE73" s="55"/>
      <c r="HVF73" s="55"/>
      <c r="HVG73" s="55"/>
      <c r="HVH73" s="55"/>
      <c r="HVI73" s="55"/>
      <c r="HVJ73" s="55"/>
      <c r="HVK73" s="55"/>
      <c r="HVL73" s="55"/>
      <c r="HVM73" s="55"/>
      <c r="HVN73" s="55"/>
      <c r="HVO73" s="55"/>
      <c r="HVP73" s="55"/>
      <c r="HVQ73" s="55"/>
      <c r="HVR73" s="55"/>
      <c r="HVS73" s="55"/>
      <c r="HVT73" s="55"/>
      <c r="HVU73" s="55"/>
      <c r="HVV73" s="55"/>
      <c r="HVW73" s="55"/>
      <c r="HVX73" s="55"/>
      <c r="HVY73" s="55"/>
      <c r="HVZ73" s="55"/>
      <c r="HWA73" s="55"/>
      <c r="HWB73" s="55"/>
      <c r="HWC73" s="55"/>
      <c r="HWD73" s="55"/>
      <c r="HWE73" s="55"/>
      <c r="HWF73" s="55"/>
      <c r="HWG73" s="55"/>
      <c r="HWH73" s="55"/>
      <c r="HWI73" s="55"/>
      <c r="HWJ73" s="55"/>
      <c r="HWK73" s="55"/>
      <c r="HWL73" s="55"/>
      <c r="HWM73" s="55"/>
      <c r="HWN73" s="55"/>
      <c r="HWO73" s="55"/>
      <c r="HWP73" s="55"/>
      <c r="HWQ73" s="55"/>
      <c r="HWR73" s="55"/>
      <c r="HWS73" s="55"/>
      <c r="HWT73" s="55"/>
      <c r="HWU73" s="55"/>
      <c r="HWV73" s="55"/>
      <c r="HWW73" s="55"/>
      <c r="HWX73" s="55"/>
      <c r="HWY73" s="55"/>
      <c r="HWZ73" s="55"/>
      <c r="HXA73" s="55"/>
      <c r="HXB73" s="55"/>
      <c r="HXC73" s="55"/>
      <c r="HXD73" s="55"/>
      <c r="HXE73" s="55"/>
      <c r="HXF73" s="55"/>
      <c r="HXG73" s="55"/>
      <c r="HXH73" s="55"/>
      <c r="HXI73" s="55"/>
      <c r="HXJ73" s="55"/>
      <c r="HXK73" s="55"/>
      <c r="HXL73" s="55"/>
      <c r="HXM73" s="55"/>
      <c r="HXN73" s="55"/>
      <c r="HXO73" s="55"/>
      <c r="HXP73" s="55"/>
      <c r="HXQ73" s="55"/>
      <c r="HXR73" s="55"/>
      <c r="HXS73" s="55"/>
      <c r="HXT73" s="55"/>
      <c r="HXU73" s="55"/>
      <c r="HXV73" s="55"/>
      <c r="HXW73" s="55"/>
      <c r="HXX73" s="55"/>
      <c r="HXY73" s="55"/>
      <c r="HXZ73" s="55"/>
      <c r="HYA73" s="55"/>
      <c r="HYB73" s="55"/>
      <c r="HYC73" s="55"/>
      <c r="HYD73" s="55"/>
      <c r="HYE73" s="55"/>
      <c r="HYF73" s="55"/>
      <c r="HYG73" s="55"/>
      <c r="HYH73" s="55"/>
      <c r="HYI73" s="55"/>
      <c r="HYJ73" s="55"/>
      <c r="HYK73" s="55"/>
      <c r="HYL73" s="55"/>
      <c r="HYM73" s="55"/>
      <c r="HYN73" s="55"/>
      <c r="HYO73" s="55"/>
      <c r="HYP73" s="55"/>
      <c r="HYQ73" s="55"/>
      <c r="HYR73" s="55"/>
      <c r="HYS73" s="55"/>
      <c r="HYT73" s="55"/>
      <c r="HYU73" s="55"/>
      <c r="HYV73" s="55"/>
      <c r="HYW73" s="55"/>
      <c r="HYX73" s="55"/>
      <c r="HYY73" s="55"/>
      <c r="HYZ73" s="55"/>
      <c r="HZA73" s="55"/>
      <c r="HZB73" s="55"/>
      <c r="HZC73" s="55"/>
      <c r="HZD73" s="55"/>
      <c r="HZE73" s="55"/>
      <c r="HZF73" s="55"/>
      <c r="HZG73" s="55"/>
      <c r="HZH73" s="55"/>
      <c r="HZI73" s="55"/>
      <c r="HZJ73" s="55"/>
      <c r="HZK73" s="55"/>
      <c r="HZL73" s="55"/>
      <c r="HZM73" s="55"/>
      <c r="HZN73" s="55"/>
      <c r="HZO73" s="55"/>
      <c r="HZP73" s="55"/>
      <c r="HZQ73" s="55"/>
      <c r="HZR73" s="55"/>
      <c r="HZS73" s="55"/>
      <c r="HZT73" s="55"/>
      <c r="HZU73" s="55"/>
      <c r="HZV73" s="55"/>
      <c r="HZW73" s="55"/>
      <c r="HZX73" s="55"/>
      <c r="HZY73" s="55"/>
      <c r="HZZ73" s="55"/>
      <c r="IAA73" s="55"/>
      <c r="IAB73" s="55"/>
      <c r="IAC73" s="55"/>
      <c r="IAD73" s="55"/>
      <c r="IAE73" s="55"/>
      <c r="IAF73" s="55"/>
      <c r="IAG73" s="55"/>
      <c r="IAH73" s="55"/>
      <c r="IAI73" s="55"/>
      <c r="IAJ73" s="55"/>
      <c r="IAK73" s="55"/>
      <c r="IAL73" s="55"/>
      <c r="IAM73" s="55"/>
      <c r="IAN73" s="55"/>
      <c r="IAO73" s="55"/>
      <c r="IAP73" s="55"/>
      <c r="IAQ73" s="55"/>
      <c r="IAR73" s="55"/>
      <c r="IAS73" s="55"/>
      <c r="IAT73" s="55"/>
      <c r="IAU73" s="55"/>
      <c r="IAV73" s="55"/>
      <c r="IAW73" s="55"/>
      <c r="IAX73" s="55"/>
      <c r="IAY73" s="55"/>
      <c r="IAZ73" s="55"/>
      <c r="IBA73" s="55"/>
      <c r="IBB73" s="55"/>
      <c r="IBC73" s="55"/>
      <c r="IBD73" s="55"/>
      <c r="IBE73" s="55"/>
      <c r="IBF73" s="55"/>
      <c r="IBG73" s="55"/>
      <c r="IBH73" s="55"/>
      <c r="IBI73" s="55"/>
      <c r="IBJ73" s="55"/>
      <c r="IBK73" s="55"/>
      <c r="IBL73" s="55"/>
      <c r="IBM73" s="55"/>
      <c r="IBN73" s="55"/>
      <c r="IBO73" s="55"/>
      <c r="IBP73" s="55"/>
      <c r="IBQ73" s="55"/>
      <c r="IBR73" s="55"/>
      <c r="IBS73" s="55"/>
      <c r="IBT73" s="55"/>
      <c r="IBU73" s="55"/>
      <c r="IBV73" s="55"/>
      <c r="IBW73" s="55"/>
      <c r="IBX73" s="55"/>
      <c r="IBY73" s="55"/>
      <c r="IBZ73" s="55"/>
      <c r="ICA73" s="55"/>
      <c r="ICB73" s="55"/>
      <c r="ICC73" s="55"/>
      <c r="ICD73" s="55"/>
      <c r="ICE73" s="55"/>
      <c r="ICF73" s="55"/>
      <c r="ICG73" s="55"/>
      <c r="ICH73" s="55"/>
      <c r="ICI73" s="55"/>
      <c r="ICJ73" s="55"/>
      <c r="ICK73" s="55"/>
      <c r="ICL73" s="55"/>
      <c r="ICM73" s="55"/>
      <c r="ICN73" s="55"/>
      <c r="ICO73" s="55"/>
      <c r="ICP73" s="55"/>
      <c r="ICQ73" s="55"/>
      <c r="ICR73" s="55"/>
      <c r="ICS73" s="55"/>
      <c r="ICT73" s="55"/>
      <c r="ICU73" s="55"/>
      <c r="ICV73" s="55"/>
      <c r="ICW73" s="55"/>
      <c r="ICX73" s="55"/>
      <c r="ICY73" s="55"/>
      <c r="ICZ73" s="55"/>
      <c r="IDA73" s="55"/>
      <c r="IDB73" s="55"/>
      <c r="IDC73" s="55"/>
      <c r="IDD73" s="55"/>
      <c r="IDE73" s="55"/>
      <c r="IDF73" s="55"/>
      <c r="IDG73" s="55"/>
      <c r="IDH73" s="55"/>
      <c r="IDI73" s="55"/>
      <c r="IDJ73" s="55"/>
      <c r="IDK73" s="55"/>
      <c r="IDL73" s="55"/>
      <c r="IDM73" s="55"/>
      <c r="IDN73" s="55"/>
      <c r="IDO73" s="55"/>
      <c r="IDP73" s="55"/>
      <c r="IDQ73" s="55"/>
      <c r="IDR73" s="55"/>
      <c r="IDS73" s="55"/>
      <c r="IDT73" s="55"/>
      <c r="IDU73" s="55"/>
      <c r="IDV73" s="55"/>
      <c r="IDW73" s="55"/>
      <c r="IDX73" s="55"/>
      <c r="IDY73" s="55"/>
      <c r="IDZ73" s="55"/>
      <c r="IEA73" s="55"/>
      <c r="IEB73" s="55"/>
      <c r="IEC73" s="55"/>
      <c r="IED73" s="55"/>
      <c r="IEE73" s="55"/>
      <c r="IEF73" s="55"/>
      <c r="IEG73" s="55"/>
      <c r="IEH73" s="55"/>
      <c r="IEI73" s="55"/>
      <c r="IEJ73" s="55"/>
      <c r="IEK73" s="55"/>
      <c r="IEL73" s="55"/>
      <c r="IEM73" s="55"/>
      <c r="IEN73" s="55"/>
      <c r="IEO73" s="55"/>
      <c r="IEP73" s="55"/>
      <c r="IEQ73" s="55"/>
      <c r="IER73" s="55"/>
      <c r="IES73" s="55"/>
      <c r="IET73" s="55"/>
      <c r="IEU73" s="55"/>
      <c r="IEV73" s="55"/>
      <c r="IEW73" s="55"/>
      <c r="IEX73" s="55"/>
      <c r="IEY73" s="55"/>
      <c r="IEZ73" s="55"/>
      <c r="IFA73" s="55"/>
      <c r="IFB73" s="55"/>
      <c r="IFC73" s="55"/>
      <c r="IFD73" s="55"/>
      <c r="IFE73" s="55"/>
      <c r="IFF73" s="55"/>
      <c r="IFG73" s="55"/>
      <c r="IFH73" s="55"/>
      <c r="IFI73" s="55"/>
      <c r="IFJ73" s="55"/>
      <c r="IFK73" s="55"/>
      <c r="IFL73" s="55"/>
      <c r="IFM73" s="55"/>
      <c r="IFN73" s="55"/>
      <c r="IFO73" s="55"/>
      <c r="IFP73" s="55"/>
      <c r="IFQ73" s="55"/>
      <c r="IFR73" s="55"/>
      <c r="IFS73" s="55"/>
      <c r="IFT73" s="55"/>
      <c r="IFU73" s="55"/>
      <c r="IFV73" s="55"/>
      <c r="IFW73" s="55"/>
      <c r="IFX73" s="55"/>
      <c r="IFY73" s="55"/>
      <c r="IFZ73" s="55"/>
      <c r="IGA73" s="55"/>
      <c r="IGB73" s="55"/>
      <c r="IGC73" s="55"/>
      <c r="IGD73" s="55"/>
      <c r="IGE73" s="55"/>
      <c r="IGF73" s="55"/>
      <c r="IGG73" s="55"/>
      <c r="IGH73" s="55"/>
      <c r="IGI73" s="55"/>
      <c r="IGJ73" s="55"/>
      <c r="IGK73" s="55"/>
      <c r="IGL73" s="55"/>
      <c r="IGM73" s="55"/>
      <c r="IGN73" s="55"/>
      <c r="IGO73" s="55"/>
      <c r="IGP73" s="55"/>
      <c r="IGQ73" s="55"/>
      <c r="IGR73" s="55"/>
      <c r="IGS73" s="55"/>
      <c r="IGT73" s="55"/>
      <c r="IGU73" s="55"/>
      <c r="IGV73" s="55"/>
      <c r="IGW73" s="55"/>
      <c r="IGX73" s="55"/>
      <c r="IGY73" s="55"/>
      <c r="IGZ73" s="55"/>
      <c r="IHA73" s="55"/>
      <c r="IHB73" s="55"/>
      <c r="IHC73" s="55"/>
      <c r="IHD73" s="55"/>
      <c r="IHE73" s="55"/>
      <c r="IHF73" s="55"/>
      <c r="IHG73" s="55"/>
      <c r="IHH73" s="55"/>
      <c r="IHI73" s="55"/>
      <c r="IHJ73" s="55"/>
      <c r="IHK73" s="55"/>
      <c r="IHL73" s="55"/>
      <c r="IHM73" s="55"/>
      <c r="IHN73" s="55"/>
      <c r="IHO73" s="55"/>
      <c r="IHP73" s="55"/>
      <c r="IHQ73" s="55"/>
      <c r="IHR73" s="55"/>
      <c r="IHS73" s="55"/>
      <c r="IHT73" s="55"/>
      <c r="IHU73" s="55"/>
      <c r="IHV73" s="55"/>
      <c r="IHW73" s="55"/>
      <c r="IHX73" s="55"/>
      <c r="IHY73" s="55"/>
      <c r="IHZ73" s="55"/>
      <c r="IIA73" s="55"/>
      <c r="IIB73" s="55"/>
      <c r="IIC73" s="55"/>
      <c r="IID73" s="55"/>
      <c r="IIE73" s="55"/>
      <c r="IIF73" s="55"/>
      <c r="IIG73" s="55"/>
      <c r="IIH73" s="55"/>
      <c r="III73" s="55"/>
      <c r="IIJ73" s="55"/>
      <c r="IIK73" s="55"/>
      <c r="IIL73" s="55"/>
      <c r="IIM73" s="55"/>
      <c r="IIN73" s="55"/>
      <c r="IIO73" s="55"/>
      <c r="IIP73" s="55"/>
      <c r="IIQ73" s="55"/>
      <c r="IIR73" s="55"/>
      <c r="IIS73" s="55"/>
      <c r="IIT73" s="55"/>
      <c r="IIU73" s="55"/>
      <c r="IIV73" s="55"/>
      <c r="IIW73" s="55"/>
      <c r="IIX73" s="55"/>
      <c r="IIY73" s="55"/>
      <c r="IIZ73" s="55"/>
      <c r="IJA73" s="55"/>
      <c r="IJB73" s="55"/>
      <c r="IJC73" s="55"/>
      <c r="IJD73" s="55"/>
      <c r="IJE73" s="55"/>
      <c r="IJF73" s="55"/>
      <c r="IJG73" s="55"/>
      <c r="IJH73" s="55"/>
      <c r="IJI73" s="55"/>
      <c r="IJJ73" s="55"/>
      <c r="IJK73" s="55"/>
      <c r="IJL73" s="55"/>
      <c r="IJM73" s="55"/>
      <c r="IJN73" s="55"/>
      <c r="IJO73" s="55"/>
      <c r="IJP73" s="55"/>
      <c r="IJQ73" s="55"/>
      <c r="IJR73" s="55"/>
      <c r="IJS73" s="55"/>
      <c r="IJT73" s="55"/>
      <c r="IJU73" s="55"/>
      <c r="IJV73" s="55"/>
      <c r="IJW73" s="55"/>
      <c r="IJX73" s="55"/>
      <c r="IJY73" s="55"/>
      <c r="IJZ73" s="55"/>
      <c r="IKA73" s="55"/>
      <c r="IKB73" s="55"/>
      <c r="IKC73" s="55"/>
      <c r="IKD73" s="55"/>
      <c r="IKE73" s="55"/>
      <c r="IKF73" s="55"/>
      <c r="IKG73" s="55"/>
      <c r="IKH73" s="55"/>
      <c r="IKI73" s="55"/>
      <c r="IKJ73" s="55"/>
      <c r="IKK73" s="55"/>
      <c r="IKL73" s="55"/>
      <c r="IKM73" s="55"/>
      <c r="IKN73" s="55"/>
      <c r="IKO73" s="55"/>
      <c r="IKP73" s="55"/>
      <c r="IKQ73" s="55"/>
      <c r="IKR73" s="55"/>
      <c r="IKS73" s="55"/>
      <c r="IKT73" s="55"/>
      <c r="IKU73" s="55"/>
      <c r="IKV73" s="55"/>
      <c r="IKW73" s="55"/>
      <c r="IKX73" s="55"/>
      <c r="IKY73" s="55"/>
      <c r="IKZ73" s="55"/>
      <c r="ILA73" s="55"/>
      <c r="ILB73" s="55"/>
      <c r="ILC73" s="55"/>
      <c r="ILD73" s="55"/>
      <c r="ILE73" s="55"/>
      <c r="ILF73" s="55"/>
      <c r="ILG73" s="55"/>
      <c r="ILH73" s="55"/>
      <c r="ILI73" s="55"/>
      <c r="ILJ73" s="55"/>
      <c r="ILK73" s="55"/>
      <c r="ILL73" s="55"/>
      <c r="ILM73" s="55"/>
      <c r="ILN73" s="55"/>
      <c r="ILO73" s="55"/>
      <c r="ILP73" s="55"/>
      <c r="ILQ73" s="55"/>
      <c r="ILR73" s="55"/>
      <c r="ILS73" s="55"/>
      <c r="ILT73" s="55"/>
      <c r="ILU73" s="55"/>
      <c r="ILV73" s="55"/>
      <c r="ILW73" s="55"/>
      <c r="ILX73" s="55"/>
      <c r="ILY73" s="55"/>
      <c r="ILZ73" s="55"/>
      <c r="IMA73" s="55"/>
      <c r="IMB73" s="55"/>
      <c r="IMC73" s="55"/>
      <c r="IMD73" s="55"/>
      <c r="IME73" s="55"/>
      <c r="IMF73" s="55"/>
      <c r="IMG73" s="55"/>
      <c r="IMH73" s="55"/>
      <c r="IMI73" s="55"/>
      <c r="IMJ73" s="55"/>
      <c r="IMK73" s="55"/>
      <c r="IML73" s="55"/>
      <c r="IMM73" s="55"/>
      <c r="IMN73" s="55"/>
      <c r="IMO73" s="55"/>
      <c r="IMP73" s="55"/>
      <c r="IMQ73" s="55"/>
      <c r="IMR73" s="55"/>
      <c r="IMS73" s="55"/>
      <c r="IMT73" s="55"/>
      <c r="IMU73" s="55"/>
      <c r="IMV73" s="55"/>
      <c r="IMW73" s="55"/>
      <c r="IMX73" s="55"/>
      <c r="IMY73" s="55"/>
      <c r="IMZ73" s="55"/>
      <c r="INA73" s="55"/>
      <c r="INB73" s="55"/>
      <c r="INC73" s="55"/>
      <c r="IND73" s="55"/>
      <c r="INE73" s="55"/>
      <c r="INF73" s="55"/>
      <c r="ING73" s="55"/>
      <c r="INH73" s="55"/>
      <c r="INI73" s="55"/>
      <c r="INJ73" s="55"/>
      <c r="INK73" s="55"/>
      <c r="INL73" s="55"/>
      <c r="INM73" s="55"/>
      <c r="INN73" s="55"/>
      <c r="INO73" s="55"/>
      <c r="INP73" s="55"/>
      <c r="INQ73" s="55"/>
      <c r="INR73" s="55"/>
      <c r="INS73" s="55"/>
      <c r="INT73" s="55"/>
      <c r="INU73" s="55"/>
      <c r="INV73" s="55"/>
      <c r="INW73" s="55"/>
      <c r="INX73" s="55"/>
      <c r="INY73" s="55"/>
      <c r="INZ73" s="55"/>
      <c r="IOA73" s="55"/>
      <c r="IOB73" s="55"/>
      <c r="IOC73" s="55"/>
      <c r="IOD73" s="55"/>
      <c r="IOE73" s="55"/>
      <c r="IOF73" s="55"/>
      <c r="IOG73" s="55"/>
      <c r="IOH73" s="55"/>
      <c r="IOI73" s="55"/>
      <c r="IOJ73" s="55"/>
      <c r="IOK73" s="55"/>
      <c r="IOL73" s="55"/>
      <c r="IOM73" s="55"/>
      <c r="ION73" s="55"/>
      <c r="IOO73" s="55"/>
      <c r="IOP73" s="55"/>
      <c r="IOQ73" s="55"/>
      <c r="IOR73" s="55"/>
      <c r="IOS73" s="55"/>
      <c r="IOT73" s="55"/>
      <c r="IOU73" s="55"/>
      <c r="IOV73" s="55"/>
      <c r="IOW73" s="55"/>
      <c r="IOX73" s="55"/>
      <c r="IOY73" s="55"/>
      <c r="IOZ73" s="55"/>
      <c r="IPA73" s="55"/>
      <c r="IPB73" s="55"/>
      <c r="IPC73" s="55"/>
      <c r="IPD73" s="55"/>
      <c r="IPE73" s="55"/>
      <c r="IPF73" s="55"/>
      <c r="IPG73" s="55"/>
      <c r="IPH73" s="55"/>
      <c r="IPI73" s="55"/>
      <c r="IPJ73" s="55"/>
      <c r="IPK73" s="55"/>
      <c r="IPL73" s="55"/>
      <c r="IPM73" s="55"/>
      <c r="IPN73" s="55"/>
      <c r="IPO73" s="55"/>
      <c r="IPP73" s="55"/>
      <c r="IPQ73" s="55"/>
      <c r="IPR73" s="55"/>
      <c r="IPS73" s="55"/>
      <c r="IPT73" s="55"/>
      <c r="IPU73" s="55"/>
      <c r="IPV73" s="55"/>
      <c r="IPW73" s="55"/>
      <c r="IPX73" s="55"/>
      <c r="IPY73" s="55"/>
      <c r="IPZ73" s="55"/>
      <c r="IQA73" s="55"/>
      <c r="IQB73" s="55"/>
      <c r="IQC73" s="55"/>
      <c r="IQD73" s="55"/>
      <c r="IQE73" s="55"/>
      <c r="IQF73" s="55"/>
      <c r="IQG73" s="55"/>
      <c r="IQH73" s="55"/>
      <c r="IQI73" s="55"/>
      <c r="IQJ73" s="55"/>
      <c r="IQK73" s="55"/>
      <c r="IQL73" s="55"/>
      <c r="IQM73" s="55"/>
      <c r="IQN73" s="55"/>
      <c r="IQO73" s="55"/>
      <c r="IQP73" s="55"/>
      <c r="IQQ73" s="55"/>
      <c r="IQR73" s="55"/>
      <c r="IQS73" s="55"/>
      <c r="IQT73" s="55"/>
      <c r="IQU73" s="55"/>
      <c r="IQV73" s="55"/>
      <c r="IQW73" s="55"/>
      <c r="IQX73" s="55"/>
      <c r="IQY73" s="55"/>
      <c r="IQZ73" s="55"/>
      <c r="IRA73" s="55"/>
      <c r="IRB73" s="55"/>
      <c r="IRC73" s="55"/>
      <c r="IRD73" s="55"/>
      <c r="IRE73" s="55"/>
      <c r="IRF73" s="55"/>
      <c r="IRG73" s="55"/>
      <c r="IRH73" s="55"/>
      <c r="IRI73" s="55"/>
      <c r="IRJ73" s="55"/>
      <c r="IRK73" s="55"/>
      <c r="IRL73" s="55"/>
      <c r="IRM73" s="55"/>
      <c r="IRN73" s="55"/>
      <c r="IRO73" s="55"/>
      <c r="IRP73" s="55"/>
      <c r="IRQ73" s="55"/>
      <c r="IRR73" s="55"/>
      <c r="IRS73" s="55"/>
      <c r="IRT73" s="55"/>
      <c r="IRU73" s="55"/>
      <c r="IRV73" s="55"/>
      <c r="IRW73" s="55"/>
      <c r="IRX73" s="55"/>
      <c r="IRY73" s="55"/>
      <c r="IRZ73" s="55"/>
      <c r="ISA73" s="55"/>
      <c r="ISB73" s="55"/>
      <c r="ISC73" s="55"/>
      <c r="ISD73" s="55"/>
      <c r="ISE73" s="55"/>
      <c r="ISF73" s="55"/>
      <c r="ISG73" s="55"/>
      <c r="ISH73" s="55"/>
      <c r="ISI73" s="55"/>
      <c r="ISJ73" s="55"/>
      <c r="ISK73" s="55"/>
      <c r="ISL73" s="55"/>
      <c r="ISM73" s="55"/>
      <c r="ISN73" s="55"/>
      <c r="ISO73" s="55"/>
      <c r="ISP73" s="55"/>
      <c r="ISQ73" s="55"/>
      <c r="ISR73" s="55"/>
      <c r="ISS73" s="55"/>
      <c r="IST73" s="55"/>
      <c r="ISU73" s="55"/>
      <c r="ISV73" s="55"/>
      <c r="ISW73" s="55"/>
      <c r="ISX73" s="55"/>
      <c r="ISY73" s="55"/>
      <c r="ISZ73" s="55"/>
      <c r="ITA73" s="55"/>
      <c r="ITB73" s="55"/>
      <c r="ITC73" s="55"/>
      <c r="ITD73" s="55"/>
      <c r="ITE73" s="55"/>
      <c r="ITF73" s="55"/>
      <c r="ITG73" s="55"/>
      <c r="ITH73" s="55"/>
      <c r="ITI73" s="55"/>
      <c r="ITJ73" s="55"/>
      <c r="ITK73" s="55"/>
      <c r="ITL73" s="55"/>
      <c r="ITM73" s="55"/>
      <c r="ITN73" s="55"/>
      <c r="ITO73" s="55"/>
      <c r="ITP73" s="55"/>
      <c r="ITQ73" s="55"/>
      <c r="ITR73" s="55"/>
      <c r="ITS73" s="55"/>
      <c r="ITT73" s="55"/>
      <c r="ITU73" s="55"/>
      <c r="ITV73" s="55"/>
      <c r="ITW73" s="55"/>
      <c r="ITX73" s="55"/>
      <c r="ITY73" s="55"/>
      <c r="ITZ73" s="55"/>
      <c r="IUA73" s="55"/>
      <c r="IUB73" s="55"/>
      <c r="IUC73" s="55"/>
      <c r="IUD73" s="55"/>
      <c r="IUE73" s="55"/>
      <c r="IUF73" s="55"/>
      <c r="IUG73" s="55"/>
      <c r="IUH73" s="55"/>
      <c r="IUI73" s="55"/>
      <c r="IUJ73" s="55"/>
      <c r="IUK73" s="55"/>
      <c r="IUL73" s="55"/>
      <c r="IUM73" s="55"/>
      <c r="IUN73" s="55"/>
      <c r="IUO73" s="55"/>
      <c r="IUP73" s="55"/>
      <c r="IUQ73" s="55"/>
      <c r="IUR73" s="55"/>
      <c r="IUS73" s="55"/>
      <c r="IUT73" s="55"/>
      <c r="IUU73" s="55"/>
      <c r="IUV73" s="55"/>
      <c r="IUW73" s="55"/>
      <c r="IUX73" s="55"/>
      <c r="IUY73" s="55"/>
      <c r="IUZ73" s="55"/>
      <c r="IVA73" s="55"/>
      <c r="IVB73" s="55"/>
      <c r="IVC73" s="55"/>
      <c r="IVD73" s="55"/>
      <c r="IVE73" s="55"/>
      <c r="IVF73" s="55"/>
      <c r="IVG73" s="55"/>
      <c r="IVH73" s="55"/>
      <c r="IVI73" s="55"/>
      <c r="IVJ73" s="55"/>
      <c r="IVK73" s="55"/>
      <c r="IVL73" s="55"/>
      <c r="IVM73" s="55"/>
      <c r="IVN73" s="55"/>
      <c r="IVO73" s="55"/>
      <c r="IVP73" s="55"/>
      <c r="IVQ73" s="55"/>
      <c r="IVR73" s="55"/>
      <c r="IVS73" s="55"/>
      <c r="IVT73" s="55"/>
      <c r="IVU73" s="55"/>
      <c r="IVV73" s="55"/>
      <c r="IVW73" s="55"/>
      <c r="IVX73" s="55"/>
      <c r="IVY73" s="55"/>
      <c r="IVZ73" s="55"/>
      <c r="IWA73" s="55"/>
      <c r="IWB73" s="55"/>
      <c r="IWC73" s="55"/>
      <c r="IWD73" s="55"/>
      <c r="IWE73" s="55"/>
      <c r="IWF73" s="55"/>
      <c r="IWG73" s="55"/>
      <c r="IWH73" s="55"/>
      <c r="IWI73" s="55"/>
      <c r="IWJ73" s="55"/>
      <c r="IWK73" s="55"/>
      <c r="IWL73" s="55"/>
      <c r="IWM73" s="55"/>
      <c r="IWN73" s="55"/>
      <c r="IWO73" s="55"/>
      <c r="IWP73" s="55"/>
      <c r="IWQ73" s="55"/>
      <c r="IWR73" s="55"/>
      <c r="IWS73" s="55"/>
      <c r="IWT73" s="55"/>
      <c r="IWU73" s="55"/>
      <c r="IWV73" s="55"/>
      <c r="IWW73" s="55"/>
      <c r="IWX73" s="55"/>
      <c r="IWY73" s="55"/>
      <c r="IWZ73" s="55"/>
      <c r="IXA73" s="55"/>
      <c r="IXB73" s="55"/>
      <c r="IXC73" s="55"/>
      <c r="IXD73" s="55"/>
      <c r="IXE73" s="55"/>
      <c r="IXF73" s="55"/>
      <c r="IXG73" s="55"/>
      <c r="IXH73" s="55"/>
      <c r="IXI73" s="55"/>
      <c r="IXJ73" s="55"/>
      <c r="IXK73" s="55"/>
      <c r="IXL73" s="55"/>
      <c r="IXM73" s="55"/>
      <c r="IXN73" s="55"/>
      <c r="IXO73" s="55"/>
      <c r="IXP73" s="55"/>
      <c r="IXQ73" s="55"/>
      <c r="IXR73" s="55"/>
      <c r="IXS73" s="55"/>
      <c r="IXT73" s="55"/>
      <c r="IXU73" s="55"/>
      <c r="IXV73" s="55"/>
      <c r="IXW73" s="55"/>
      <c r="IXX73" s="55"/>
      <c r="IXY73" s="55"/>
      <c r="IXZ73" s="55"/>
      <c r="IYA73" s="55"/>
      <c r="IYB73" s="55"/>
      <c r="IYC73" s="55"/>
      <c r="IYD73" s="55"/>
      <c r="IYE73" s="55"/>
      <c r="IYF73" s="55"/>
      <c r="IYG73" s="55"/>
      <c r="IYH73" s="55"/>
      <c r="IYI73" s="55"/>
      <c r="IYJ73" s="55"/>
      <c r="IYK73" s="55"/>
      <c r="IYL73" s="55"/>
      <c r="IYM73" s="55"/>
      <c r="IYN73" s="55"/>
      <c r="IYO73" s="55"/>
      <c r="IYP73" s="55"/>
      <c r="IYQ73" s="55"/>
      <c r="IYR73" s="55"/>
      <c r="IYS73" s="55"/>
      <c r="IYT73" s="55"/>
      <c r="IYU73" s="55"/>
      <c r="IYV73" s="55"/>
      <c r="IYW73" s="55"/>
      <c r="IYX73" s="55"/>
      <c r="IYY73" s="55"/>
      <c r="IYZ73" s="55"/>
      <c r="IZA73" s="55"/>
      <c r="IZB73" s="55"/>
      <c r="IZC73" s="55"/>
      <c r="IZD73" s="55"/>
      <c r="IZE73" s="55"/>
      <c r="IZF73" s="55"/>
      <c r="IZG73" s="55"/>
      <c r="IZH73" s="55"/>
      <c r="IZI73" s="55"/>
      <c r="IZJ73" s="55"/>
      <c r="IZK73" s="55"/>
      <c r="IZL73" s="55"/>
      <c r="IZM73" s="55"/>
      <c r="IZN73" s="55"/>
      <c r="IZO73" s="55"/>
      <c r="IZP73" s="55"/>
      <c r="IZQ73" s="55"/>
      <c r="IZR73" s="55"/>
      <c r="IZS73" s="55"/>
      <c r="IZT73" s="55"/>
      <c r="IZU73" s="55"/>
      <c r="IZV73" s="55"/>
      <c r="IZW73" s="55"/>
      <c r="IZX73" s="55"/>
      <c r="IZY73" s="55"/>
      <c r="IZZ73" s="55"/>
      <c r="JAA73" s="55"/>
      <c r="JAB73" s="55"/>
      <c r="JAC73" s="55"/>
      <c r="JAD73" s="55"/>
      <c r="JAE73" s="55"/>
      <c r="JAF73" s="55"/>
      <c r="JAG73" s="55"/>
      <c r="JAH73" s="55"/>
      <c r="JAI73" s="55"/>
      <c r="JAJ73" s="55"/>
      <c r="JAK73" s="55"/>
      <c r="JAL73" s="55"/>
      <c r="JAM73" s="55"/>
      <c r="JAN73" s="55"/>
      <c r="JAO73" s="55"/>
      <c r="JAP73" s="55"/>
      <c r="JAQ73" s="55"/>
      <c r="JAR73" s="55"/>
      <c r="JAS73" s="55"/>
      <c r="JAT73" s="55"/>
      <c r="JAU73" s="55"/>
      <c r="JAV73" s="55"/>
      <c r="JAW73" s="55"/>
      <c r="JAX73" s="55"/>
      <c r="JAY73" s="55"/>
      <c r="JAZ73" s="55"/>
      <c r="JBA73" s="55"/>
      <c r="JBB73" s="55"/>
      <c r="JBC73" s="55"/>
      <c r="JBD73" s="55"/>
      <c r="JBE73" s="55"/>
      <c r="JBF73" s="55"/>
      <c r="JBG73" s="55"/>
      <c r="JBH73" s="55"/>
      <c r="JBI73" s="55"/>
      <c r="JBJ73" s="55"/>
      <c r="JBK73" s="55"/>
      <c r="JBL73" s="55"/>
      <c r="JBM73" s="55"/>
      <c r="JBN73" s="55"/>
      <c r="JBO73" s="55"/>
      <c r="JBP73" s="55"/>
      <c r="JBQ73" s="55"/>
      <c r="JBR73" s="55"/>
      <c r="JBS73" s="55"/>
      <c r="JBT73" s="55"/>
      <c r="JBU73" s="55"/>
      <c r="JBV73" s="55"/>
      <c r="JBW73" s="55"/>
      <c r="JBX73" s="55"/>
      <c r="JBY73" s="55"/>
      <c r="JBZ73" s="55"/>
      <c r="JCA73" s="55"/>
      <c r="JCB73" s="55"/>
      <c r="JCC73" s="55"/>
      <c r="JCD73" s="55"/>
      <c r="JCE73" s="55"/>
      <c r="JCF73" s="55"/>
      <c r="JCG73" s="55"/>
      <c r="JCH73" s="55"/>
      <c r="JCI73" s="55"/>
      <c r="JCJ73" s="55"/>
      <c r="JCK73" s="55"/>
      <c r="JCL73" s="55"/>
      <c r="JCM73" s="55"/>
      <c r="JCN73" s="55"/>
      <c r="JCO73" s="55"/>
      <c r="JCP73" s="55"/>
      <c r="JCQ73" s="55"/>
      <c r="JCR73" s="55"/>
      <c r="JCS73" s="55"/>
      <c r="JCT73" s="55"/>
      <c r="JCU73" s="55"/>
      <c r="JCV73" s="55"/>
      <c r="JCW73" s="55"/>
      <c r="JCX73" s="55"/>
      <c r="JCY73" s="55"/>
      <c r="JCZ73" s="55"/>
      <c r="JDA73" s="55"/>
      <c r="JDB73" s="55"/>
      <c r="JDC73" s="55"/>
      <c r="JDD73" s="55"/>
      <c r="JDE73" s="55"/>
      <c r="JDF73" s="55"/>
      <c r="JDG73" s="55"/>
      <c r="JDH73" s="55"/>
      <c r="JDI73" s="55"/>
      <c r="JDJ73" s="55"/>
      <c r="JDK73" s="55"/>
      <c r="JDL73" s="55"/>
      <c r="JDM73" s="55"/>
      <c r="JDN73" s="55"/>
      <c r="JDO73" s="55"/>
      <c r="JDP73" s="55"/>
      <c r="JDQ73" s="55"/>
      <c r="JDR73" s="55"/>
      <c r="JDS73" s="55"/>
      <c r="JDT73" s="55"/>
      <c r="JDU73" s="55"/>
      <c r="JDV73" s="55"/>
      <c r="JDW73" s="55"/>
      <c r="JDX73" s="55"/>
      <c r="JDY73" s="55"/>
      <c r="JDZ73" s="55"/>
      <c r="JEA73" s="55"/>
      <c r="JEB73" s="55"/>
      <c r="JEC73" s="55"/>
      <c r="JED73" s="55"/>
      <c r="JEE73" s="55"/>
      <c r="JEF73" s="55"/>
      <c r="JEG73" s="55"/>
      <c r="JEH73" s="55"/>
      <c r="JEI73" s="55"/>
      <c r="JEJ73" s="55"/>
      <c r="JEK73" s="55"/>
      <c r="JEL73" s="55"/>
      <c r="JEM73" s="55"/>
      <c r="JEN73" s="55"/>
      <c r="JEO73" s="55"/>
      <c r="JEP73" s="55"/>
      <c r="JEQ73" s="55"/>
      <c r="JER73" s="55"/>
      <c r="JES73" s="55"/>
      <c r="JET73" s="55"/>
      <c r="JEU73" s="55"/>
      <c r="JEV73" s="55"/>
      <c r="JEW73" s="55"/>
      <c r="JEX73" s="55"/>
      <c r="JEY73" s="55"/>
      <c r="JEZ73" s="55"/>
      <c r="JFA73" s="55"/>
      <c r="JFB73" s="55"/>
      <c r="JFC73" s="55"/>
      <c r="JFD73" s="55"/>
      <c r="JFE73" s="55"/>
      <c r="JFF73" s="55"/>
      <c r="JFG73" s="55"/>
      <c r="JFH73" s="55"/>
      <c r="JFI73" s="55"/>
      <c r="JFJ73" s="55"/>
      <c r="JFK73" s="55"/>
      <c r="JFL73" s="55"/>
      <c r="JFM73" s="55"/>
      <c r="JFN73" s="55"/>
      <c r="JFO73" s="55"/>
      <c r="JFP73" s="55"/>
      <c r="JFQ73" s="55"/>
      <c r="JFR73" s="55"/>
      <c r="JFS73" s="55"/>
      <c r="JFT73" s="55"/>
      <c r="JFU73" s="55"/>
      <c r="JFV73" s="55"/>
      <c r="JFW73" s="55"/>
      <c r="JFX73" s="55"/>
      <c r="JFY73" s="55"/>
      <c r="JFZ73" s="55"/>
      <c r="JGA73" s="55"/>
      <c r="JGB73" s="55"/>
      <c r="JGC73" s="55"/>
      <c r="JGD73" s="55"/>
      <c r="JGE73" s="55"/>
      <c r="JGF73" s="55"/>
      <c r="JGG73" s="55"/>
      <c r="JGH73" s="55"/>
      <c r="JGI73" s="55"/>
      <c r="JGJ73" s="55"/>
      <c r="JGK73" s="55"/>
      <c r="JGL73" s="55"/>
      <c r="JGM73" s="55"/>
      <c r="JGN73" s="55"/>
      <c r="JGO73" s="55"/>
      <c r="JGP73" s="55"/>
      <c r="JGQ73" s="55"/>
      <c r="JGR73" s="55"/>
      <c r="JGS73" s="55"/>
      <c r="JGT73" s="55"/>
      <c r="JGU73" s="55"/>
      <c r="JGV73" s="55"/>
      <c r="JGW73" s="55"/>
      <c r="JGX73" s="55"/>
      <c r="JGY73" s="55"/>
      <c r="JGZ73" s="55"/>
      <c r="JHA73" s="55"/>
      <c r="JHB73" s="55"/>
      <c r="JHC73" s="55"/>
      <c r="JHD73" s="55"/>
      <c r="JHE73" s="55"/>
      <c r="JHF73" s="55"/>
      <c r="JHG73" s="55"/>
      <c r="JHH73" s="55"/>
      <c r="JHI73" s="55"/>
      <c r="JHJ73" s="55"/>
      <c r="JHK73" s="55"/>
      <c r="JHL73" s="55"/>
      <c r="JHM73" s="55"/>
      <c r="JHN73" s="55"/>
      <c r="JHO73" s="55"/>
      <c r="JHP73" s="55"/>
      <c r="JHQ73" s="55"/>
      <c r="JHR73" s="55"/>
      <c r="JHS73" s="55"/>
      <c r="JHT73" s="55"/>
      <c r="JHU73" s="55"/>
      <c r="JHV73" s="55"/>
      <c r="JHW73" s="55"/>
      <c r="JHX73" s="55"/>
      <c r="JHY73" s="55"/>
      <c r="JHZ73" s="55"/>
      <c r="JIA73" s="55"/>
      <c r="JIB73" s="55"/>
      <c r="JIC73" s="55"/>
      <c r="JID73" s="55"/>
      <c r="JIE73" s="55"/>
      <c r="JIF73" s="55"/>
      <c r="JIG73" s="55"/>
      <c r="JIH73" s="55"/>
      <c r="JII73" s="55"/>
      <c r="JIJ73" s="55"/>
      <c r="JIK73" s="55"/>
      <c r="JIL73" s="55"/>
      <c r="JIM73" s="55"/>
      <c r="JIN73" s="55"/>
      <c r="JIO73" s="55"/>
      <c r="JIP73" s="55"/>
      <c r="JIQ73" s="55"/>
      <c r="JIR73" s="55"/>
      <c r="JIS73" s="55"/>
      <c r="JIT73" s="55"/>
      <c r="JIU73" s="55"/>
      <c r="JIV73" s="55"/>
      <c r="JIW73" s="55"/>
      <c r="JIX73" s="55"/>
      <c r="JIY73" s="55"/>
      <c r="JIZ73" s="55"/>
      <c r="JJA73" s="55"/>
      <c r="JJB73" s="55"/>
      <c r="JJC73" s="55"/>
      <c r="JJD73" s="55"/>
      <c r="JJE73" s="55"/>
      <c r="JJF73" s="55"/>
      <c r="JJG73" s="55"/>
      <c r="JJH73" s="55"/>
      <c r="JJI73" s="55"/>
      <c r="JJJ73" s="55"/>
      <c r="JJK73" s="55"/>
      <c r="JJL73" s="55"/>
      <c r="JJM73" s="55"/>
      <c r="JJN73" s="55"/>
      <c r="JJO73" s="55"/>
      <c r="JJP73" s="55"/>
      <c r="JJQ73" s="55"/>
      <c r="JJR73" s="55"/>
      <c r="JJS73" s="55"/>
      <c r="JJT73" s="55"/>
      <c r="JJU73" s="55"/>
      <c r="JJV73" s="55"/>
      <c r="JJW73" s="55"/>
      <c r="JJX73" s="55"/>
      <c r="JJY73" s="55"/>
      <c r="JJZ73" s="55"/>
      <c r="JKA73" s="55"/>
      <c r="JKB73" s="55"/>
      <c r="JKC73" s="55"/>
      <c r="JKD73" s="55"/>
      <c r="JKE73" s="55"/>
      <c r="JKF73" s="55"/>
      <c r="JKG73" s="55"/>
      <c r="JKH73" s="55"/>
      <c r="JKI73" s="55"/>
      <c r="JKJ73" s="55"/>
      <c r="JKK73" s="55"/>
      <c r="JKL73" s="55"/>
      <c r="JKM73" s="55"/>
      <c r="JKN73" s="55"/>
      <c r="JKO73" s="55"/>
      <c r="JKP73" s="55"/>
      <c r="JKQ73" s="55"/>
      <c r="JKR73" s="55"/>
      <c r="JKS73" s="55"/>
      <c r="JKT73" s="55"/>
      <c r="JKU73" s="55"/>
      <c r="JKV73" s="55"/>
      <c r="JKW73" s="55"/>
      <c r="JKX73" s="55"/>
      <c r="JKY73" s="55"/>
      <c r="JKZ73" s="55"/>
      <c r="JLA73" s="55"/>
      <c r="JLB73" s="55"/>
      <c r="JLC73" s="55"/>
      <c r="JLD73" s="55"/>
      <c r="JLE73" s="55"/>
      <c r="JLF73" s="55"/>
      <c r="JLG73" s="55"/>
      <c r="JLH73" s="55"/>
      <c r="JLI73" s="55"/>
      <c r="JLJ73" s="55"/>
      <c r="JLK73" s="55"/>
      <c r="JLL73" s="55"/>
      <c r="JLM73" s="55"/>
      <c r="JLN73" s="55"/>
      <c r="JLO73" s="55"/>
      <c r="JLP73" s="55"/>
      <c r="JLQ73" s="55"/>
      <c r="JLR73" s="55"/>
      <c r="JLS73" s="55"/>
      <c r="JLT73" s="55"/>
      <c r="JLU73" s="55"/>
      <c r="JLV73" s="55"/>
      <c r="JLW73" s="55"/>
      <c r="JLX73" s="55"/>
      <c r="JLY73" s="55"/>
      <c r="JLZ73" s="55"/>
      <c r="JMA73" s="55"/>
      <c r="JMB73" s="55"/>
      <c r="JMC73" s="55"/>
      <c r="JMD73" s="55"/>
      <c r="JME73" s="55"/>
      <c r="JMF73" s="55"/>
      <c r="JMG73" s="55"/>
      <c r="JMH73" s="55"/>
      <c r="JMI73" s="55"/>
      <c r="JMJ73" s="55"/>
      <c r="JMK73" s="55"/>
      <c r="JML73" s="55"/>
      <c r="JMM73" s="55"/>
      <c r="JMN73" s="55"/>
      <c r="JMO73" s="55"/>
      <c r="JMP73" s="55"/>
      <c r="JMQ73" s="55"/>
      <c r="JMR73" s="55"/>
      <c r="JMS73" s="55"/>
      <c r="JMT73" s="55"/>
      <c r="JMU73" s="55"/>
      <c r="JMV73" s="55"/>
      <c r="JMW73" s="55"/>
      <c r="JMX73" s="55"/>
      <c r="JMY73" s="55"/>
      <c r="JMZ73" s="55"/>
      <c r="JNA73" s="55"/>
      <c r="JNB73" s="55"/>
      <c r="JNC73" s="55"/>
      <c r="JND73" s="55"/>
      <c r="JNE73" s="55"/>
      <c r="JNF73" s="55"/>
      <c r="JNG73" s="55"/>
      <c r="JNH73" s="55"/>
      <c r="JNI73" s="55"/>
      <c r="JNJ73" s="55"/>
      <c r="JNK73" s="55"/>
      <c r="JNL73" s="55"/>
      <c r="JNM73" s="55"/>
      <c r="JNN73" s="55"/>
      <c r="JNO73" s="55"/>
      <c r="JNP73" s="55"/>
      <c r="JNQ73" s="55"/>
      <c r="JNR73" s="55"/>
      <c r="JNS73" s="55"/>
      <c r="JNT73" s="55"/>
      <c r="JNU73" s="55"/>
      <c r="JNV73" s="55"/>
      <c r="JNW73" s="55"/>
      <c r="JNX73" s="55"/>
      <c r="JNY73" s="55"/>
      <c r="JNZ73" s="55"/>
      <c r="JOA73" s="55"/>
      <c r="JOB73" s="55"/>
      <c r="JOC73" s="55"/>
      <c r="JOD73" s="55"/>
      <c r="JOE73" s="55"/>
      <c r="JOF73" s="55"/>
      <c r="JOG73" s="55"/>
      <c r="JOH73" s="55"/>
      <c r="JOI73" s="55"/>
      <c r="JOJ73" s="55"/>
      <c r="JOK73" s="55"/>
      <c r="JOL73" s="55"/>
      <c r="JOM73" s="55"/>
      <c r="JON73" s="55"/>
      <c r="JOO73" s="55"/>
      <c r="JOP73" s="55"/>
      <c r="JOQ73" s="55"/>
      <c r="JOR73" s="55"/>
      <c r="JOS73" s="55"/>
      <c r="JOT73" s="55"/>
      <c r="JOU73" s="55"/>
      <c r="JOV73" s="55"/>
      <c r="JOW73" s="55"/>
      <c r="JOX73" s="55"/>
      <c r="JOY73" s="55"/>
      <c r="JOZ73" s="55"/>
      <c r="JPA73" s="55"/>
      <c r="JPB73" s="55"/>
      <c r="JPC73" s="55"/>
      <c r="JPD73" s="55"/>
      <c r="JPE73" s="55"/>
      <c r="JPF73" s="55"/>
      <c r="JPG73" s="55"/>
      <c r="JPH73" s="55"/>
      <c r="JPI73" s="55"/>
      <c r="JPJ73" s="55"/>
      <c r="JPK73" s="55"/>
      <c r="JPL73" s="55"/>
      <c r="JPM73" s="55"/>
      <c r="JPN73" s="55"/>
      <c r="JPO73" s="55"/>
      <c r="JPP73" s="55"/>
      <c r="JPQ73" s="55"/>
      <c r="JPR73" s="55"/>
      <c r="JPS73" s="55"/>
      <c r="JPT73" s="55"/>
      <c r="JPU73" s="55"/>
      <c r="JPV73" s="55"/>
      <c r="JPW73" s="55"/>
      <c r="JPX73" s="55"/>
      <c r="JPY73" s="55"/>
      <c r="JPZ73" s="55"/>
      <c r="JQA73" s="55"/>
      <c r="JQB73" s="55"/>
      <c r="JQC73" s="55"/>
      <c r="JQD73" s="55"/>
      <c r="JQE73" s="55"/>
      <c r="JQF73" s="55"/>
      <c r="JQG73" s="55"/>
      <c r="JQH73" s="55"/>
      <c r="JQI73" s="55"/>
      <c r="JQJ73" s="55"/>
      <c r="JQK73" s="55"/>
      <c r="JQL73" s="55"/>
      <c r="JQM73" s="55"/>
      <c r="JQN73" s="55"/>
      <c r="JQO73" s="55"/>
      <c r="JQP73" s="55"/>
      <c r="JQQ73" s="55"/>
      <c r="JQR73" s="55"/>
      <c r="JQS73" s="55"/>
      <c r="JQT73" s="55"/>
      <c r="JQU73" s="55"/>
      <c r="JQV73" s="55"/>
      <c r="JQW73" s="55"/>
      <c r="JQX73" s="55"/>
      <c r="JQY73" s="55"/>
      <c r="JQZ73" s="55"/>
      <c r="JRA73" s="55"/>
      <c r="JRB73" s="55"/>
      <c r="JRC73" s="55"/>
      <c r="JRD73" s="55"/>
      <c r="JRE73" s="55"/>
      <c r="JRF73" s="55"/>
      <c r="JRG73" s="55"/>
      <c r="JRH73" s="55"/>
      <c r="JRI73" s="55"/>
      <c r="JRJ73" s="55"/>
      <c r="JRK73" s="55"/>
      <c r="JRL73" s="55"/>
      <c r="JRM73" s="55"/>
      <c r="JRN73" s="55"/>
      <c r="JRO73" s="55"/>
      <c r="JRP73" s="55"/>
      <c r="JRQ73" s="55"/>
      <c r="JRR73" s="55"/>
      <c r="JRS73" s="55"/>
      <c r="JRT73" s="55"/>
      <c r="JRU73" s="55"/>
      <c r="JRV73" s="55"/>
      <c r="JRW73" s="55"/>
      <c r="JRX73" s="55"/>
      <c r="JRY73" s="55"/>
      <c r="JRZ73" s="55"/>
      <c r="JSA73" s="55"/>
      <c r="JSB73" s="55"/>
      <c r="JSC73" s="55"/>
      <c r="JSD73" s="55"/>
      <c r="JSE73" s="55"/>
      <c r="JSF73" s="55"/>
      <c r="JSG73" s="55"/>
      <c r="JSH73" s="55"/>
      <c r="JSI73" s="55"/>
      <c r="JSJ73" s="55"/>
      <c r="JSK73" s="55"/>
      <c r="JSL73" s="55"/>
      <c r="JSM73" s="55"/>
      <c r="JSN73" s="55"/>
      <c r="JSO73" s="55"/>
      <c r="JSP73" s="55"/>
      <c r="JSQ73" s="55"/>
      <c r="JSR73" s="55"/>
      <c r="JSS73" s="55"/>
      <c r="JST73" s="55"/>
      <c r="JSU73" s="55"/>
      <c r="JSV73" s="55"/>
      <c r="JSW73" s="55"/>
      <c r="JSX73" s="55"/>
      <c r="JSY73" s="55"/>
      <c r="JSZ73" s="55"/>
      <c r="JTA73" s="55"/>
      <c r="JTB73" s="55"/>
      <c r="JTC73" s="55"/>
      <c r="JTD73" s="55"/>
      <c r="JTE73" s="55"/>
      <c r="JTF73" s="55"/>
      <c r="JTG73" s="55"/>
      <c r="JTH73" s="55"/>
      <c r="JTI73" s="55"/>
      <c r="JTJ73" s="55"/>
      <c r="JTK73" s="55"/>
      <c r="JTL73" s="55"/>
      <c r="JTM73" s="55"/>
      <c r="JTN73" s="55"/>
      <c r="JTO73" s="55"/>
      <c r="JTP73" s="55"/>
      <c r="JTQ73" s="55"/>
      <c r="JTR73" s="55"/>
      <c r="JTS73" s="55"/>
      <c r="JTT73" s="55"/>
      <c r="JTU73" s="55"/>
      <c r="JTV73" s="55"/>
      <c r="JTW73" s="55"/>
      <c r="JTX73" s="55"/>
      <c r="JTY73" s="55"/>
      <c r="JTZ73" s="55"/>
      <c r="JUA73" s="55"/>
      <c r="JUB73" s="55"/>
      <c r="JUC73" s="55"/>
      <c r="JUD73" s="55"/>
      <c r="JUE73" s="55"/>
      <c r="JUF73" s="55"/>
      <c r="JUG73" s="55"/>
      <c r="JUH73" s="55"/>
      <c r="JUI73" s="55"/>
      <c r="JUJ73" s="55"/>
      <c r="JUK73" s="55"/>
      <c r="JUL73" s="55"/>
      <c r="JUM73" s="55"/>
      <c r="JUN73" s="55"/>
      <c r="JUO73" s="55"/>
      <c r="JUP73" s="55"/>
      <c r="JUQ73" s="55"/>
      <c r="JUR73" s="55"/>
      <c r="JUS73" s="55"/>
      <c r="JUT73" s="55"/>
      <c r="JUU73" s="55"/>
      <c r="JUV73" s="55"/>
      <c r="JUW73" s="55"/>
      <c r="JUX73" s="55"/>
      <c r="JUY73" s="55"/>
      <c r="JUZ73" s="55"/>
      <c r="JVA73" s="55"/>
      <c r="JVB73" s="55"/>
      <c r="JVC73" s="55"/>
      <c r="JVD73" s="55"/>
      <c r="JVE73" s="55"/>
      <c r="JVF73" s="55"/>
      <c r="JVG73" s="55"/>
      <c r="JVH73" s="55"/>
      <c r="JVI73" s="55"/>
      <c r="JVJ73" s="55"/>
      <c r="JVK73" s="55"/>
      <c r="JVL73" s="55"/>
      <c r="JVM73" s="55"/>
      <c r="JVN73" s="55"/>
      <c r="JVO73" s="55"/>
      <c r="JVP73" s="55"/>
      <c r="JVQ73" s="55"/>
      <c r="JVR73" s="55"/>
      <c r="JVS73" s="55"/>
      <c r="JVT73" s="55"/>
      <c r="JVU73" s="55"/>
      <c r="JVV73" s="55"/>
      <c r="JVW73" s="55"/>
      <c r="JVX73" s="55"/>
      <c r="JVY73" s="55"/>
      <c r="JVZ73" s="55"/>
      <c r="JWA73" s="55"/>
      <c r="JWB73" s="55"/>
      <c r="JWC73" s="55"/>
      <c r="JWD73" s="55"/>
      <c r="JWE73" s="55"/>
      <c r="JWF73" s="55"/>
      <c r="JWG73" s="55"/>
      <c r="JWH73" s="55"/>
      <c r="JWI73" s="55"/>
      <c r="JWJ73" s="55"/>
      <c r="JWK73" s="55"/>
      <c r="JWL73" s="55"/>
      <c r="JWM73" s="55"/>
      <c r="JWN73" s="55"/>
      <c r="JWO73" s="55"/>
      <c r="JWP73" s="55"/>
      <c r="JWQ73" s="55"/>
      <c r="JWR73" s="55"/>
      <c r="JWS73" s="55"/>
      <c r="JWT73" s="55"/>
      <c r="JWU73" s="55"/>
      <c r="JWV73" s="55"/>
      <c r="JWW73" s="55"/>
      <c r="JWX73" s="55"/>
      <c r="JWY73" s="55"/>
      <c r="JWZ73" s="55"/>
      <c r="JXA73" s="55"/>
      <c r="JXB73" s="55"/>
      <c r="JXC73" s="55"/>
      <c r="JXD73" s="55"/>
      <c r="JXE73" s="55"/>
      <c r="JXF73" s="55"/>
      <c r="JXG73" s="55"/>
      <c r="JXH73" s="55"/>
      <c r="JXI73" s="55"/>
      <c r="JXJ73" s="55"/>
      <c r="JXK73" s="55"/>
      <c r="JXL73" s="55"/>
      <c r="JXM73" s="55"/>
      <c r="JXN73" s="55"/>
      <c r="JXO73" s="55"/>
      <c r="JXP73" s="55"/>
      <c r="JXQ73" s="55"/>
      <c r="JXR73" s="55"/>
      <c r="JXS73" s="55"/>
      <c r="JXT73" s="55"/>
      <c r="JXU73" s="55"/>
      <c r="JXV73" s="55"/>
      <c r="JXW73" s="55"/>
      <c r="JXX73" s="55"/>
      <c r="JXY73" s="55"/>
      <c r="JXZ73" s="55"/>
      <c r="JYA73" s="55"/>
      <c r="JYB73" s="55"/>
      <c r="JYC73" s="55"/>
      <c r="JYD73" s="55"/>
      <c r="JYE73" s="55"/>
      <c r="JYF73" s="55"/>
      <c r="JYG73" s="55"/>
      <c r="JYH73" s="55"/>
      <c r="JYI73" s="55"/>
      <c r="JYJ73" s="55"/>
      <c r="JYK73" s="55"/>
      <c r="JYL73" s="55"/>
      <c r="JYM73" s="55"/>
      <c r="JYN73" s="55"/>
      <c r="JYO73" s="55"/>
      <c r="JYP73" s="55"/>
      <c r="JYQ73" s="55"/>
      <c r="JYR73" s="55"/>
      <c r="JYS73" s="55"/>
      <c r="JYT73" s="55"/>
      <c r="JYU73" s="55"/>
      <c r="JYV73" s="55"/>
      <c r="JYW73" s="55"/>
      <c r="JYX73" s="55"/>
      <c r="JYY73" s="55"/>
      <c r="JYZ73" s="55"/>
      <c r="JZA73" s="55"/>
      <c r="JZB73" s="55"/>
      <c r="JZC73" s="55"/>
      <c r="JZD73" s="55"/>
      <c r="JZE73" s="55"/>
      <c r="JZF73" s="55"/>
      <c r="JZG73" s="55"/>
      <c r="JZH73" s="55"/>
      <c r="JZI73" s="55"/>
      <c r="JZJ73" s="55"/>
      <c r="JZK73" s="55"/>
      <c r="JZL73" s="55"/>
      <c r="JZM73" s="55"/>
      <c r="JZN73" s="55"/>
      <c r="JZO73" s="55"/>
      <c r="JZP73" s="55"/>
      <c r="JZQ73" s="55"/>
      <c r="JZR73" s="55"/>
      <c r="JZS73" s="55"/>
      <c r="JZT73" s="55"/>
      <c r="JZU73" s="55"/>
      <c r="JZV73" s="55"/>
      <c r="JZW73" s="55"/>
      <c r="JZX73" s="55"/>
      <c r="JZY73" s="55"/>
      <c r="JZZ73" s="55"/>
      <c r="KAA73" s="55"/>
      <c r="KAB73" s="55"/>
      <c r="KAC73" s="55"/>
      <c r="KAD73" s="55"/>
      <c r="KAE73" s="55"/>
      <c r="KAF73" s="55"/>
      <c r="KAG73" s="55"/>
      <c r="KAH73" s="55"/>
      <c r="KAI73" s="55"/>
      <c r="KAJ73" s="55"/>
      <c r="KAK73" s="55"/>
      <c r="KAL73" s="55"/>
      <c r="KAM73" s="55"/>
      <c r="KAN73" s="55"/>
      <c r="KAO73" s="55"/>
      <c r="KAP73" s="55"/>
      <c r="KAQ73" s="55"/>
      <c r="KAR73" s="55"/>
      <c r="KAS73" s="55"/>
      <c r="KAT73" s="55"/>
      <c r="KAU73" s="55"/>
      <c r="KAV73" s="55"/>
      <c r="KAW73" s="55"/>
      <c r="KAX73" s="55"/>
      <c r="KAY73" s="55"/>
      <c r="KAZ73" s="55"/>
      <c r="KBA73" s="55"/>
      <c r="KBB73" s="55"/>
      <c r="KBC73" s="55"/>
      <c r="KBD73" s="55"/>
      <c r="KBE73" s="55"/>
      <c r="KBF73" s="55"/>
      <c r="KBG73" s="55"/>
      <c r="KBH73" s="55"/>
      <c r="KBI73" s="55"/>
      <c r="KBJ73" s="55"/>
      <c r="KBK73" s="55"/>
      <c r="KBL73" s="55"/>
      <c r="KBM73" s="55"/>
      <c r="KBN73" s="55"/>
      <c r="KBO73" s="55"/>
      <c r="KBP73" s="55"/>
      <c r="KBQ73" s="55"/>
      <c r="KBR73" s="55"/>
      <c r="KBS73" s="55"/>
      <c r="KBT73" s="55"/>
      <c r="KBU73" s="55"/>
      <c r="KBV73" s="55"/>
      <c r="KBW73" s="55"/>
      <c r="KBX73" s="55"/>
      <c r="KBY73" s="55"/>
      <c r="KBZ73" s="55"/>
      <c r="KCA73" s="55"/>
      <c r="KCB73" s="55"/>
      <c r="KCC73" s="55"/>
      <c r="KCD73" s="55"/>
      <c r="KCE73" s="55"/>
      <c r="KCF73" s="55"/>
      <c r="KCG73" s="55"/>
      <c r="KCH73" s="55"/>
      <c r="KCI73" s="55"/>
      <c r="KCJ73" s="55"/>
      <c r="KCK73" s="55"/>
      <c r="KCL73" s="55"/>
      <c r="KCM73" s="55"/>
      <c r="KCN73" s="55"/>
      <c r="KCO73" s="55"/>
      <c r="KCP73" s="55"/>
      <c r="KCQ73" s="55"/>
      <c r="KCR73" s="55"/>
      <c r="KCS73" s="55"/>
      <c r="KCT73" s="55"/>
      <c r="KCU73" s="55"/>
      <c r="KCV73" s="55"/>
      <c r="KCW73" s="55"/>
      <c r="KCX73" s="55"/>
      <c r="KCY73" s="55"/>
      <c r="KCZ73" s="55"/>
      <c r="KDA73" s="55"/>
      <c r="KDB73" s="55"/>
      <c r="KDC73" s="55"/>
      <c r="KDD73" s="55"/>
      <c r="KDE73" s="55"/>
      <c r="KDF73" s="55"/>
      <c r="KDG73" s="55"/>
      <c r="KDH73" s="55"/>
      <c r="KDI73" s="55"/>
      <c r="KDJ73" s="55"/>
      <c r="KDK73" s="55"/>
      <c r="KDL73" s="55"/>
      <c r="KDM73" s="55"/>
      <c r="KDN73" s="55"/>
      <c r="KDO73" s="55"/>
      <c r="KDP73" s="55"/>
      <c r="KDQ73" s="55"/>
      <c r="KDR73" s="55"/>
      <c r="KDS73" s="55"/>
      <c r="KDT73" s="55"/>
      <c r="KDU73" s="55"/>
      <c r="KDV73" s="55"/>
      <c r="KDW73" s="55"/>
      <c r="KDX73" s="55"/>
      <c r="KDY73" s="55"/>
      <c r="KDZ73" s="55"/>
      <c r="KEA73" s="55"/>
      <c r="KEB73" s="55"/>
      <c r="KEC73" s="55"/>
      <c r="KED73" s="55"/>
      <c r="KEE73" s="55"/>
      <c r="KEF73" s="55"/>
      <c r="KEG73" s="55"/>
      <c r="KEH73" s="55"/>
      <c r="KEI73" s="55"/>
      <c r="KEJ73" s="55"/>
      <c r="KEK73" s="55"/>
      <c r="KEL73" s="55"/>
      <c r="KEM73" s="55"/>
      <c r="KEN73" s="55"/>
      <c r="KEO73" s="55"/>
      <c r="KEP73" s="55"/>
      <c r="KEQ73" s="55"/>
      <c r="KER73" s="55"/>
      <c r="KES73" s="55"/>
      <c r="KET73" s="55"/>
      <c r="KEU73" s="55"/>
      <c r="KEV73" s="55"/>
      <c r="KEW73" s="55"/>
      <c r="KEX73" s="55"/>
      <c r="KEY73" s="55"/>
      <c r="KEZ73" s="55"/>
      <c r="KFA73" s="55"/>
      <c r="KFB73" s="55"/>
      <c r="KFC73" s="55"/>
      <c r="KFD73" s="55"/>
      <c r="KFE73" s="55"/>
      <c r="KFF73" s="55"/>
      <c r="KFG73" s="55"/>
      <c r="KFH73" s="55"/>
      <c r="KFI73" s="55"/>
      <c r="KFJ73" s="55"/>
      <c r="KFK73" s="55"/>
      <c r="KFL73" s="55"/>
      <c r="KFM73" s="55"/>
      <c r="KFN73" s="55"/>
      <c r="KFO73" s="55"/>
      <c r="KFP73" s="55"/>
      <c r="KFQ73" s="55"/>
      <c r="KFR73" s="55"/>
      <c r="KFS73" s="55"/>
      <c r="KFT73" s="55"/>
      <c r="KFU73" s="55"/>
      <c r="KFV73" s="55"/>
      <c r="KFW73" s="55"/>
      <c r="KFX73" s="55"/>
      <c r="KFY73" s="55"/>
      <c r="KFZ73" s="55"/>
      <c r="KGA73" s="55"/>
      <c r="KGB73" s="55"/>
      <c r="KGC73" s="55"/>
      <c r="KGD73" s="55"/>
      <c r="KGE73" s="55"/>
      <c r="KGF73" s="55"/>
      <c r="KGG73" s="55"/>
      <c r="KGH73" s="55"/>
      <c r="KGI73" s="55"/>
      <c r="KGJ73" s="55"/>
      <c r="KGK73" s="55"/>
      <c r="KGL73" s="55"/>
      <c r="KGM73" s="55"/>
      <c r="KGN73" s="55"/>
      <c r="KGO73" s="55"/>
      <c r="KGP73" s="55"/>
      <c r="KGQ73" s="55"/>
      <c r="KGR73" s="55"/>
      <c r="KGS73" s="55"/>
      <c r="KGT73" s="55"/>
      <c r="KGU73" s="55"/>
      <c r="KGV73" s="55"/>
      <c r="KGW73" s="55"/>
      <c r="KGX73" s="55"/>
      <c r="KGY73" s="55"/>
      <c r="KGZ73" s="55"/>
      <c r="KHA73" s="55"/>
      <c r="KHB73" s="55"/>
      <c r="KHC73" s="55"/>
      <c r="KHD73" s="55"/>
      <c r="KHE73" s="55"/>
      <c r="KHF73" s="55"/>
      <c r="KHG73" s="55"/>
      <c r="KHH73" s="55"/>
      <c r="KHI73" s="55"/>
      <c r="KHJ73" s="55"/>
      <c r="KHK73" s="55"/>
      <c r="KHL73" s="55"/>
      <c r="KHM73" s="55"/>
      <c r="KHN73" s="55"/>
      <c r="KHO73" s="55"/>
      <c r="KHP73" s="55"/>
      <c r="KHQ73" s="55"/>
      <c r="KHR73" s="55"/>
      <c r="KHS73" s="55"/>
      <c r="KHT73" s="55"/>
      <c r="KHU73" s="55"/>
      <c r="KHV73" s="55"/>
      <c r="KHW73" s="55"/>
      <c r="KHX73" s="55"/>
      <c r="KHY73" s="55"/>
      <c r="KHZ73" s="55"/>
      <c r="KIA73" s="55"/>
      <c r="KIB73" s="55"/>
      <c r="KIC73" s="55"/>
      <c r="KID73" s="55"/>
      <c r="KIE73" s="55"/>
      <c r="KIF73" s="55"/>
      <c r="KIG73" s="55"/>
      <c r="KIH73" s="55"/>
      <c r="KII73" s="55"/>
      <c r="KIJ73" s="55"/>
      <c r="KIK73" s="55"/>
      <c r="KIL73" s="55"/>
      <c r="KIM73" s="55"/>
      <c r="KIN73" s="55"/>
      <c r="KIO73" s="55"/>
      <c r="KIP73" s="55"/>
      <c r="KIQ73" s="55"/>
      <c r="KIR73" s="55"/>
      <c r="KIS73" s="55"/>
      <c r="KIT73" s="55"/>
      <c r="KIU73" s="55"/>
      <c r="KIV73" s="55"/>
      <c r="KIW73" s="55"/>
      <c r="KIX73" s="55"/>
      <c r="KIY73" s="55"/>
      <c r="KIZ73" s="55"/>
      <c r="KJA73" s="55"/>
      <c r="KJB73" s="55"/>
      <c r="KJC73" s="55"/>
      <c r="KJD73" s="55"/>
      <c r="KJE73" s="55"/>
      <c r="KJF73" s="55"/>
      <c r="KJG73" s="55"/>
      <c r="KJH73" s="55"/>
      <c r="KJI73" s="55"/>
      <c r="KJJ73" s="55"/>
      <c r="KJK73" s="55"/>
      <c r="KJL73" s="55"/>
      <c r="KJM73" s="55"/>
      <c r="KJN73" s="55"/>
      <c r="KJO73" s="55"/>
      <c r="KJP73" s="55"/>
      <c r="KJQ73" s="55"/>
      <c r="KJR73" s="55"/>
      <c r="KJS73" s="55"/>
      <c r="KJT73" s="55"/>
      <c r="KJU73" s="55"/>
      <c r="KJV73" s="55"/>
      <c r="KJW73" s="55"/>
      <c r="KJX73" s="55"/>
      <c r="KJY73" s="55"/>
      <c r="KJZ73" s="55"/>
      <c r="KKA73" s="55"/>
      <c r="KKB73" s="55"/>
      <c r="KKC73" s="55"/>
      <c r="KKD73" s="55"/>
      <c r="KKE73" s="55"/>
      <c r="KKF73" s="55"/>
      <c r="KKG73" s="55"/>
      <c r="KKH73" s="55"/>
      <c r="KKI73" s="55"/>
      <c r="KKJ73" s="55"/>
      <c r="KKK73" s="55"/>
      <c r="KKL73" s="55"/>
      <c r="KKM73" s="55"/>
      <c r="KKN73" s="55"/>
      <c r="KKO73" s="55"/>
      <c r="KKP73" s="55"/>
      <c r="KKQ73" s="55"/>
      <c r="KKR73" s="55"/>
      <c r="KKS73" s="55"/>
      <c r="KKT73" s="55"/>
      <c r="KKU73" s="55"/>
      <c r="KKV73" s="55"/>
      <c r="KKW73" s="55"/>
      <c r="KKX73" s="55"/>
      <c r="KKY73" s="55"/>
      <c r="KKZ73" s="55"/>
      <c r="KLA73" s="55"/>
      <c r="KLB73" s="55"/>
      <c r="KLC73" s="55"/>
      <c r="KLD73" s="55"/>
      <c r="KLE73" s="55"/>
      <c r="KLF73" s="55"/>
      <c r="KLG73" s="55"/>
      <c r="KLH73" s="55"/>
      <c r="KLI73" s="55"/>
      <c r="KLJ73" s="55"/>
      <c r="KLK73" s="55"/>
      <c r="KLL73" s="55"/>
      <c r="KLM73" s="55"/>
      <c r="KLN73" s="55"/>
      <c r="KLO73" s="55"/>
      <c r="KLP73" s="55"/>
      <c r="KLQ73" s="55"/>
      <c r="KLR73" s="55"/>
      <c r="KLS73" s="55"/>
      <c r="KLT73" s="55"/>
      <c r="KLU73" s="55"/>
      <c r="KLV73" s="55"/>
      <c r="KLW73" s="55"/>
      <c r="KLX73" s="55"/>
      <c r="KLY73" s="55"/>
      <c r="KLZ73" s="55"/>
      <c r="KMA73" s="55"/>
      <c r="KMB73" s="55"/>
      <c r="KMC73" s="55"/>
      <c r="KMD73" s="55"/>
      <c r="KME73" s="55"/>
      <c r="KMF73" s="55"/>
      <c r="KMG73" s="55"/>
      <c r="KMH73" s="55"/>
      <c r="KMI73" s="55"/>
      <c r="KMJ73" s="55"/>
      <c r="KMK73" s="55"/>
      <c r="KML73" s="55"/>
      <c r="KMM73" s="55"/>
      <c r="KMN73" s="55"/>
      <c r="KMO73" s="55"/>
      <c r="KMP73" s="55"/>
      <c r="KMQ73" s="55"/>
      <c r="KMR73" s="55"/>
      <c r="KMS73" s="55"/>
      <c r="KMT73" s="55"/>
      <c r="KMU73" s="55"/>
      <c r="KMV73" s="55"/>
      <c r="KMW73" s="55"/>
      <c r="KMX73" s="55"/>
      <c r="KMY73" s="55"/>
      <c r="KMZ73" s="55"/>
      <c r="KNA73" s="55"/>
      <c r="KNB73" s="55"/>
      <c r="KNC73" s="55"/>
      <c r="KND73" s="55"/>
      <c r="KNE73" s="55"/>
      <c r="KNF73" s="55"/>
      <c r="KNG73" s="55"/>
      <c r="KNH73" s="55"/>
      <c r="KNI73" s="55"/>
      <c r="KNJ73" s="55"/>
      <c r="KNK73" s="55"/>
      <c r="KNL73" s="55"/>
      <c r="KNM73" s="55"/>
      <c r="KNN73" s="55"/>
      <c r="KNO73" s="55"/>
      <c r="KNP73" s="55"/>
      <c r="KNQ73" s="55"/>
      <c r="KNR73" s="55"/>
      <c r="KNS73" s="55"/>
      <c r="KNT73" s="55"/>
      <c r="KNU73" s="55"/>
      <c r="KNV73" s="55"/>
      <c r="KNW73" s="55"/>
      <c r="KNX73" s="55"/>
      <c r="KNY73" s="55"/>
      <c r="KNZ73" s="55"/>
      <c r="KOA73" s="55"/>
      <c r="KOB73" s="55"/>
      <c r="KOC73" s="55"/>
      <c r="KOD73" s="55"/>
      <c r="KOE73" s="55"/>
      <c r="KOF73" s="55"/>
      <c r="KOG73" s="55"/>
      <c r="KOH73" s="55"/>
      <c r="KOI73" s="55"/>
      <c r="KOJ73" s="55"/>
      <c r="KOK73" s="55"/>
      <c r="KOL73" s="55"/>
      <c r="KOM73" s="55"/>
      <c r="KON73" s="55"/>
      <c r="KOO73" s="55"/>
      <c r="KOP73" s="55"/>
      <c r="KOQ73" s="55"/>
      <c r="KOR73" s="55"/>
      <c r="KOS73" s="55"/>
      <c r="KOT73" s="55"/>
      <c r="KOU73" s="55"/>
      <c r="KOV73" s="55"/>
      <c r="KOW73" s="55"/>
      <c r="KOX73" s="55"/>
      <c r="KOY73" s="55"/>
      <c r="KOZ73" s="55"/>
      <c r="KPA73" s="55"/>
      <c r="KPB73" s="55"/>
      <c r="KPC73" s="55"/>
      <c r="KPD73" s="55"/>
      <c r="KPE73" s="55"/>
      <c r="KPF73" s="55"/>
      <c r="KPG73" s="55"/>
      <c r="KPH73" s="55"/>
      <c r="KPI73" s="55"/>
      <c r="KPJ73" s="55"/>
      <c r="KPK73" s="55"/>
      <c r="KPL73" s="55"/>
      <c r="KPM73" s="55"/>
      <c r="KPN73" s="55"/>
      <c r="KPO73" s="55"/>
      <c r="KPP73" s="55"/>
      <c r="KPQ73" s="55"/>
      <c r="KPR73" s="55"/>
      <c r="KPS73" s="55"/>
      <c r="KPT73" s="55"/>
      <c r="KPU73" s="55"/>
      <c r="KPV73" s="55"/>
      <c r="KPW73" s="55"/>
      <c r="KPX73" s="55"/>
      <c r="KPY73" s="55"/>
      <c r="KPZ73" s="55"/>
      <c r="KQA73" s="55"/>
      <c r="KQB73" s="55"/>
      <c r="KQC73" s="55"/>
      <c r="KQD73" s="55"/>
      <c r="KQE73" s="55"/>
      <c r="KQF73" s="55"/>
      <c r="KQG73" s="55"/>
      <c r="KQH73" s="55"/>
      <c r="KQI73" s="55"/>
      <c r="KQJ73" s="55"/>
      <c r="KQK73" s="55"/>
      <c r="KQL73" s="55"/>
      <c r="KQM73" s="55"/>
      <c r="KQN73" s="55"/>
      <c r="KQO73" s="55"/>
      <c r="KQP73" s="55"/>
      <c r="KQQ73" s="55"/>
      <c r="KQR73" s="55"/>
      <c r="KQS73" s="55"/>
      <c r="KQT73" s="55"/>
      <c r="KQU73" s="55"/>
      <c r="KQV73" s="55"/>
      <c r="KQW73" s="55"/>
      <c r="KQX73" s="55"/>
      <c r="KQY73" s="55"/>
      <c r="KQZ73" s="55"/>
      <c r="KRA73" s="55"/>
      <c r="KRB73" s="55"/>
      <c r="KRC73" s="55"/>
      <c r="KRD73" s="55"/>
      <c r="KRE73" s="55"/>
      <c r="KRF73" s="55"/>
      <c r="KRG73" s="55"/>
      <c r="KRH73" s="55"/>
      <c r="KRI73" s="55"/>
      <c r="KRJ73" s="55"/>
      <c r="KRK73" s="55"/>
      <c r="KRL73" s="55"/>
      <c r="KRM73" s="55"/>
      <c r="KRN73" s="55"/>
      <c r="KRO73" s="55"/>
      <c r="KRP73" s="55"/>
      <c r="KRQ73" s="55"/>
      <c r="KRR73" s="55"/>
      <c r="KRS73" s="55"/>
      <c r="KRT73" s="55"/>
      <c r="KRU73" s="55"/>
      <c r="KRV73" s="55"/>
      <c r="KRW73" s="55"/>
      <c r="KRX73" s="55"/>
      <c r="KRY73" s="55"/>
      <c r="KRZ73" s="55"/>
      <c r="KSA73" s="55"/>
      <c r="KSB73" s="55"/>
      <c r="KSC73" s="55"/>
      <c r="KSD73" s="55"/>
      <c r="KSE73" s="55"/>
      <c r="KSF73" s="55"/>
      <c r="KSG73" s="55"/>
      <c r="KSH73" s="55"/>
      <c r="KSI73" s="55"/>
      <c r="KSJ73" s="55"/>
      <c r="KSK73" s="55"/>
      <c r="KSL73" s="55"/>
      <c r="KSM73" s="55"/>
      <c r="KSN73" s="55"/>
      <c r="KSO73" s="55"/>
      <c r="KSP73" s="55"/>
      <c r="KSQ73" s="55"/>
      <c r="KSR73" s="55"/>
      <c r="KSS73" s="55"/>
      <c r="KST73" s="55"/>
      <c r="KSU73" s="55"/>
      <c r="KSV73" s="55"/>
      <c r="KSW73" s="55"/>
      <c r="KSX73" s="55"/>
      <c r="KSY73" s="55"/>
      <c r="KSZ73" s="55"/>
      <c r="KTA73" s="55"/>
      <c r="KTB73" s="55"/>
      <c r="KTC73" s="55"/>
      <c r="KTD73" s="55"/>
      <c r="KTE73" s="55"/>
      <c r="KTF73" s="55"/>
      <c r="KTG73" s="55"/>
      <c r="KTH73" s="55"/>
      <c r="KTI73" s="55"/>
      <c r="KTJ73" s="55"/>
      <c r="KTK73" s="55"/>
      <c r="KTL73" s="55"/>
      <c r="KTM73" s="55"/>
      <c r="KTN73" s="55"/>
      <c r="KTO73" s="55"/>
      <c r="KTP73" s="55"/>
      <c r="KTQ73" s="55"/>
      <c r="KTR73" s="55"/>
      <c r="KTS73" s="55"/>
      <c r="KTT73" s="55"/>
      <c r="KTU73" s="55"/>
      <c r="KTV73" s="55"/>
      <c r="KTW73" s="55"/>
      <c r="KTX73" s="55"/>
      <c r="KTY73" s="55"/>
      <c r="KTZ73" s="55"/>
      <c r="KUA73" s="55"/>
      <c r="KUB73" s="55"/>
      <c r="KUC73" s="55"/>
      <c r="KUD73" s="55"/>
      <c r="KUE73" s="55"/>
      <c r="KUF73" s="55"/>
      <c r="KUG73" s="55"/>
      <c r="KUH73" s="55"/>
      <c r="KUI73" s="55"/>
      <c r="KUJ73" s="55"/>
      <c r="KUK73" s="55"/>
      <c r="KUL73" s="55"/>
      <c r="KUM73" s="55"/>
      <c r="KUN73" s="55"/>
      <c r="KUO73" s="55"/>
      <c r="KUP73" s="55"/>
      <c r="KUQ73" s="55"/>
      <c r="KUR73" s="55"/>
      <c r="KUS73" s="55"/>
      <c r="KUT73" s="55"/>
      <c r="KUU73" s="55"/>
      <c r="KUV73" s="55"/>
      <c r="KUW73" s="55"/>
      <c r="KUX73" s="55"/>
      <c r="KUY73" s="55"/>
      <c r="KUZ73" s="55"/>
      <c r="KVA73" s="55"/>
      <c r="KVB73" s="55"/>
      <c r="KVC73" s="55"/>
      <c r="KVD73" s="55"/>
      <c r="KVE73" s="55"/>
      <c r="KVF73" s="55"/>
      <c r="KVG73" s="55"/>
      <c r="KVH73" s="55"/>
      <c r="KVI73" s="55"/>
      <c r="KVJ73" s="55"/>
      <c r="KVK73" s="55"/>
      <c r="KVL73" s="55"/>
      <c r="KVM73" s="55"/>
      <c r="KVN73" s="55"/>
      <c r="KVO73" s="55"/>
      <c r="KVP73" s="55"/>
      <c r="KVQ73" s="55"/>
      <c r="KVR73" s="55"/>
      <c r="KVS73" s="55"/>
      <c r="KVT73" s="55"/>
      <c r="KVU73" s="55"/>
      <c r="KVV73" s="55"/>
      <c r="KVW73" s="55"/>
      <c r="KVX73" s="55"/>
      <c r="KVY73" s="55"/>
      <c r="KVZ73" s="55"/>
      <c r="KWA73" s="55"/>
      <c r="KWB73" s="55"/>
      <c r="KWC73" s="55"/>
      <c r="KWD73" s="55"/>
      <c r="KWE73" s="55"/>
      <c r="KWF73" s="55"/>
      <c r="KWG73" s="55"/>
      <c r="KWH73" s="55"/>
      <c r="KWI73" s="55"/>
      <c r="KWJ73" s="55"/>
      <c r="KWK73" s="55"/>
      <c r="KWL73" s="55"/>
      <c r="KWM73" s="55"/>
      <c r="KWN73" s="55"/>
      <c r="KWO73" s="55"/>
      <c r="KWP73" s="55"/>
      <c r="KWQ73" s="55"/>
      <c r="KWR73" s="55"/>
      <c r="KWS73" s="55"/>
      <c r="KWT73" s="55"/>
      <c r="KWU73" s="55"/>
      <c r="KWV73" s="55"/>
      <c r="KWW73" s="55"/>
      <c r="KWX73" s="55"/>
      <c r="KWY73" s="55"/>
      <c r="KWZ73" s="55"/>
      <c r="KXA73" s="55"/>
      <c r="KXB73" s="55"/>
      <c r="KXC73" s="55"/>
      <c r="KXD73" s="55"/>
      <c r="KXE73" s="55"/>
      <c r="KXF73" s="55"/>
      <c r="KXG73" s="55"/>
      <c r="KXH73" s="55"/>
      <c r="KXI73" s="55"/>
      <c r="KXJ73" s="55"/>
      <c r="KXK73" s="55"/>
      <c r="KXL73" s="55"/>
      <c r="KXM73" s="55"/>
      <c r="KXN73" s="55"/>
      <c r="KXO73" s="55"/>
      <c r="KXP73" s="55"/>
      <c r="KXQ73" s="55"/>
      <c r="KXR73" s="55"/>
      <c r="KXS73" s="55"/>
      <c r="KXT73" s="55"/>
      <c r="KXU73" s="55"/>
      <c r="KXV73" s="55"/>
      <c r="KXW73" s="55"/>
      <c r="KXX73" s="55"/>
      <c r="KXY73" s="55"/>
      <c r="KXZ73" s="55"/>
      <c r="KYA73" s="55"/>
      <c r="KYB73" s="55"/>
      <c r="KYC73" s="55"/>
      <c r="KYD73" s="55"/>
      <c r="KYE73" s="55"/>
      <c r="KYF73" s="55"/>
      <c r="KYG73" s="55"/>
      <c r="KYH73" s="55"/>
      <c r="KYI73" s="55"/>
      <c r="KYJ73" s="55"/>
      <c r="KYK73" s="55"/>
      <c r="KYL73" s="55"/>
      <c r="KYM73" s="55"/>
      <c r="KYN73" s="55"/>
      <c r="KYO73" s="55"/>
      <c r="KYP73" s="55"/>
      <c r="KYQ73" s="55"/>
      <c r="KYR73" s="55"/>
      <c r="KYS73" s="55"/>
      <c r="KYT73" s="55"/>
      <c r="KYU73" s="55"/>
      <c r="KYV73" s="55"/>
      <c r="KYW73" s="55"/>
      <c r="KYX73" s="55"/>
      <c r="KYY73" s="55"/>
      <c r="KYZ73" s="55"/>
      <c r="KZA73" s="55"/>
      <c r="KZB73" s="55"/>
      <c r="KZC73" s="55"/>
      <c r="KZD73" s="55"/>
      <c r="KZE73" s="55"/>
      <c r="KZF73" s="55"/>
      <c r="KZG73" s="55"/>
      <c r="KZH73" s="55"/>
      <c r="KZI73" s="55"/>
      <c r="KZJ73" s="55"/>
      <c r="KZK73" s="55"/>
      <c r="KZL73" s="55"/>
      <c r="KZM73" s="55"/>
      <c r="KZN73" s="55"/>
      <c r="KZO73" s="55"/>
      <c r="KZP73" s="55"/>
      <c r="KZQ73" s="55"/>
      <c r="KZR73" s="55"/>
      <c r="KZS73" s="55"/>
      <c r="KZT73" s="55"/>
      <c r="KZU73" s="55"/>
      <c r="KZV73" s="55"/>
      <c r="KZW73" s="55"/>
      <c r="KZX73" s="55"/>
      <c r="KZY73" s="55"/>
      <c r="KZZ73" s="55"/>
      <c r="LAA73" s="55"/>
      <c r="LAB73" s="55"/>
      <c r="LAC73" s="55"/>
      <c r="LAD73" s="55"/>
      <c r="LAE73" s="55"/>
      <c r="LAF73" s="55"/>
      <c r="LAG73" s="55"/>
      <c r="LAH73" s="55"/>
      <c r="LAI73" s="55"/>
      <c r="LAJ73" s="55"/>
      <c r="LAK73" s="55"/>
      <c r="LAL73" s="55"/>
      <c r="LAM73" s="55"/>
      <c r="LAN73" s="55"/>
      <c r="LAO73" s="55"/>
      <c r="LAP73" s="55"/>
      <c r="LAQ73" s="55"/>
      <c r="LAR73" s="55"/>
      <c r="LAS73" s="55"/>
      <c r="LAT73" s="55"/>
      <c r="LAU73" s="55"/>
      <c r="LAV73" s="55"/>
      <c r="LAW73" s="55"/>
      <c r="LAX73" s="55"/>
      <c r="LAY73" s="55"/>
      <c r="LAZ73" s="55"/>
      <c r="LBA73" s="55"/>
      <c r="LBB73" s="55"/>
      <c r="LBC73" s="55"/>
      <c r="LBD73" s="55"/>
      <c r="LBE73" s="55"/>
      <c r="LBF73" s="55"/>
      <c r="LBG73" s="55"/>
      <c r="LBH73" s="55"/>
      <c r="LBI73" s="55"/>
      <c r="LBJ73" s="55"/>
      <c r="LBK73" s="55"/>
      <c r="LBL73" s="55"/>
      <c r="LBM73" s="55"/>
      <c r="LBN73" s="55"/>
      <c r="LBO73" s="55"/>
      <c r="LBP73" s="55"/>
      <c r="LBQ73" s="55"/>
      <c r="LBR73" s="55"/>
      <c r="LBS73" s="55"/>
      <c r="LBT73" s="55"/>
      <c r="LBU73" s="55"/>
      <c r="LBV73" s="55"/>
      <c r="LBW73" s="55"/>
      <c r="LBX73" s="55"/>
      <c r="LBY73" s="55"/>
      <c r="LBZ73" s="55"/>
      <c r="LCA73" s="55"/>
      <c r="LCB73" s="55"/>
      <c r="LCC73" s="55"/>
      <c r="LCD73" s="55"/>
      <c r="LCE73" s="55"/>
      <c r="LCF73" s="55"/>
      <c r="LCG73" s="55"/>
      <c r="LCH73" s="55"/>
      <c r="LCI73" s="55"/>
      <c r="LCJ73" s="55"/>
      <c r="LCK73" s="55"/>
      <c r="LCL73" s="55"/>
      <c r="LCM73" s="55"/>
      <c r="LCN73" s="55"/>
      <c r="LCO73" s="55"/>
      <c r="LCP73" s="55"/>
      <c r="LCQ73" s="55"/>
      <c r="LCR73" s="55"/>
      <c r="LCS73" s="55"/>
      <c r="LCT73" s="55"/>
      <c r="LCU73" s="55"/>
      <c r="LCV73" s="55"/>
      <c r="LCW73" s="55"/>
      <c r="LCX73" s="55"/>
      <c r="LCY73" s="55"/>
      <c r="LCZ73" s="55"/>
      <c r="LDA73" s="55"/>
      <c r="LDB73" s="55"/>
      <c r="LDC73" s="55"/>
      <c r="LDD73" s="55"/>
      <c r="LDE73" s="55"/>
      <c r="LDF73" s="55"/>
      <c r="LDG73" s="55"/>
      <c r="LDH73" s="55"/>
      <c r="LDI73" s="55"/>
      <c r="LDJ73" s="55"/>
      <c r="LDK73" s="55"/>
      <c r="LDL73" s="55"/>
      <c r="LDM73" s="55"/>
      <c r="LDN73" s="55"/>
      <c r="LDO73" s="55"/>
      <c r="LDP73" s="55"/>
      <c r="LDQ73" s="55"/>
      <c r="LDR73" s="55"/>
      <c r="LDS73" s="55"/>
      <c r="LDT73" s="55"/>
      <c r="LDU73" s="55"/>
      <c r="LDV73" s="55"/>
      <c r="LDW73" s="55"/>
      <c r="LDX73" s="55"/>
      <c r="LDY73" s="55"/>
      <c r="LDZ73" s="55"/>
      <c r="LEA73" s="55"/>
      <c r="LEB73" s="55"/>
      <c r="LEC73" s="55"/>
      <c r="LED73" s="55"/>
      <c r="LEE73" s="55"/>
      <c r="LEF73" s="55"/>
      <c r="LEG73" s="55"/>
      <c r="LEH73" s="55"/>
      <c r="LEI73" s="55"/>
      <c r="LEJ73" s="55"/>
      <c r="LEK73" s="55"/>
      <c r="LEL73" s="55"/>
      <c r="LEM73" s="55"/>
      <c r="LEN73" s="55"/>
      <c r="LEO73" s="55"/>
      <c r="LEP73" s="55"/>
      <c r="LEQ73" s="55"/>
      <c r="LER73" s="55"/>
      <c r="LES73" s="55"/>
      <c r="LET73" s="55"/>
      <c r="LEU73" s="55"/>
      <c r="LEV73" s="55"/>
      <c r="LEW73" s="55"/>
      <c r="LEX73" s="55"/>
      <c r="LEY73" s="55"/>
      <c r="LEZ73" s="55"/>
      <c r="LFA73" s="55"/>
      <c r="LFB73" s="55"/>
      <c r="LFC73" s="55"/>
      <c r="LFD73" s="55"/>
      <c r="LFE73" s="55"/>
      <c r="LFF73" s="55"/>
      <c r="LFG73" s="55"/>
      <c r="LFH73" s="55"/>
      <c r="LFI73" s="55"/>
      <c r="LFJ73" s="55"/>
      <c r="LFK73" s="55"/>
      <c r="LFL73" s="55"/>
      <c r="LFM73" s="55"/>
      <c r="LFN73" s="55"/>
      <c r="LFO73" s="55"/>
      <c r="LFP73" s="55"/>
      <c r="LFQ73" s="55"/>
      <c r="LFR73" s="55"/>
      <c r="LFS73" s="55"/>
      <c r="LFT73" s="55"/>
      <c r="LFU73" s="55"/>
      <c r="LFV73" s="55"/>
      <c r="LFW73" s="55"/>
      <c r="LFX73" s="55"/>
      <c r="LFY73" s="55"/>
      <c r="LFZ73" s="55"/>
      <c r="LGA73" s="55"/>
      <c r="LGB73" s="55"/>
      <c r="LGC73" s="55"/>
      <c r="LGD73" s="55"/>
      <c r="LGE73" s="55"/>
      <c r="LGF73" s="55"/>
      <c r="LGG73" s="55"/>
      <c r="LGH73" s="55"/>
      <c r="LGI73" s="55"/>
      <c r="LGJ73" s="55"/>
      <c r="LGK73" s="55"/>
      <c r="LGL73" s="55"/>
      <c r="LGM73" s="55"/>
      <c r="LGN73" s="55"/>
      <c r="LGO73" s="55"/>
      <c r="LGP73" s="55"/>
      <c r="LGQ73" s="55"/>
      <c r="LGR73" s="55"/>
      <c r="LGS73" s="55"/>
      <c r="LGT73" s="55"/>
      <c r="LGU73" s="55"/>
      <c r="LGV73" s="55"/>
      <c r="LGW73" s="55"/>
      <c r="LGX73" s="55"/>
      <c r="LGY73" s="55"/>
      <c r="LGZ73" s="55"/>
      <c r="LHA73" s="55"/>
      <c r="LHB73" s="55"/>
      <c r="LHC73" s="55"/>
      <c r="LHD73" s="55"/>
      <c r="LHE73" s="55"/>
      <c r="LHF73" s="55"/>
      <c r="LHG73" s="55"/>
      <c r="LHH73" s="55"/>
      <c r="LHI73" s="55"/>
      <c r="LHJ73" s="55"/>
      <c r="LHK73" s="55"/>
      <c r="LHL73" s="55"/>
      <c r="LHM73" s="55"/>
      <c r="LHN73" s="55"/>
      <c r="LHO73" s="55"/>
      <c r="LHP73" s="55"/>
      <c r="LHQ73" s="55"/>
      <c r="LHR73" s="55"/>
      <c r="LHS73" s="55"/>
      <c r="LHT73" s="55"/>
      <c r="LHU73" s="55"/>
      <c r="LHV73" s="55"/>
      <c r="LHW73" s="55"/>
      <c r="LHX73" s="55"/>
      <c r="LHY73" s="55"/>
      <c r="LHZ73" s="55"/>
      <c r="LIA73" s="55"/>
      <c r="LIB73" s="55"/>
      <c r="LIC73" s="55"/>
      <c r="LID73" s="55"/>
      <c r="LIE73" s="55"/>
      <c r="LIF73" s="55"/>
      <c r="LIG73" s="55"/>
      <c r="LIH73" s="55"/>
      <c r="LII73" s="55"/>
      <c r="LIJ73" s="55"/>
      <c r="LIK73" s="55"/>
      <c r="LIL73" s="55"/>
      <c r="LIM73" s="55"/>
      <c r="LIN73" s="55"/>
      <c r="LIO73" s="55"/>
      <c r="LIP73" s="55"/>
      <c r="LIQ73" s="55"/>
      <c r="LIR73" s="55"/>
      <c r="LIS73" s="55"/>
      <c r="LIT73" s="55"/>
      <c r="LIU73" s="55"/>
      <c r="LIV73" s="55"/>
      <c r="LIW73" s="55"/>
      <c r="LIX73" s="55"/>
      <c r="LIY73" s="55"/>
      <c r="LIZ73" s="55"/>
      <c r="LJA73" s="55"/>
      <c r="LJB73" s="55"/>
      <c r="LJC73" s="55"/>
      <c r="LJD73" s="55"/>
      <c r="LJE73" s="55"/>
      <c r="LJF73" s="55"/>
      <c r="LJG73" s="55"/>
      <c r="LJH73" s="55"/>
      <c r="LJI73" s="55"/>
      <c r="LJJ73" s="55"/>
      <c r="LJK73" s="55"/>
      <c r="LJL73" s="55"/>
      <c r="LJM73" s="55"/>
      <c r="LJN73" s="55"/>
      <c r="LJO73" s="55"/>
      <c r="LJP73" s="55"/>
      <c r="LJQ73" s="55"/>
      <c r="LJR73" s="55"/>
      <c r="LJS73" s="55"/>
      <c r="LJT73" s="55"/>
      <c r="LJU73" s="55"/>
      <c r="LJV73" s="55"/>
      <c r="LJW73" s="55"/>
      <c r="LJX73" s="55"/>
      <c r="LJY73" s="55"/>
      <c r="LJZ73" s="55"/>
      <c r="LKA73" s="55"/>
      <c r="LKB73" s="55"/>
      <c r="LKC73" s="55"/>
      <c r="LKD73" s="55"/>
      <c r="LKE73" s="55"/>
      <c r="LKF73" s="55"/>
      <c r="LKG73" s="55"/>
      <c r="LKH73" s="55"/>
      <c r="LKI73" s="55"/>
      <c r="LKJ73" s="55"/>
      <c r="LKK73" s="55"/>
      <c r="LKL73" s="55"/>
      <c r="LKM73" s="55"/>
      <c r="LKN73" s="55"/>
      <c r="LKO73" s="55"/>
      <c r="LKP73" s="55"/>
      <c r="LKQ73" s="55"/>
      <c r="LKR73" s="55"/>
      <c r="LKS73" s="55"/>
      <c r="LKT73" s="55"/>
      <c r="LKU73" s="55"/>
      <c r="LKV73" s="55"/>
      <c r="LKW73" s="55"/>
      <c r="LKX73" s="55"/>
      <c r="LKY73" s="55"/>
      <c r="LKZ73" s="55"/>
      <c r="LLA73" s="55"/>
      <c r="LLB73" s="55"/>
      <c r="LLC73" s="55"/>
      <c r="LLD73" s="55"/>
      <c r="LLE73" s="55"/>
      <c r="LLF73" s="55"/>
      <c r="LLG73" s="55"/>
      <c r="LLH73" s="55"/>
      <c r="LLI73" s="55"/>
      <c r="LLJ73" s="55"/>
      <c r="LLK73" s="55"/>
      <c r="LLL73" s="55"/>
      <c r="LLM73" s="55"/>
      <c r="LLN73" s="55"/>
      <c r="LLO73" s="55"/>
      <c r="LLP73" s="55"/>
      <c r="LLQ73" s="55"/>
      <c r="LLR73" s="55"/>
      <c r="LLS73" s="55"/>
      <c r="LLT73" s="55"/>
      <c r="LLU73" s="55"/>
      <c r="LLV73" s="55"/>
      <c r="LLW73" s="55"/>
      <c r="LLX73" s="55"/>
      <c r="LLY73" s="55"/>
      <c r="LLZ73" s="55"/>
      <c r="LMA73" s="55"/>
      <c r="LMB73" s="55"/>
      <c r="LMC73" s="55"/>
      <c r="LMD73" s="55"/>
      <c r="LME73" s="55"/>
      <c r="LMF73" s="55"/>
      <c r="LMG73" s="55"/>
      <c r="LMH73" s="55"/>
      <c r="LMI73" s="55"/>
      <c r="LMJ73" s="55"/>
      <c r="LMK73" s="55"/>
      <c r="LML73" s="55"/>
      <c r="LMM73" s="55"/>
      <c r="LMN73" s="55"/>
      <c r="LMO73" s="55"/>
      <c r="LMP73" s="55"/>
      <c r="LMQ73" s="55"/>
      <c r="LMR73" s="55"/>
      <c r="LMS73" s="55"/>
      <c r="LMT73" s="55"/>
      <c r="LMU73" s="55"/>
      <c r="LMV73" s="55"/>
      <c r="LMW73" s="55"/>
      <c r="LMX73" s="55"/>
      <c r="LMY73" s="55"/>
      <c r="LMZ73" s="55"/>
      <c r="LNA73" s="55"/>
      <c r="LNB73" s="55"/>
      <c r="LNC73" s="55"/>
      <c r="LND73" s="55"/>
      <c r="LNE73" s="55"/>
      <c r="LNF73" s="55"/>
      <c r="LNG73" s="55"/>
      <c r="LNH73" s="55"/>
      <c r="LNI73" s="55"/>
      <c r="LNJ73" s="55"/>
      <c r="LNK73" s="55"/>
      <c r="LNL73" s="55"/>
      <c r="LNM73" s="55"/>
      <c r="LNN73" s="55"/>
      <c r="LNO73" s="55"/>
      <c r="LNP73" s="55"/>
      <c r="LNQ73" s="55"/>
      <c r="LNR73" s="55"/>
      <c r="LNS73" s="55"/>
      <c r="LNT73" s="55"/>
      <c r="LNU73" s="55"/>
      <c r="LNV73" s="55"/>
      <c r="LNW73" s="55"/>
      <c r="LNX73" s="55"/>
      <c r="LNY73" s="55"/>
      <c r="LNZ73" s="55"/>
      <c r="LOA73" s="55"/>
      <c r="LOB73" s="55"/>
      <c r="LOC73" s="55"/>
      <c r="LOD73" s="55"/>
      <c r="LOE73" s="55"/>
      <c r="LOF73" s="55"/>
      <c r="LOG73" s="55"/>
      <c r="LOH73" s="55"/>
      <c r="LOI73" s="55"/>
      <c r="LOJ73" s="55"/>
      <c r="LOK73" s="55"/>
      <c r="LOL73" s="55"/>
      <c r="LOM73" s="55"/>
      <c r="LON73" s="55"/>
      <c r="LOO73" s="55"/>
      <c r="LOP73" s="55"/>
      <c r="LOQ73" s="55"/>
      <c r="LOR73" s="55"/>
      <c r="LOS73" s="55"/>
      <c r="LOT73" s="55"/>
      <c r="LOU73" s="55"/>
      <c r="LOV73" s="55"/>
      <c r="LOW73" s="55"/>
      <c r="LOX73" s="55"/>
      <c r="LOY73" s="55"/>
      <c r="LOZ73" s="55"/>
      <c r="LPA73" s="55"/>
      <c r="LPB73" s="55"/>
      <c r="LPC73" s="55"/>
      <c r="LPD73" s="55"/>
      <c r="LPE73" s="55"/>
      <c r="LPF73" s="55"/>
      <c r="LPG73" s="55"/>
      <c r="LPH73" s="55"/>
      <c r="LPI73" s="55"/>
      <c r="LPJ73" s="55"/>
      <c r="LPK73" s="55"/>
      <c r="LPL73" s="55"/>
      <c r="LPM73" s="55"/>
      <c r="LPN73" s="55"/>
      <c r="LPO73" s="55"/>
      <c r="LPP73" s="55"/>
      <c r="LPQ73" s="55"/>
      <c r="LPR73" s="55"/>
      <c r="LPS73" s="55"/>
      <c r="LPT73" s="55"/>
      <c r="LPU73" s="55"/>
      <c r="LPV73" s="55"/>
      <c r="LPW73" s="55"/>
      <c r="LPX73" s="55"/>
      <c r="LPY73" s="55"/>
      <c r="LPZ73" s="55"/>
      <c r="LQA73" s="55"/>
      <c r="LQB73" s="55"/>
      <c r="LQC73" s="55"/>
      <c r="LQD73" s="55"/>
      <c r="LQE73" s="55"/>
      <c r="LQF73" s="55"/>
      <c r="LQG73" s="55"/>
      <c r="LQH73" s="55"/>
      <c r="LQI73" s="55"/>
      <c r="LQJ73" s="55"/>
      <c r="LQK73" s="55"/>
      <c r="LQL73" s="55"/>
      <c r="LQM73" s="55"/>
      <c r="LQN73" s="55"/>
      <c r="LQO73" s="55"/>
      <c r="LQP73" s="55"/>
      <c r="LQQ73" s="55"/>
      <c r="LQR73" s="55"/>
      <c r="LQS73" s="55"/>
      <c r="LQT73" s="55"/>
      <c r="LQU73" s="55"/>
      <c r="LQV73" s="55"/>
      <c r="LQW73" s="55"/>
      <c r="LQX73" s="55"/>
      <c r="LQY73" s="55"/>
      <c r="LQZ73" s="55"/>
      <c r="LRA73" s="55"/>
      <c r="LRB73" s="55"/>
      <c r="LRC73" s="55"/>
      <c r="LRD73" s="55"/>
      <c r="LRE73" s="55"/>
      <c r="LRF73" s="55"/>
      <c r="LRG73" s="55"/>
      <c r="LRH73" s="55"/>
      <c r="LRI73" s="55"/>
      <c r="LRJ73" s="55"/>
      <c r="LRK73" s="55"/>
      <c r="LRL73" s="55"/>
      <c r="LRM73" s="55"/>
      <c r="LRN73" s="55"/>
      <c r="LRO73" s="55"/>
      <c r="LRP73" s="55"/>
      <c r="LRQ73" s="55"/>
      <c r="LRR73" s="55"/>
      <c r="LRS73" s="55"/>
      <c r="LRT73" s="55"/>
      <c r="LRU73" s="55"/>
      <c r="LRV73" s="55"/>
      <c r="LRW73" s="55"/>
      <c r="LRX73" s="55"/>
      <c r="LRY73" s="55"/>
      <c r="LRZ73" s="55"/>
      <c r="LSA73" s="55"/>
      <c r="LSB73" s="55"/>
      <c r="LSC73" s="55"/>
      <c r="LSD73" s="55"/>
      <c r="LSE73" s="55"/>
      <c r="LSF73" s="55"/>
      <c r="LSG73" s="55"/>
      <c r="LSH73" s="55"/>
      <c r="LSI73" s="55"/>
      <c r="LSJ73" s="55"/>
      <c r="LSK73" s="55"/>
      <c r="LSL73" s="55"/>
      <c r="LSM73" s="55"/>
      <c r="LSN73" s="55"/>
      <c r="LSO73" s="55"/>
      <c r="LSP73" s="55"/>
      <c r="LSQ73" s="55"/>
      <c r="LSR73" s="55"/>
      <c r="LSS73" s="55"/>
      <c r="LST73" s="55"/>
      <c r="LSU73" s="55"/>
      <c r="LSV73" s="55"/>
      <c r="LSW73" s="55"/>
      <c r="LSX73" s="55"/>
      <c r="LSY73" s="55"/>
      <c r="LSZ73" s="55"/>
      <c r="LTA73" s="55"/>
      <c r="LTB73" s="55"/>
      <c r="LTC73" s="55"/>
      <c r="LTD73" s="55"/>
      <c r="LTE73" s="55"/>
      <c r="LTF73" s="55"/>
      <c r="LTG73" s="55"/>
      <c r="LTH73" s="55"/>
      <c r="LTI73" s="55"/>
      <c r="LTJ73" s="55"/>
      <c r="LTK73" s="55"/>
      <c r="LTL73" s="55"/>
      <c r="LTM73" s="55"/>
      <c r="LTN73" s="55"/>
      <c r="LTO73" s="55"/>
      <c r="LTP73" s="55"/>
      <c r="LTQ73" s="55"/>
      <c r="LTR73" s="55"/>
      <c r="LTS73" s="55"/>
      <c r="LTT73" s="55"/>
      <c r="LTU73" s="55"/>
      <c r="LTV73" s="55"/>
      <c r="LTW73" s="55"/>
      <c r="LTX73" s="55"/>
      <c r="LTY73" s="55"/>
      <c r="LTZ73" s="55"/>
      <c r="LUA73" s="55"/>
      <c r="LUB73" s="55"/>
      <c r="LUC73" s="55"/>
      <c r="LUD73" s="55"/>
      <c r="LUE73" s="55"/>
      <c r="LUF73" s="55"/>
      <c r="LUG73" s="55"/>
      <c r="LUH73" s="55"/>
      <c r="LUI73" s="55"/>
      <c r="LUJ73" s="55"/>
      <c r="LUK73" s="55"/>
      <c r="LUL73" s="55"/>
      <c r="LUM73" s="55"/>
      <c r="LUN73" s="55"/>
      <c r="LUO73" s="55"/>
      <c r="LUP73" s="55"/>
      <c r="LUQ73" s="55"/>
      <c r="LUR73" s="55"/>
      <c r="LUS73" s="55"/>
      <c r="LUT73" s="55"/>
      <c r="LUU73" s="55"/>
      <c r="LUV73" s="55"/>
      <c r="LUW73" s="55"/>
      <c r="LUX73" s="55"/>
      <c r="LUY73" s="55"/>
      <c r="LUZ73" s="55"/>
      <c r="LVA73" s="55"/>
      <c r="LVB73" s="55"/>
      <c r="LVC73" s="55"/>
      <c r="LVD73" s="55"/>
      <c r="LVE73" s="55"/>
      <c r="LVF73" s="55"/>
      <c r="LVG73" s="55"/>
      <c r="LVH73" s="55"/>
      <c r="LVI73" s="55"/>
      <c r="LVJ73" s="55"/>
      <c r="LVK73" s="55"/>
      <c r="LVL73" s="55"/>
      <c r="LVM73" s="55"/>
      <c r="LVN73" s="55"/>
      <c r="LVO73" s="55"/>
      <c r="LVP73" s="55"/>
      <c r="LVQ73" s="55"/>
      <c r="LVR73" s="55"/>
      <c r="LVS73" s="55"/>
      <c r="LVT73" s="55"/>
      <c r="LVU73" s="55"/>
      <c r="LVV73" s="55"/>
      <c r="LVW73" s="55"/>
      <c r="LVX73" s="55"/>
      <c r="LVY73" s="55"/>
      <c r="LVZ73" s="55"/>
      <c r="LWA73" s="55"/>
      <c r="LWB73" s="55"/>
      <c r="LWC73" s="55"/>
      <c r="LWD73" s="55"/>
      <c r="LWE73" s="55"/>
      <c r="LWF73" s="55"/>
      <c r="LWG73" s="55"/>
      <c r="LWH73" s="55"/>
      <c r="LWI73" s="55"/>
      <c r="LWJ73" s="55"/>
      <c r="LWK73" s="55"/>
      <c r="LWL73" s="55"/>
      <c r="LWM73" s="55"/>
      <c r="LWN73" s="55"/>
      <c r="LWO73" s="55"/>
      <c r="LWP73" s="55"/>
      <c r="LWQ73" s="55"/>
      <c r="LWR73" s="55"/>
      <c r="LWS73" s="55"/>
      <c r="LWT73" s="55"/>
      <c r="LWU73" s="55"/>
      <c r="LWV73" s="55"/>
      <c r="LWW73" s="55"/>
      <c r="LWX73" s="55"/>
      <c r="LWY73" s="55"/>
      <c r="LWZ73" s="55"/>
      <c r="LXA73" s="55"/>
      <c r="LXB73" s="55"/>
      <c r="LXC73" s="55"/>
      <c r="LXD73" s="55"/>
      <c r="LXE73" s="55"/>
      <c r="LXF73" s="55"/>
      <c r="LXG73" s="55"/>
      <c r="LXH73" s="55"/>
      <c r="LXI73" s="55"/>
      <c r="LXJ73" s="55"/>
      <c r="LXK73" s="55"/>
      <c r="LXL73" s="55"/>
      <c r="LXM73" s="55"/>
      <c r="LXN73" s="55"/>
      <c r="LXO73" s="55"/>
      <c r="LXP73" s="55"/>
      <c r="LXQ73" s="55"/>
      <c r="LXR73" s="55"/>
      <c r="LXS73" s="55"/>
      <c r="LXT73" s="55"/>
      <c r="LXU73" s="55"/>
      <c r="LXV73" s="55"/>
      <c r="LXW73" s="55"/>
      <c r="LXX73" s="55"/>
      <c r="LXY73" s="55"/>
      <c r="LXZ73" s="55"/>
      <c r="LYA73" s="55"/>
      <c r="LYB73" s="55"/>
      <c r="LYC73" s="55"/>
      <c r="LYD73" s="55"/>
      <c r="LYE73" s="55"/>
      <c r="LYF73" s="55"/>
      <c r="LYG73" s="55"/>
      <c r="LYH73" s="55"/>
      <c r="LYI73" s="55"/>
      <c r="LYJ73" s="55"/>
      <c r="LYK73" s="55"/>
      <c r="LYL73" s="55"/>
      <c r="LYM73" s="55"/>
      <c r="LYN73" s="55"/>
      <c r="LYO73" s="55"/>
      <c r="LYP73" s="55"/>
      <c r="LYQ73" s="55"/>
      <c r="LYR73" s="55"/>
      <c r="LYS73" s="55"/>
      <c r="LYT73" s="55"/>
      <c r="LYU73" s="55"/>
      <c r="LYV73" s="55"/>
      <c r="LYW73" s="55"/>
      <c r="LYX73" s="55"/>
      <c r="LYY73" s="55"/>
      <c r="LYZ73" s="55"/>
      <c r="LZA73" s="55"/>
      <c r="LZB73" s="55"/>
      <c r="LZC73" s="55"/>
      <c r="LZD73" s="55"/>
      <c r="LZE73" s="55"/>
      <c r="LZF73" s="55"/>
      <c r="LZG73" s="55"/>
      <c r="LZH73" s="55"/>
      <c r="LZI73" s="55"/>
      <c r="LZJ73" s="55"/>
      <c r="LZK73" s="55"/>
      <c r="LZL73" s="55"/>
      <c r="LZM73" s="55"/>
      <c r="LZN73" s="55"/>
      <c r="LZO73" s="55"/>
      <c r="LZP73" s="55"/>
      <c r="LZQ73" s="55"/>
      <c r="LZR73" s="55"/>
      <c r="LZS73" s="55"/>
      <c r="LZT73" s="55"/>
      <c r="LZU73" s="55"/>
      <c r="LZV73" s="55"/>
      <c r="LZW73" s="55"/>
      <c r="LZX73" s="55"/>
      <c r="LZY73" s="55"/>
      <c r="LZZ73" s="55"/>
      <c r="MAA73" s="55"/>
      <c r="MAB73" s="55"/>
      <c r="MAC73" s="55"/>
      <c r="MAD73" s="55"/>
      <c r="MAE73" s="55"/>
      <c r="MAF73" s="55"/>
      <c r="MAG73" s="55"/>
      <c r="MAH73" s="55"/>
      <c r="MAI73" s="55"/>
      <c r="MAJ73" s="55"/>
      <c r="MAK73" s="55"/>
      <c r="MAL73" s="55"/>
      <c r="MAM73" s="55"/>
      <c r="MAN73" s="55"/>
      <c r="MAO73" s="55"/>
      <c r="MAP73" s="55"/>
      <c r="MAQ73" s="55"/>
      <c r="MAR73" s="55"/>
      <c r="MAS73" s="55"/>
      <c r="MAT73" s="55"/>
      <c r="MAU73" s="55"/>
      <c r="MAV73" s="55"/>
      <c r="MAW73" s="55"/>
      <c r="MAX73" s="55"/>
      <c r="MAY73" s="55"/>
      <c r="MAZ73" s="55"/>
      <c r="MBA73" s="55"/>
      <c r="MBB73" s="55"/>
      <c r="MBC73" s="55"/>
      <c r="MBD73" s="55"/>
      <c r="MBE73" s="55"/>
      <c r="MBF73" s="55"/>
      <c r="MBG73" s="55"/>
      <c r="MBH73" s="55"/>
      <c r="MBI73" s="55"/>
      <c r="MBJ73" s="55"/>
      <c r="MBK73" s="55"/>
      <c r="MBL73" s="55"/>
      <c r="MBM73" s="55"/>
      <c r="MBN73" s="55"/>
      <c r="MBO73" s="55"/>
      <c r="MBP73" s="55"/>
      <c r="MBQ73" s="55"/>
      <c r="MBR73" s="55"/>
      <c r="MBS73" s="55"/>
      <c r="MBT73" s="55"/>
      <c r="MBU73" s="55"/>
      <c r="MBV73" s="55"/>
      <c r="MBW73" s="55"/>
      <c r="MBX73" s="55"/>
      <c r="MBY73" s="55"/>
      <c r="MBZ73" s="55"/>
      <c r="MCA73" s="55"/>
      <c r="MCB73" s="55"/>
      <c r="MCC73" s="55"/>
      <c r="MCD73" s="55"/>
      <c r="MCE73" s="55"/>
      <c r="MCF73" s="55"/>
      <c r="MCG73" s="55"/>
      <c r="MCH73" s="55"/>
      <c r="MCI73" s="55"/>
      <c r="MCJ73" s="55"/>
      <c r="MCK73" s="55"/>
      <c r="MCL73" s="55"/>
      <c r="MCM73" s="55"/>
      <c r="MCN73" s="55"/>
      <c r="MCO73" s="55"/>
      <c r="MCP73" s="55"/>
      <c r="MCQ73" s="55"/>
      <c r="MCR73" s="55"/>
      <c r="MCS73" s="55"/>
      <c r="MCT73" s="55"/>
      <c r="MCU73" s="55"/>
      <c r="MCV73" s="55"/>
      <c r="MCW73" s="55"/>
      <c r="MCX73" s="55"/>
      <c r="MCY73" s="55"/>
      <c r="MCZ73" s="55"/>
      <c r="MDA73" s="55"/>
      <c r="MDB73" s="55"/>
      <c r="MDC73" s="55"/>
      <c r="MDD73" s="55"/>
      <c r="MDE73" s="55"/>
      <c r="MDF73" s="55"/>
      <c r="MDG73" s="55"/>
      <c r="MDH73" s="55"/>
      <c r="MDI73" s="55"/>
      <c r="MDJ73" s="55"/>
      <c r="MDK73" s="55"/>
      <c r="MDL73" s="55"/>
      <c r="MDM73" s="55"/>
      <c r="MDN73" s="55"/>
      <c r="MDO73" s="55"/>
      <c r="MDP73" s="55"/>
      <c r="MDQ73" s="55"/>
      <c r="MDR73" s="55"/>
      <c r="MDS73" s="55"/>
      <c r="MDT73" s="55"/>
      <c r="MDU73" s="55"/>
      <c r="MDV73" s="55"/>
      <c r="MDW73" s="55"/>
      <c r="MDX73" s="55"/>
      <c r="MDY73" s="55"/>
      <c r="MDZ73" s="55"/>
      <c r="MEA73" s="55"/>
      <c r="MEB73" s="55"/>
      <c r="MEC73" s="55"/>
      <c r="MED73" s="55"/>
      <c r="MEE73" s="55"/>
      <c r="MEF73" s="55"/>
      <c r="MEG73" s="55"/>
      <c r="MEH73" s="55"/>
      <c r="MEI73" s="55"/>
      <c r="MEJ73" s="55"/>
      <c r="MEK73" s="55"/>
      <c r="MEL73" s="55"/>
      <c r="MEM73" s="55"/>
      <c r="MEN73" s="55"/>
      <c r="MEO73" s="55"/>
      <c r="MEP73" s="55"/>
      <c r="MEQ73" s="55"/>
      <c r="MER73" s="55"/>
      <c r="MES73" s="55"/>
      <c r="MET73" s="55"/>
      <c r="MEU73" s="55"/>
      <c r="MEV73" s="55"/>
      <c r="MEW73" s="55"/>
      <c r="MEX73" s="55"/>
      <c r="MEY73" s="55"/>
      <c r="MEZ73" s="55"/>
      <c r="MFA73" s="55"/>
      <c r="MFB73" s="55"/>
      <c r="MFC73" s="55"/>
      <c r="MFD73" s="55"/>
      <c r="MFE73" s="55"/>
      <c r="MFF73" s="55"/>
      <c r="MFG73" s="55"/>
      <c r="MFH73" s="55"/>
      <c r="MFI73" s="55"/>
      <c r="MFJ73" s="55"/>
      <c r="MFK73" s="55"/>
      <c r="MFL73" s="55"/>
      <c r="MFM73" s="55"/>
      <c r="MFN73" s="55"/>
      <c r="MFO73" s="55"/>
      <c r="MFP73" s="55"/>
      <c r="MFQ73" s="55"/>
      <c r="MFR73" s="55"/>
      <c r="MFS73" s="55"/>
      <c r="MFT73" s="55"/>
      <c r="MFU73" s="55"/>
      <c r="MFV73" s="55"/>
      <c r="MFW73" s="55"/>
      <c r="MFX73" s="55"/>
      <c r="MFY73" s="55"/>
      <c r="MFZ73" s="55"/>
      <c r="MGA73" s="55"/>
      <c r="MGB73" s="55"/>
      <c r="MGC73" s="55"/>
      <c r="MGD73" s="55"/>
      <c r="MGE73" s="55"/>
      <c r="MGF73" s="55"/>
      <c r="MGG73" s="55"/>
      <c r="MGH73" s="55"/>
      <c r="MGI73" s="55"/>
      <c r="MGJ73" s="55"/>
      <c r="MGK73" s="55"/>
      <c r="MGL73" s="55"/>
      <c r="MGM73" s="55"/>
      <c r="MGN73" s="55"/>
      <c r="MGO73" s="55"/>
      <c r="MGP73" s="55"/>
      <c r="MGQ73" s="55"/>
      <c r="MGR73" s="55"/>
      <c r="MGS73" s="55"/>
      <c r="MGT73" s="55"/>
      <c r="MGU73" s="55"/>
      <c r="MGV73" s="55"/>
      <c r="MGW73" s="55"/>
      <c r="MGX73" s="55"/>
      <c r="MGY73" s="55"/>
      <c r="MGZ73" s="55"/>
      <c r="MHA73" s="55"/>
      <c r="MHB73" s="55"/>
      <c r="MHC73" s="55"/>
      <c r="MHD73" s="55"/>
      <c r="MHE73" s="55"/>
      <c r="MHF73" s="55"/>
      <c r="MHG73" s="55"/>
      <c r="MHH73" s="55"/>
      <c r="MHI73" s="55"/>
      <c r="MHJ73" s="55"/>
      <c r="MHK73" s="55"/>
      <c r="MHL73" s="55"/>
      <c r="MHM73" s="55"/>
      <c r="MHN73" s="55"/>
      <c r="MHO73" s="55"/>
      <c r="MHP73" s="55"/>
      <c r="MHQ73" s="55"/>
      <c r="MHR73" s="55"/>
      <c r="MHS73" s="55"/>
      <c r="MHT73" s="55"/>
      <c r="MHU73" s="55"/>
      <c r="MHV73" s="55"/>
      <c r="MHW73" s="55"/>
      <c r="MHX73" s="55"/>
      <c r="MHY73" s="55"/>
      <c r="MHZ73" s="55"/>
      <c r="MIA73" s="55"/>
      <c r="MIB73" s="55"/>
      <c r="MIC73" s="55"/>
      <c r="MID73" s="55"/>
      <c r="MIE73" s="55"/>
      <c r="MIF73" s="55"/>
      <c r="MIG73" s="55"/>
      <c r="MIH73" s="55"/>
      <c r="MII73" s="55"/>
      <c r="MIJ73" s="55"/>
      <c r="MIK73" s="55"/>
      <c r="MIL73" s="55"/>
      <c r="MIM73" s="55"/>
      <c r="MIN73" s="55"/>
      <c r="MIO73" s="55"/>
      <c r="MIP73" s="55"/>
      <c r="MIQ73" s="55"/>
      <c r="MIR73" s="55"/>
      <c r="MIS73" s="55"/>
      <c r="MIT73" s="55"/>
      <c r="MIU73" s="55"/>
      <c r="MIV73" s="55"/>
      <c r="MIW73" s="55"/>
      <c r="MIX73" s="55"/>
      <c r="MIY73" s="55"/>
      <c r="MIZ73" s="55"/>
      <c r="MJA73" s="55"/>
      <c r="MJB73" s="55"/>
      <c r="MJC73" s="55"/>
      <c r="MJD73" s="55"/>
      <c r="MJE73" s="55"/>
      <c r="MJF73" s="55"/>
      <c r="MJG73" s="55"/>
      <c r="MJH73" s="55"/>
      <c r="MJI73" s="55"/>
      <c r="MJJ73" s="55"/>
      <c r="MJK73" s="55"/>
      <c r="MJL73" s="55"/>
      <c r="MJM73" s="55"/>
      <c r="MJN73" s="55"/>
      <c r="MJO73" s="55"/>
      <c r="MJP73" s="55"/>
      <c r="MJQ73" s="55"/>
      <c r="MJR73" s="55"/>
      <c r="MJS73" s="55"/>
      <c r="MJT73" s="55"/>
      <c r="MJU73" s="55"/>
      <c r="MJV73" s="55"/>
      <c r="MJW73" s="55"/>
      <c r="MJX73" s="55"/>
      <c r="MJY73" s="55"/>
      <c r="MJZ73" s="55"/>
      <c r="MKA73" s="55"/>
      <c r="MKB73" s="55"/>
      <c r="MKC73" s="55"/>
      <c r="MKD73" s="55"/>
      <c r="MKE73" s="55"/>
      <c r="MKF73" s="55"/>
      <c r="MKG73" s="55"/>
      <c r="MKH73" s="55"/>
      <c r="MKI73" s="55"/>
      <c r="MKJ73" s="55"/>
      <c r="MKK73" s="55"/>
      <c r="MKL73" s="55"/>
      <c r="MKM73" s="55"/>
      <c r="MKN73" s="55"/>
      <c r="MKO73" s="55"/>
      <c r="MKP73" s="55"/>
      <c r="MKQ73" s="55"/>
      <c r="MKR73" s="55"/>
      <c r="MKS73" s="55"/>
      <c r="MKT73" s="55"/>
      <c r="MKU73" s="55"/>
      <c r="MKV73" s="55"/>
      <c r="MKW73" s="55"/>
      <c r="MKX73" s="55"/>
      <c r="MKY73" s="55"/>
      <c r="MKZ73" s="55"/>
      <c r="MLA73" s="55"/>
      <c r="MLB73" s="55"/>
      <c r="MLC73" s="55"/>
      <c r="MLD73" s="55"/>
      <c r="MLE73" s="55"/>
      <c r="MLF73" s="55"/>
      <c r="MLG73" s="55"/>
      <c r="MLH73" s="55"/>
      <c r="MLI73" s="55"/>
      <c r="MLJ73" s="55"/>
      <c r="MLK73" s="55"/>
      <c r="MLL73" s="55"/>
      <c r="MLM73" s="55"/>
      <c r="MLN73" s="55"/>
      <c r="MLO73" s="55"/>
      <c r="MLP73" s="55"/>
      <c r="MLQ73" s="55"/>
      <c r="MLR73" s="55"/>
      <c r="MLS73" s="55"/>
      <c r="MLT73" s="55"/>
      <c r="MLU73" s="55"/>
      <c r="MLV73" s="55"/>
      <c r="MLW73" s="55"/>
      <c r="MLX73" s="55"/>
      <c r="MLY73" s="55"/>
      <c r="MLZ73" s="55"/>
      <c r="MMA73" s="55"/>
      <c r="MMB73" s="55"/>
      <c r="MMC73" s="55"/>
      <c r="MMD73" s="55"/>
      <c r="MME73" s="55"/>
      <c r="MMF73" s="55"/>
      <c r="MMG73" s="55"/>
      <c r="MMH73" s="55"/>
      <c r="MMI73" s="55"/>
      <c r="MMJ73" s="55"/>
      <c r="MMK73" s="55"/>
      <c r="MML73" s="55"/>
      <c r="MMM73" s="55"/>
      <c r="MMN73" s="55"/>
      <c r="MMO73" s="55"/>
      <c r="MMP73" s="55"/>
      <c r="MMQ73" s="55"/>
      <c r="MMR73" s="55"/>
      <c r="MMS73" s="55"/>
      <c r="MMT73" s="55"/>
      <c r="MMU73" s="55"/>
      <c r="MMV73" s="55"/>
      <c r="MMW73" s="55"/>
      <c r="MMX73" s="55"/>
      <c r="MMY73" s="55"/>
      <c r="MMZ73" s="55"/>
      <c r="MNA73" s="55"/>
      <c r="MNB73" s="55"/>
      <c r="MNC73" s="55"/>
      <c r="MND73" s="55"/>
      <c r="MNE73" s="55"/>
      <c r="MNF73" s="55"/>
      <c r="MNG73" s="55"/>
      <c r="MNH73" s="55"/>
      <c r="MNI73" s="55"/>
      <c r="MNJ73" s="55"/>
      <c r="MNK73" s="55"/>
      <c r="MNL73" s="55"/>
      <c r="MNM73" s="55"/>
      <c r="MNN73" s="55"/>
      <c r="MNO73" s="55"/>
      <c r="MNP73" s="55"/>
      <c r="MNQ73" s="55"/>
      <c r="MNR73" s="55"/>
      <c r="MNS73" s="55"/>
      <c r="MNT73" s="55"/>
      <c r="MNU73" s="55"/>
      <c r="MNV73" s="55"/>
      <c r="MNW73" s="55"/>
      <c r="MNX73" s="55"/>
      <c r="MNY73" s="55"/>
      <c r="MNZ73" s="55"/>
      <c r="MOA73" s="55"/>
      <c r="MOB73" s="55"/>
      <c r="MOC73" s="55"/>
      <c r="MOD73" s="55"/>
      <c r="MOE73" s="55"/>
      <c r="MOF73" s="55"/>
      <c r="MOG73" s="55"/>
      <c r="MOH73" s="55"/>
      <c r="MOI73" s="55"/>
      <c r="MOJ73" s="55"/>
      <c r="MOK73" s="55"/>
      <c r="MOL73" s="55"/>
      <c r="MOM73" s="55"/>
      <c r="MON73" s="55"/>
      <c r="MOO73" s="55"/>
      <c r="MOP73" s="55"/>
      <c r="MOQ73" s="55"/>
      <c r="MOR73" s="55"/>
      <c r="MOS73" s="55"/>
      <c r="MOT73" s="55"/>
      <c r="MOU73" s="55"/>
      <c r="MOV73" s="55"/>
      <c r="MOW73" s="55"/>
      <c r="MOX73" s="55"/>
      <c r="MOY73" s="55"/>
      <c r="MOZ73" s="55"/>
      <c r="MPA73" s="55"/>
      <c r="MPB73" s="55"/>
      <c r="MPC73" s="55"/>
      <c r="MPD73" s="55"/>
      <c r="MPE73" s="55"/>
      <c r="MPF73" s="55"/>
      <c r="MPG73" s="55"/>
      <c r="MPH73" s="55"/>
      <c r="MPI73" s="55"/>
      <c r="MPJ73" s="55"/>
      <c r="MPK73" s="55"/>
      <c r="MPL73" s="55"/>
      <c r="MPM73" s="55"/>
      <c r="MPN73" s="55"/>
      <c r="MPO73" s="55"/>
      <c r="MPP73" s="55"/>
      <c r="MPQ73" s="55"/>
      <c r="MPR73" s="55"/>
      <c r="MPS73" s="55"/>
      <c r="MPT73" s="55"/>
      <c r="MPU73" s="55"/>
      <c r="MPV73" s="55"/>
      <c r="MPW73" s="55"/>
      <c r="MPX73" s="55"/>
      <c r="MPY73" s="55"/>
      <c r="MPZ73" s="55"/>
      <c r="MQA73" s="55"/>
      <c r="MQB73" s="55"/>
      <c r="MQC73" s="55"/>
      <c r="MQD73" s="55"/>
      <c r="MQE73" s="55"/>
      <c r="MQF73" s="55"/>
      <c r="MQG73" s="55"/>
      <c r="MQH73" s="55"/>
      <c r="MQI73" s="55"/>
      <c r="MQJ73" s="55"/>
      <c r="MQK73" s="55"/>
      <c r="MQL73" s="55"/>
      <c r="MQM73" s="55"/>
      <c r="MQN73" s="55"/>
      <c r="MQO73" s="55"/>
      <c r="MQP73" s="55"/>
      <c r="MQQ73" s="55"/>
      <c r="MQR73" s="55"/>
      <c r="MQS73" s="55"/>
      <c r="MQT73" s="55"/>
      <c r="MQU73" s="55"/>
      <c r="MQV73" s="55"/>
      <c r="MQW73" s="55"/>
      <c r="MQX73" s="55"/>
      <c r="MQY73" s="55"/>
      <c r="MQZ73" s="55"/>
      <c r="MRA73" s="55"/>
      <c r="MRB73" s="55"/>
      <c r="MRC73" s="55"/>
      <c r="MRD73" s="55"/>
      <c r="MRE73" s="55"/>
      <c r="MRF73" s="55"/>
      <c r="MRG73" s="55"/>
      <c r="MRH73" s="55"/>
      <c r="MRI73" s="55"/>
      <c r="MRJ73" s="55"/>
      <c r="MRK73" s="55"/>
      <c r="MRL73" s="55"/>
      <c r="MRM73" s="55"/>
      <c r="MRN73" s="55"/>
      <c r="MRO73" s="55"/>
      <c r="MRP73" s="55"/>
      <c r="MRQ73" s="55"/>
      <c r="MRR73" s="55"/>
      <c r="MRS73" s="55"/>
      <c r="MRT73" s="55"/>
      <c r="MRU73" s="55"/>
      <c r="MRV73" s="55"/>
      <c r="MRW73" s="55"/>
      <c r="MRX73" s="55"/>
      <c r="MRY73" s="55"/>
      <c r="MRZ73" s="55"/>
      <c r="MSA73" s="55"/>
      <c r="MSB73" s="55"/>
      <c r="MSC73" s="55"/>
      <c r="MSD73" s="55"/>
      <c r="MSE73" s="55"/>
      <c r="MSF73" s="55"/>
      <c r="MSG73" s="55"/>
      <c r="MSH73" s="55"/>
      <c r="MSI73" s="55"/>
      <c r="MSJ73" s="55"/>
      <c r="MSK73" s="55"/>
      <c r="MSL73" s="55"/>
      <c r="MSM73" s="55"/>
      <c r="MSN73" s="55"/>
      <c r="MSO73" s="55"/>
      <c r="MSP73" s="55"/>
      <c r="MSQ73" s="55"/>
      <c r="MSR73" s="55"/>
      <c r="MSS73" s="55"/>
      <c r="MST73" s="55"/>
      <c r="MSU73" s="55"/>
      <c r="MSV73" s="55"/>
      <c r="MSW73" s="55"/>
      <c r="MSX73" s="55"/>
      <c r="MSY73" s="55"/>
      <c r="MSZ73" s="55"/>
      <c r="MTA73" s="55"/>
      <c r="MTB73" s="55"/>
      <c r="MTC73" s="55"/>
      <c r="MTD73" s="55"/>
      <c r="MTE73" s="55"/>
      <c r="MTF73" s="55"/>
      <c r="MTG73" s="55"/>
      <c r="MTH73" s="55"/>
      <c r="MTI73" s="55"/>
      <c r="MTJ73" s="55"/>
      <c r="MTK73" s="55"/>
      <c r="MTL73" s="55"/>
      <c r="MTM73" s="55"/>
      <c r="MTN73" s="55"/>
      <c r="MTO73" s="55"/>
      <c r="MTP73" s="55"/>
      <c r="MTQ73" s="55"/>
      <c r="MTR73" s="55"/>
      <c r="MTS73" s="55"/>
      <c r="MTT73" s="55"/>
      <c r="MTU73" s="55"/>
      <c r="MTV73" s="55"/>
      <c r="MTW73" s="55"/>
      <c r="MTX73" s="55"/>
      <c r="MTY73" s="55"/>
      <c r="MTZ73" s="55"/>
      <c r="MUA73" s="55"/>
      <c r="MUB73" s="55"/>
      <c r="MUC73" s="55"/>
      <c r="MUD73" s="55"/>
      <c r="MUE73" s="55"/>
      <c r="MUF73" s="55"/>
      <c r="MUG73" s="55"/>
      <c r="MUH73" s="55"/>
      <c r="MUI73" s="55"/>
      <c r="MUJ73" s="55"/>
      <c r="MUK73" s="55"/>
      <c r="MUL73" s="55"/>
      <c r="MUM73" s="55"/>
      <c r="MUN73" s="55"/>
      <c r="MUO73" s="55"/>
      <c r="MUP73" s="55"/>
      <c r="MUQ73" s="55"/>
      <c r="MUR73" s="55"/>
      <c r="MUS73" s="55"/>
      <c r="MUT73" s="55"/>
      <c r="MUU73" s="55"/>
      <c r="MUV73" s="55"/>
      <c r="MUW73" s="55"/>
      <c r="MUX73" s="55"/>
      <c r="MUY73" s="55"/>
      <c r="MUZ73" s="55"/>
      <c r="MVA73" s="55"/>
      <c r="MVB73" s="55"/>
      <c r="MVC73" s="55"/>
      <c r="MVD73" s="55"/>
      <c r="MVE73" s="55"/>
      <c r="MVF73" s="55"/>
      <c r="MVG73" s="55"/>
      <c r="MVH73" s="55"/>
      <c r="MVI73" s="55"/>
      <c r="MVJ73" s="55"/>
      <c r="MVK73" s="55"/>
      <c r="MVL73" s="55"/>
      <c r="MVM73" s="55"/>
      <c r="MVN73" s="55"/>
      <c r="MVO73" s="55"/>
      <c r="MVP73" s="55"/>
      <c r="MVQ73" s="55"/>
      <c r="MVR73" s="55"/>
      <c r="MVS73" s="55"/>
      <c r="MVT73" s="55"/>
      <c r="MVU73" s="55"/>
      <c r="MVV73" s="55"/>
      <c r="MVW73" s="55"/>
      <c r="MVX73" s="55"/>
      <c r="MVY73" s="55"/>
      <c r="MVZ73" s="55"/>
      <c r="MWA73" s="55"/>
      <c r="MWB73" s="55"/>
      <c r="MWC73" s="55"/>
      <c r="MWD73" s="55"/>
      <c r="MWE73" s="55"/>
      <c r="MWF73" s="55"/>
      <c r="MWG73" s="55"/>
      <c r="MWH73" s="55"/>
      <c r="MWI73" s="55"/>
      <c r="MWJ73" s="55"/>
      <c r="MWK73" s="55"/>
      <c r="MWL73" s="55"/>
      <c r="MWM73" s="55"/>
      <c r="MWN73" s="55"/>
      <c r="MWO73" s="55"/>
      <c r="MWP73" s="55"/>
      <c r="MWQ73" s="55"/>
      <c r="MWR73" s="55"/>
      <c r="MWS73" s="55"/>
      <c r="MWT73" s="55"/>
      <c r="MWU73" s="55"/>
      <c r="MWV73" s="55"/>
      <c r="MWW73" s="55"/>
      <c r="MWX73" s="55"/>
      <c r="MWY73" s="55"/>
      <c r="MWZ73" s="55"/>
      <c r="MXA73" s="55"/>
      <c r="MXB73" s="55"/>
      <c r="MXC73" s="55"/>
      <c r="MXD73" s="55"/>
      <c r="MXE73" s="55"/>
      <c r="MXF73" s="55"/>
      <c r="MXG73" s="55"/>
      <c r="MXH73" s="55"/>
      <c r="MXI73" s="55"/>
      <c r="MXJ73" s="55"/>
      <c r="MXK73" s="55"/>
      <c r="MXL73" s="55"/>
      <c r="MXM73" s="55"/>
      <c r="MXN73" s="55"/>
      <c r="MXO73" s="55"/>
      <c r="MXP73" s="55"/>
      <c r="MXQ73" s="55"/>
      <c r="MXR73" s="55"/>
      <c r="MXS73" s="55"/>
      <c r="MXT73" s="55"/>
      <c r="MXU73" s="55"/>
      <c r="MXV73" s="55"/>
      <c r="MXW73" s="55"/>
      <c r="MXX73" s="55"/>
      <c r="MXY73" s="55"/>
      <c r="MXZ73" s="55"/>
      <c r="MYA73" s="55"/>
      <c r="MYB73" s="55"/>
      <c r="MYC73" s="55"/>
      <c r="MYD73" s="55"/>
      <c r="MYE73" s="55"/>
      <c r="MYF73" s="55"/>
      <c r="MYG73" s="55"/>
      <c r="MYH73" s="55"/>
      <c r="MYI73" s="55"/>
      <c r="MYJ73" s="55"/>
      <c r="MYK73" s="55"/>
      <c r="MYL73" s="55"/>
      <c r="MYM73" s="55"/>
      <c r="MYN73" s="55"/>
      <c r="MYO73" s="55"/>
      <c r="MYP73" s="55"/>
      <c r="MYQ73" s="55"/>
      <c r="MYR73" s="55"/>
      <c r="MYS73" s="55"/>
      <c r="MYT73" s="55"/>
      <c r="MYU73" s="55"/>
      <c r="MYV73" s="55"/>
      <c r="MYW73" s="55"/>
      <c r="MYX73" s="55"/>
      <c r="MYY73" s="55"/>
      <c r="MYZ73" s="55"/>
      <c r="MZA73" s="55"/>
      <c r="MZB73" s="55"/>
      <c r="MZC73" s="55"/>
      <c r="MZD73" s="55"/>
      <c r="MZE73" s="55"/>
      <c r="MZF73" s="55"/>
      <c r="MZG73" s="55"/>
      <c r="MZH73" s="55"/>
      <c r="MZI73" s="55"/>
      <c r="MZJ73" s="55"/>
      <c r="MZK73" s="55"/>
      <c r="MZL73" s="55"/>
      <c r="MZM73" s="55"/>
      <c r="MZN73" s="55"/>
      <c r="MZO73" s="55"/>
      <c r="MZP73" s="55"/>
      <c r="MZQ73" s="55"/>
      <c r="MZR73" s="55"/>
      <c r="MZS73" s="55"/>
      <c r="MZT73" s="55"/>
      <c r="MZU73" s="55"/>
      <c r="MZV73" s="55"/>
      <c r="MZW73" s="55"/>
      <c r="MZX73" s="55"/>
      <c r="MZY73" s="55"/>
      <c r="MZZ73" s="55"/>
      <c r="NAA73" s="55"/>
      <c r="NAB73" s="55"/>
      <c r="NAC73" s="55"/>
      <c r="NAD73" s="55"/>
      <c r="NAE73" s="55"/>
      <c r="NAF73" s="55"/>
      <c r="NAG73" s="55"/>
      <c r="NAH73" s="55"/>
      <c r="NAI73" s="55"/>
      <c r="NAJ73" s="55"/>
      <c r="NAK73" s="55"/>
      <c r="NAL73" s="55"/>
      <c r="NAM73" s="55"/>
      <c r="NAN73" s="55"/>
      <c r="NAO73" s="55"/>
      <c r="NAP73" s="55"/>
      <c r="NAQ73" s="55"/>
      <c r="NAR73" s="55"/>
      <c r="NAS73" s="55"/>
      <c r="NAT73" s="55"/>
      <c r="NAU73" s="55"/>
      <c r="NAV73" s="55"/>
      <c r="NAW73" s="55"/>
      <c r="NAX73" s="55"/>
      <c r="NAY73" s="55"/>
      <c r="NAZ73" s="55"/>
      <c r="NBA73" s="55"/>
      <c r="NBB73" s="55"/>
      <c r="NBC73" s="55"/>
      <c r="NBD73" s="55"/>
      <c r="NBE73" s="55"/>
      <c r="NBF73" s="55"/>
      <c r="NBG73" s="55"/>
      <c r="NBH73" s="55"/>
      <c r="NBI73" s="55"/>
      <c r="NBJ73" s="55"/>
      <c r="NBK73" s="55"/>
      <c r="NBL73" s="55"/>
      <c r="NBM73" s="55"/>
      <c r="NBN73" s="55"/>
      <c r="NBO73" s="55"/>
      <c r="NBP73" s="55"/>
      <c r="NBQ73" s="55"/>
      <c r="NBR73" s="55"/>
      <c r="NBS73" s="55"/>
      <c r="NBT73" s="55"/>
      <c r="NBU73" s="55"/>
      <c r="NBV73" s="55"/>
      <c r="NBW73" s="55"/>
      <c r="NBX73" s="55"/>
      <c r="NBY73" s="55"/>
      <c r="NBZ73" s="55"/>
      <c r="NCA73" s="55"/>
      <c r="NCB73" s="55"/>
      <c r="NCC73" s="55"/>
      <c r="NCD73" s="55"/>
      <c r="NCE73" s="55"/>
      <c r="NCF73" s="55"/>
      <c r="NCG73" s="55"/>
      <c r="NCH73" s="55"/>
      <c r="NCI73" s="55"/>
      <c r="NCJ73" s="55"/>
      <c r="NCK73" s="55"/>
      <c r="NCL73" s="55"/>
      <c r="NCM73" s="55"/>
      <c r="NCN73" s="55"/>
      <c r="NCO73" s="55"/>
      <c r="NCP73" s="55"/>
      <c r="NCQ73" s="55"/>
      <c r="NCR73" s="55"/>
      <c r="NCS73" s="55"/>
      <c r="NCT73" s="55"/>
      <c r="NCU73" s="55"/>
      <c r="NCV73" s="55"/>
      <c r="NCW73" s="55"/>
      <c r="NCX73" s="55"/>
      <c r="NCY73" s="55"/>
      <c r="NCZ73" s="55"/>
      <c r="NDA73" s="55"/>
      <c r="NDB73" s="55"/>
      <c r="NDC73" s="55"/>
      <c r="NDD73" s="55"/>
      <c r="NDE73" s="55"/>
      <c r="NDF73" s="55"/>
      <c r="NDG73" s="55"/>
      <c r="NDH73" s="55"/>
      <c r="NDI73" s="55"/>
      <c r="NDJ73" s="55"/>
      <c r="NDK73" s="55"/>
      <c r="NDL73" s="55"/>
      <c r="NDM73" s="55"/>
      <c r="NDN73" s="55"/>
      <c r="NDO73" s="55"/>
      <c r="NDP73" s="55"/>
      <c r="NDQ73" s="55"/>
      <c r="NDR73" s="55"/>
      <c r="NDS73" s="55"/>
      <c r="NDT73" s="55"/>
      <c r="NDU73" s="55"/>
      <c r="NDV73" s="55"/>
      <c r="NDW73" s="55"/>
      <c r="NDX73" s="55"/>
      <c r="NDY73" s="55"/>
      <c r="NDZ73" s="55"/>
      <c r="NEA73" s="55"/>
      <c r="NEB73" s="55"/>
      <c r="NEC73" s="55"/>
      <c r="NED73" s="55"/>
      <c r="NEE73" s="55"/>
      <c r="NEF73" s="55"/>
      <c r="NEG73" s="55"/>
      <c r="NEH73" s="55"/>
      <c r="NEI73" s="55"/>
      <c r="NEJ73" s="55"/>
      <c r="NEK73" s="55"/>
      <c r="NEL73" s="55"/>
      <c r="NEM73" s="55"/>
      <c r="NEN73" s="55"/>
      <c r="NEO73" s="55"/>
      <c r="NEP73" s="55"/>
      <c r="NEQ73" s="55"/>
      <c r="NER73" s="55"/>
      <c r="NES73" s="55"/>
      <c r="NET73" s="55"/>
      <c r="NEU73" s="55"/>
      <c r="NEV73" s="55"/>
      <c r="NEW73" s="55"/>
      <c r="NEX73" s="55"/>
      <c r="NEY73" s="55"/>
      <c r="NEZ73" s="55"/>
      <c r="NFA73" s="55"/>
      <c r="NFB73" s="55"/>
      <c r="NFC73" s="55"/>
      <c r="NFD73" s="55"/>
      <c r="NFE73" s="55"/>
      <c r="NFF73" s="55"/>
      <c r="NFG73" s="55"/>
      <c r="NFH73" s="55"/>
      <c r="NFI73" s="55"/>
      <c r="NFJ73" s="55"/>
      <c r="NFK73" s="55"/>
      <c r="NFL73" s="55"/>
      <c r="NFM73" s="55"/>
      <c r="NFN73" s="55"/>
      <c r="NFO73" s="55"/>
      <c r="NFP73" s="55"/>
      <c r="NFQ73" s="55"/>
      <c r="NFR73" s="55"/>
      <c r="NFS73" s="55"/>
      <c r="NFT73" s="55"/>
      <c r="NFU73" s="55"/>
      <c r="NFV73" s="55"/>
      <c r="NFW73" s="55"/>
      <c r="NFX73" s="55"/>
      <c r="NFY73" s="55"/>
      <c r="NFZ73" s="55"/>
      <c r="NGA73" s="55"/>
      <c r="NGB73" s="55"/>
      <c r="NGC73" s="55"/>
      <c r="NGD73" s="55"/>
      <c r="NGE73" s="55"/>
      <c r="NGF73" s="55"/>
      <c r="NGG73" s="55"/>
      <c r="NGH73" s="55"/>
      <c r="NGI73" s="55"/>
      <c r="NGJ73" s="55"/>
      <c r="NGK73" s="55"/>
      <c r="NGL73" s="55"/>
      <c r="NGM73" s="55"/>
      <c r="NGN73" s="55"/>
      <c r="NGO73" s="55"/>
      <c r="NGP73" s="55"/>
      <c r="NGQ73" s="55"/>
      <c r="NGR73" s="55"/>
      <c r="NGS73" s="55"/>
      <c r="NGT73" s="55"/>
      <c r="NGU73" s="55"/>
      <c r="NGV73" s="55"/>
      <c r="NGW73" s="55"/>
      <c r="NGX73" s="55"/>
      <c r="NGY73" s="55"/>
      <c r="NGZ73" s="55"/>
      <c r="NHA73" s="55"/>
      <c r="NHB73" s="55"/>
      <c r="NHC73" s="55"/>
      <c r="NHD73" s="55"/>
      <c r="NHE73" s="55"/>
      <c r="NHF73" s="55"/>
      <c r="NHG73" s="55"/>
      <c r="NHH73" s="55"/>
      <c r="NHI73" s="55"/>
      <c r="NHJ73" s="55"/>
      <c r="NHK73" s="55"/>
      <c r="NHL73" s="55"/>
      <c r="NHM73" s="55"/>
      <c r="NHN73" s="55"/>
      <c r="NHO73" s="55"/>
      <c r="NHP73" s="55"/>
      <c r="NHQ73" s="55"/>
      <c r="NHR73" s="55"/>
      <c r="NHS73" s="55"/>
      <c r="NHT73" s="55"/>
      <c r="NHU73" s="55"/>
      <c r="NHV73" s="55"/>
      <c r="NHW73" s="55"/>
      <c r="NHX73" s="55"/>
      <c r="NHY73" s="55"/>
      <c r="NHZ73" s="55"/>
      <c r="NIA73" s="55"/>
      <c r="NIB73" s="55"/>
      <c r="NIC73" s="55"/>
      <c r="NID73" s="55"/>
      <c r="NIE73" s="55"/>
      <c r="NIF73" s="55"/>
      <c r="NIG73" s="55"/>
      <c r="NIH73" s="55"/>
      <c r="NII73" s="55"/>
      <c r="NIJ73" s="55"/>
      <c r="NIK73" s="55"/>
      <c r="NIL73" s="55"/>
      <c r="NIM73" s="55"/>
      <c r="NIN73" s="55"/>
      <c r="NIO73" s="55"/>
      <c r="NIP73" s="55"/>
      <c r="NIQ73" s="55"/>
      <c r="NIR73" s="55"/>
      <c r="NIS73" s="55"/>
      <c r="NIT73" s="55"/>
      <c r="NIU73" s="55"/>
      <c r="NIV73" s="55"/>
      <c r="NIW73" s="55"/>
      <c r="NIX73" s="55"/>
      <c r="NIY73" s="55"/>
      <c r="NIZ73" s="55"/>
      <c r="NJA73" s="55"/>
      <c r="NJB73" s="55"/>
      <c r="NJC73" s="55"/>
      <c r="NJD73" s="55"/>
      <c r="NJE73" s="55"/>
      <c r="NJF73" s="55"/>
      <c r="NJG73" s="55"/>
      <c r="NJH73" s="55"/>
      <c r="NJI73" s="55"/>
      <c r="NJJ73" s="55"/>
      <c r="NJK73" s="55"/>
      <c r="NJL73" s="55"/>
      <c r="NJM73" s="55"/>
      <c r="NJN73" s="55"/>
      <c r="NJO73" s="55"/>
      <c r="NJP73" s="55"/>
      <c r="NJQ73" s="55"/>
      <c r="NJR73" s="55"/>
      <c r="NJS73" s="55"/>
      <c r="NJT73" s="55"/>
      <c r="NJU73" s="55"/>
      <c r="NJV73" s="55"/>
      <c r="NJW73" s="55"/>
      <c r="NJX73" s="55"/>
      <c r="NJY73" s="55"/>
      <c r="NJZ73" s="55"/>
      <c r="NKA73" s="55"/>
      <c r="NKB73" s="55"/>
      <c r="NKC73" s="55"/>
      <c r="NKD73" s="55"/>
      <c r="NKE73" s="55"/>
      <c r="NKF73" s="55"/>
      <c r="NKG73" s="55"/>
      <c r="NKH73" s="55"/>
      <c r="NKI73" s="55"/>
      <c r="NKJ73" s="55"/>
      <c r="NKK73" s="55"/>
      <c r="NKL73" s="55"/>
      <c r="NKM73" s="55"/>
      <c r="NKN73" s="55"/>
      <c r="NKO73" s="55"/>
      <c r="NKP73" s="55"/>
      <c r="NKQ73" s="55"/>
      <c r="NKR73" s="55"/>
      <c r="NKS73" s="55"/>
      <c r="NKT73" s="55"/>
      <c r="NKU73" s="55"/>
      <c r="NKV73" s="55"/>
      <c r="NKW73" s="55"/>
      <c r="NKX73" s="55"/>
      <c r="NKY73" s="55"/>
      <c r="NKZ73" s="55"/>
      <c r="NLA73" s="55"/>
      <c r="NLB73" s="55"/>
      <c r="NLC73" s="55"/>
      <c r="NLD73" s="55"/>
      <c r="NLE73" s="55"/>
      <c r="NLF73" s="55"/>
      <c r="NLG73" s="55"/>
      <c r="NLH73" s="55"/>
      <c r="NLI73" s="55"/>
      <c r="NLJ73" s="55"/>
      <c r="NLK73" s="55"/>
      <c r="NLL73" s="55"/>
      <c r="NLM73" s="55"/>
      <c r="NLN73" s="55"/>
      <c r="NLO73" s="55"/>
      <c r="NLP73" s="55"/>
      <c r="NLQ73" s="55"/>
      <c r="NLR73" s="55"/>
      <c r="NLS73" s="55"/>
      <c r="NLT73" s="55"/>
      <c r="NLU73" s="55"/>
      <c r="NLV73" s="55"/>
      <c r="NLW73" s="55"/>
      <c r="NLX73" s="55"/>
      <c r="NLY73" s="55"/>
      <c r="NLZ73" s="55"/>
      <c r="NMA73" s="55"/>
      <c r="NMB73" s="55"/>
      <c r="NMC73" s="55"/>
      <c r="NMD73" s="55"/>
      <c r="NME73" s="55"/>
      <c r="NMF73" s="55"/>
      <c r="NMG73" s="55"/>
      <c r="NMH73" s="55"/>
      <c r="NMI73" s="55"/>
      <c r="NMJ73" s="55"/>
      <c r="NMK73" s="55"/>
      <c r="NML73" s="55"/>
      <c r="NMM73" s="55"/>
      <c r="NMN73" s="55"/>
      <c r="NMO73" s="55"/>
      <c r="NMP73" s="55"/>
      <c r="NMQ73" s="55"/>
      <c r="NMR73" s="55"/>
      <c r="NMS73" s="55"/>
      <c r="NMT73" s="55"/>
      <c r="NMU73" s="55"/>
      <c r="NMV73" s="55"/>
      <c r="NMW73" s="55"/>
      <c r="NMX73" s="55"/>
      <c r="NMY73" s="55"/>
      <c r="NMZ73" s="55"/>
      <c r="NNA73" s="55"/>
      <c r="NNB73" s="55"/>
      <c r="NNC73" s="55"/>
      <c r="NND73" s="55"/>
      <c r="NNE73" s="55"/>
      <c r="NNF73" s="55"/>
      <c r="NNG73" s="55"/>
      <c r="NNH73" s="55"/>
      <c r="NNI73" s="55"/>
      <c r="NNJ73" s="55"/>
      <c r="NNK73" s="55"/>
      <c r="NNL73" s="55"/>
      <c r="NNM73" s="55"/>
      <c r="NNN73" s="55"/>
      <c r="NNO73" s="55"/>
      <c r="NNP73" s="55"/>
      <c r="NNQ73" s="55"/>
      <c r="NNR73" s="55"/>
      <c r="NNS73" s="55"/>
      <c r="NNT73" s="55"/>
      <c r="NNU73" s="55"/>
      <c r="NNV73" s="55"/>
      <c r="NNW73" s="55"/>
      <c r="NNX73" s="55"/>
      <c r="NNY73" s="55"/>
      <c r="NNZ73" s="55"/>
      <c r="NOA73" s="55"/>
      <c r="NOB73" s="55"/>
      <c r="NOC73" s="55"/>
      <c r="NOD73" s="55"/>
      <c r="NOE73" s="55"/>
      <c r="NOF73" s="55"/>
      <c r="NOG73" s="55"/>
      <c r="NOH73" s="55"/>
      <c r="NOI73" s="55"/>
      <c r="NOJ73" s="55"/>
      <c r="NOK73" s="55"/>
      <c r="NOL73" s="55"/>
      <c r="NOM73" s="55"/>
      <c r="NON73" s="55"/>
      <c r="NOO73" s="55"/>
      <c r="NOP73" s="55"/>
      <c r="NOQ73" s="55"/>
      <c r="NOR73" s="55"/>
      <c r="NOS73" s="55"/>
      <c r="NOT73" s="55"/>
      <c r="NOU73" s="55"/>
      <c r="NOV73" s="55"/>
      <c r="NOW73" s="55"/>
      <c r="NOX73" s="55"/>
      <c r="NOY73" s="55"/>
      <c r="NOZ73" s="55"/>
      <c r="NPA73" s="55"/>
      <c r="NPB73" s="55"/>
      <c r="NPC73" s="55"/>
      <c r="NPD73" s="55"/>
      <c r="NPE73" s="55"/>
      <c r="NPF73" s="55"/>
      <c r="NPG73" s="55"/>
      <c r="NPH73" s="55"/>
      <c r="NPI73" s="55"/>
      <c r="NPJ73" s="55"/>
      <c r="NPK73" s="55"/>
      <c r="NPL73" s="55"/>
      <c r="NPM73" s="55"/>
      <c r="NPN73" s="55"/>
      <c r="NPO73" s="55"/>
      <c r="NPP73" s="55"/>
      <c r="NPQ73" s="55"/>
      <c r="NPR73" s="55"/>
      <c r="NPS73" s="55"/>
      <c r="NPT73" s="55"/>
      <c r="NPU73" s="55"/>
      <c r="NPV73" s="55"/>
      <c r="NPW73" s="55"/>
      <c r="NPX73" s="55"/>
      <c r="NPY73" s="55"/>
      <c r="NPZ73" s="55"/>
      <c r="NQA73" s="55"/>
      <c r="NQB73" s="55"/>
      <c r="NQC73" s="55"/>
      <c r="NQD73" s="55"/>
      <c r="NQE73" s="55"/>
      <c r="NQF73" s="55"/>
      <c r="NQG73" s="55"/>
      <c r="NQH73" s="55"/>
      <c r="NQI73" s="55"/>
      <c r="NQJ73" s="55"/>
      <c r="NQK73" s="55"/>
      <c r="NQL73" s="55"/>
      <c r="NQM73" s="55"/>
      <c r="NQN73" s="55"/>
      <c r="NQO73" s="55"/>
      <c r="NQP73" s="55"/>
      <c r="NQQ73" s="55"/>
      <c r="NQR73" s="55"/>
      <c r="NQS73" s="55"/>
      <c r="NQT73" s="55"/>
      <c r="NQU73" s="55"/>
      <c r="NQV73" s="55"/>
      <c r="NQW73" s="55"/>
      <c r="NQX73" s="55"/>
      <c r="NQY73" s="55"/>
      <c r="NQZ73" s="55"/>
      <c r="NRA73" s="55"/>
      <c r="NRB73" s="55"/>
      <c r="NRC73" s="55"/>
      <c r="NRD73" s="55"/>
      <c r="NRE73" s="55"/>
      <c r="NRF73" s="55"/>
      <c r="NRG73" s="55"/>
      <c r="NRH73" s="55"/>
      <c r="NRI73" s="55"/>
      <c r="NRJ73" s="55"/>
      <c r="NRK73" s="55"/>
      <c r="NRL73" s="55"/>
      <c r="NRM73" s="55"/>
      <c r="NRN73" s="55"/>
      <c r="NRO73" s="55"/>
      <c r="NRP73" s="55"/>
      <c r="NRQ73" s="55"/>
      <c r="NRR73" s="55"/>
      <c r="NRS73" s="55"/>
      <c r="NRT73" s="55"/>
      <c r="NRU73" s="55"/>
      <c r="NRV73" s="55"/>
      <c r="NRW73" s="55"/>
      <c r="NRX73" s="55"/>
      <c r="NRY73" s="55"/>
      <c r="NRZ73" s="55"/>
      <c r="NSA73" s="55"/>
      <c r="NSB73" s="55"/>
      <c r="NSC73" s="55"/>
      <c r="NSD73" s="55"/>
      <c r="NSE73" s="55"/>
      <c r="NSF73" s="55"/>
      <c r="NSG73" s="55"/>
      <c r="NSH73" s="55"/>
      <c r="NSI73" s="55"/>
      <c r="NSJ73" s="55"/>
      <c r="NSK73" s="55"/>
      <c r="NSL73" s="55"/>
      <c r="NSM73" s="55"/>
      <c r="NSN73" s="55"/>
      <c r="NSO73" s="55"/>
      <c r="NSP73" s="55"/>
      <c r="NSQ73" s="55"/>
      <c r="NSR73" s="55"/>
      <c r="NSS73" s="55"/>
      <c r="NST73" s="55"/>
      <c r="NSU73" s="55"/>
      <c r="NSV73" s="55"/>
      <c r="NSW73" s="55"/>
      <c r="NSX73" s="55"/>
      <c r="NSY73" s="55"/>
      <c r="NSZ73" s="55"/>
      <c r="NTA73" s="55"/>
      <c r="NTB73" s="55"/>
      <c r="NTC73" s="55"/>
      <c r="NTD73" s="55"/>
      <c r="NTE73" s="55"/>
      <c r="NTF73" s="55"/>
      <c r="NTG73" s="55"/>
      <c r="NTH73" s="55"/>
      <c r="NTI73" s="55"/>
      <c r="NTJ73" s="55"/>
      <c r="NTK73" s="55"/>
      <c r="NTL73" s="55"/>
      <c r="NTM73" s="55"/>
      <c r="NTN73" s="55"/>
      <c r="NTO73" s="55"/>
      <c r="NTP73" s="55"/>
      <c r="NTQ73" s="55"/>
      <c r="NTR73" s="55"/>
      <c r="NTS73" s="55"/>
      <c r="NTT73" s="55"/>
      <c r="NTU73" s="55"/>
      <c r="NTV73" s="55"/>
      <c r="NTW73" s="55"/>
      <c r="NTX73" s="55"/>
      <c r="NTY73" s="55"/>
      <c r="NTZ73" s="55"/>
      <c r="NUA73" s="55"/>
      <c r="NUB73" s="55"/>
      <c r="NUC73" s="55"/>
      <c r="NUD73" s="55"/>
      <c r="NUE73" s="55"/>
      <c r="NUF73" s="55"/>
      <c r="NUG73" s="55"/>
      <c r="NUH73" s="55"/>
      <c r="NUI73" s="55"/>
      <c r="NUJ73" s="55"/>
      <c r="NUK73" s="55"/>
      <c r="NUL73" s="55"/>
      <c r="NUM73" s="55"/>
      <c r="NUN73" s="55"/>
      <c r="NUO73" s="55"/>
      <c r="NUP73" s="55"/>
      <c r="NUQ73" s="55"/>
      <c r="NUR73" s="55"/>
      <c r="NUS73" s="55"/>
      <c r="NUT73" s="55"/>
      <c r="NUU73" s="55"/>
      <c r="NUV73" s="55"/>
      <c r="NUW73" s="55"/>
      <c r="NUX73" s="55"/>
      <c r="NUY73" s="55"/>
      <c r="NUZ73" s="55"/>
      <c r="NVA73" s="55"/>
      <c r="NVB73" s="55"/>
      <c r="NVC73" s="55"/>
      <c r="NVD73" s="55"/>
      <c r="NVE73" s="55"/>
      <c r="NVF73" s="55"/>
      <c r="NVG73" s="55"/>
      <c r="NVH73" s="55"/>
      <c r="NVI73" s="55"/>
      <c r="NVJ73" s="55"/>
      <c r="NVK73" s="55"/>
      <c r="NVL73" s="55"/>
      <c r="NVM73" s="55"/>
      <c r="NVN73" s="55"/>
      <c r="NVO73" s="55"/>
      <c r="NVP73" s="55"/>
      <c r="NVQ73" s="55"/>
      <c r="NVR73" s="55"/>
      <c r="NVS73" s="55"/>
      <c r="NVT73" s="55"/>
      <c r="NVU73" s="55"/>
      <c r="NVV73" s="55"/>
      <c r="NVW73" s="55"/>
      <c r="NVX73" s="55"/>
      <c r="NVY73" s="55"/>
      <c r="NVZ73" s="55"/>
      <c r="NWA73" s="55"/>
      <c r="NWB73" s="55"/>
      <c r="NWC73" s="55"/>
      <c r="NWD73" s="55"/>
      <c r="NWE73" s="55"/>
      <c r="NWF73" s="55"/>
      <c r="NWG73" s="55"/>
      <c r="NWH73" s="55"/>
      <c r="NWI73" s="55"/>
      <c r="NWJ73" s="55"/>
      <c r="NWK73" s="55"/>
      <c r="NWL73" s="55"/>
      <c r="NWM73" s="55"/>
      <c r="NWN73" s="55"/>
      <c r="NWO73" s="55"/>
      <c r="NWP73" s="55"/>
      <c r="NWQ73" s="55"/>
      <c r="NWR73" s="55"/>
      <c r="NWS73" s="55"/>
      <c r="NWT73" s="55"/>
      <c r="NWU73" s="55"/>
      <c r="NWV73" s="55"/>
      <c r="NWW73" s="55"/>
      <c r="NWX73" s="55"/>
      <c r="NWY73" s="55"/>
      <c r="NWZ73" s="55"/>
      <c r="NXA73" s="55"/>
      <c r="NXB73" s="55"/>
      <c r="NXC73" s="55"/>
      <c r="NXD73" s="55"/>
      <c r="NXE73" s="55"/>
      <c r="NXF73" s="55"/>
      <c r="NXG73" s="55"/>
      <c r="NXH73" s="55"/>
      <c r="NXI73" s="55"/>
      <c r="NXJ73" s="55"/>
      <c r="NXK73" s="55"/>
      <c r="NXL73" s="55"/>
      <c r="NXM73" s="55"/>
      <c r="NXN73" s="55"/>
      <c r="NXO73" s="55"/>
      <c r="NXP73" s="55"/>
      <c r="NXQ73" s="55"/>
      <c r="NXR73" s="55"/>
      <c r="NXS73" s="55"/>
      <c r="NXT73" s="55"/>
      <c r="NXU73" s="55"/>
      <c r="NXV73" s="55"/>
      <c r="NXW73" s="55"/>
      <c r="NXX73" s="55"/>
      <c r="NXY73" s="55"/>
      <c r="NXZ73" s="55"/>
      <c r="NYA73" s="55"/>
      <c r="NYB73" s="55"/>
      <c r="NYC73" s="55"/>
      <c r="NYD73" s="55"/>
      <c r="NYE73" s="55"/>
      <c r="NYF73" s="55"/>
      <c r="NYG73" s="55"/>
      <c r="NYH73" s="55"/>
      <c r="NYI73" s="55"/>
      <c r="NYJ73" s="55"/>
      <c r="NYK73" s="55"/>
      <c r="NYL73" s="55"/>
      <c r="NYM73" s="55"/>
      <c r="NYN73" s="55"/>
      <c r="NYO73" s="55"/>
      <c r="NYP73" s="55"/>
      <c r="NYQ73" s="55"/>
      <c r="NYR73" s="55"/>
      <c r="NYS73" s="55"/>
      <c r="NYT73" s="55"/>
      <c r="NYU73" s="55"/>
      <c r="NYV73" s="55"/>
      <c r="NYW73" s="55"/>
      <c r="NYX73" s="55"/>
      <c r="NYY73" s="55"/>
      <c r="NYZ73" s="55"/>
      <c r="NZA73" s="55"/>
      <c r="NZB73" s="55"/>
      <c r="NZC73" s="55"/>
      <c r="NZD73" s="55"/>
      <c r="NZE73" s="55"/>
      <c r="NZF73" s="55"/>
      <c r="NZG73" s="55"/>
      <c r="NZH73" s="55"/>
      <c r="NZI73" s="55"/>
      <c r="NZJ73" s="55"/>
      <c r="NZK73" s="55"/>
      <c r="NZL73" s="55"/>
      <c r="NZM73" s="55"/>
      <c r="NZN73" s="55"/>
      <c r="NZO73" s="55"/>
      <c r="NZP73" s="55"/>
      <c r="NZQ73" s="55"/>
      <c r="NZR73" s="55"/>
      <c r="NZS73" s="55"/>
      <c r="NZT73" s="55"/>
      <c r="NZU73" s="55"/>
      <c r="NZV73" s="55"/>
      <c r="NZW73" s="55"/>
      <c r="NZX73" s="55"/>
      <c r="NZY73" s="55"/>
      <c r="NZZ73" s="55"/>
      <c r="OAA73" s="55"/>
      <c r="OAB73" s="55"/>
      <c r="OAC73" s="55"/>
      <c r="OAD73" s="55"/>
      <c r="OAE73" s="55"/>
      <c r="OAF73" s="55"/>
      <c r="OAG73" s="55"/>
      <c r="OAH73" s="55"/>
      <c r="OAI73" s="55"/>
      <c r="OAJ73" s="55"/>
      <c r="OAK73" s="55"/>
      <c r="OAL73" s="55"/>
      <c r="OAM73" s="55"/>
      <c r="OAN73" s="55"/>
      <c r="OAO73" s="55"/>
      <c r="OAP73" s="55"/>
      <c r="OAQ73" s="55"/>
      <c r="OAR73" s="55"/>
      <c r="OAS73" s="55"/>
      <c r="OAT73" s="55"/>
      <c r="OAU73" s="55"/>
      <c r="OAV73" s="55"/>
      <c r="OAW73" s="55"/>
      <c r="OAX73" s="55"/>
      <c r="OAY73" s="55"/>
      <c r="OAZ73" s="55"/>
      <c r="OBA73" s="55"/>
      <c r="OBB73" s="55"/>
      <c r="OBC73" s="55"/>
      <c r="OBD73" s="55"/>
      <c r="OBE73" s="55"/>
      <c r="OBF73" s="55"/>
      <c r="OBG73" s="55"/>
      <c r="OBH73" s="55"/>
      <c r="OBI73" s="55"/>
      <c r="OBJ73" s="55"/>
      <c r="OBK73" s="55"/>
      <c r="OBL73" s="55"/>
      <c r="OBM73" s="55"/>
      <c r="OBN73" s="55"/>
      <c r="OBO73" s="55"/>
      <c r="OBP73" s="55"/>
      <c r="OBQ73" s="55"/>
      <c r="OBR73" s="55"/>
      <c r="OBS73" s="55"/>
      <c r="OBT73" s="55"/>
      <c r="OBU73" s="55"/>
      <c r="OBV73" s="55"/>
      <c r="OBW73" s="55"/>
      <c r="OBX73" s="55"/>
      <c r="OBY73" s="55"/>
      <c r="OBZ73" s="55"/>
      <c r="OCA73" s="55"/>
      <c r="OCB73" s="55"/>
      <c r="OCC73" s="55"/>
      <c r="OCD73" s="55"/>
      <c r="OCE73" s="55"/>
      <c r="OCF73" s="55"/>
      <c r="OCG73" s="55"/>
      <c r="OCH73" s="55"/>
      <c r="OCI73" s="55"/>
      <c r="OCJ73" s="55"/>
      <c r="OCK73" s="55"/>
      <c r="OCL73" s="55"/>
      <c r="OCM73" s="55"/>
      <c r="OCN73" s="55"/>
      <c r="OCO73" s="55"/>
      <c r="OCP73" s="55"/>
      <c r="OCQ73" s="55"/>
      <c r="OCR73" s="55"/>
      <c r="OCS73" s="55"/>
      <c r="OCT73" s="55"/>
      <c r="OCU73" s="55"/>
      <c r="OCV73" s="55"/>
      <c r="OCW73" s="55"/>
      <c r="OCX73" s="55"/>
      <c r="OCY73" s="55"/>
      <c r="OCZ73" s="55"/>
      <c r="ODA73" s="55"/>
      <c r="ODB73" s="55"/>
      <c r="ODC73" s="55"/>
      <c r="ODD73" s="55"/>
      <c r="ODE73" s="55"/>
      <c r="ODF73" s="55"/>
      <c r="ODG73" s="55"/>
      <c r="ODH73" s="55"/>
      <c r="ODI73" s="55"/>
      <c r="ODJ73" s="55"/>
      <c r="ODK73" s="55"/>
      <c r="ODL73" s="55"/>
      <c r="ODM73" s="55"/>
      <c r="ODN73" s="55"/>
      <c r="ODO73" s="55"/>
      <c r="ODP73" s="55"/>
      <c r="ODQ73" s="55"/>
      <c r="ODR73" s="55"/>
      <c r="ODS73" s="55"/>
      <c r="ODT73" s="55"/>
      <c r="ODU73" s="55"/>
      <c r="ODV73" s="55"/>
      <c r="ODW73" s="55"/>
      <c r="ODX73" s="55"/>
      <c r="ODY73" s="55"/>
      <c r="ODZ73" s="55"/>
      <c r="OEA73" s="55"/>
      <c r="OEB73" s="55"/>
      <c r="OEC73" s="55"/>
      <c r="OED73" s="55"/>
      <c r="OEE73" s="55"/>
      <c r="OEF73" s="55"/>
      <c r="OEG73" s="55"/>
      <c r="OEH73" s="55"/>
      <c r="OEI73" s="55"/>
      <c r="OEJ73" s="55"/>
      <c r="OEK73" s="55"/>
      <c r="OEL73" s="55"/>
      <c r="OEM73" s="55"/>
      <c r="OEN73" s="55"/>
      <c r="OEO73" s="55"/>
      <c r="OEP73" s="55"/>
      <c r="OEQ73" s="55"/>
      <c r="OER73" s="55"/>
      <c r="OES73" s="55"/>
      <c r="OET73" s="55"/>
      <c r="OEU73" s="55"/>
      <c r="OEV73" s="55"/>
      <c r="OEW73" s="55"/>
      <c r="OEX73" s="55"/>
      <c r="OEY73" s="55"/>
      <c r="OEZ73" s="55"/>
      <c r="OFA73" s="55"/>
      <c r="OFB73" s="55"/>
      <c r="OFC73" s="55"/>
      <c r="OFD73" s="55"/>
      <c r="OFE73" s="55"/>
      <c r="OFF73" s="55"/>
      <c r="OFG73" s="55"/>
      <c r="OFH73" s="55"/>
      <c r="OFI73" s="55"/>
      <c r="OFJ73" s="55"/>
      <c r="OFK73" s="55"/>
      <c r="OFL73" s="55"/>
      <c r="OFM73" s="55"/>
      <c r="OFN73" s="55"/>
      <c r="OFO73" s="55"/>
      <c r="OFP73" s="55"/>
      <c r="OFQ73" s="55"/>
      <c r="OFR73" s="55"/>
      <c r="OFS73" s="55"/>
      <c r="OFT73" s="55"/>
      <c r="OFU73" s="55"/>
      <c r="OFV73" s="55"/>
      <c r="OFW73" s="55"/>
      <c r="OFX73" s="55"/>
      <c r="OFY73" s="55"/>
      <c r="OFZ73" s="55"/>
      <c r="OGA73" s="55"/>
      <c r="OGB73" s="55"/>
      <c r="OGC73" s="55"/>
      <c r="OGD73" s="55"/>
      <c r="OGE73" s="55"/>
      <c r="OGF73" s="55"/>
      <c r="OGG73" s="55"/>
      <c r="OGH73" s="55"/>
      <c r="OGI73" s="55"/>
      <c r="OGJ73" s="55"/>
      <c r="OGK73" s="55"/>
      <c r="OGL73" s="55"/>
      <c r="OGM73" s="55"/>
      <c r="OGN73" s="55"/>
      <c r="OGO73" s="55"/>
      <c r="OGP73" s="55"/>
      <c r="OGQ73" s="55"/>
      <c r="OGR73" s="55"/>
      <c r="OGS73" s="55"/>
      <c r="OGT73" s="55"/>
      <c r="OGU73" s="55"/>
      <c r="OGV73" s="55"/>
      <c r="OGW73" s="55"/>
      <c r="OGX73" s="55"/>
      <c r="OGY73" s="55"/>
      <c r="OGZ73" s="55"/>
      <c r="OHA73" s="55"/>
      <c r="OHB73" s="55"/>
      <c r="OHC73" s="55"/>
      <c r="OHD73" s="55"/>
      <c r="OHE73" s="55"/>
      <c r="OHF73" s="55"/>
      <c r="OHG73" s="55"/>
      <c r="OHH73" s="55"/>
      <c r="OHI73" s="55"/>
      <c r="OHJ73" s="55"/>
      <c r="OHK73" s="55"/>
      <c r="OHL73" s="55"/>
      <c r="OHM73" s="55"/>
      <c r="OHN73" s="55"/>
      <c r="OHO73" s="55"/>
      <c r="OHP73" s="55"/>
      <c r="OHQ73" s="55"/>
      <c r="OHR73" s="55"/>
      <c r="OHS73" s="55"/>
      <c r="OHT73" s="55"/>
      <c r="OHU73" s="55"/>
      <c r="OHV73" s="55"/>
      <c r="OHW73" s="55"/>
      <c r="OHX73" s="55"/>
      <c r="OHY73" s="55"/>
      <c r="OHZ73" s="55"/>
      <c r="OIA73" s="55"/>
      <c r="OIB73" s="55"/>
      <c r="OIC73" s="55"/>
      <c r="OID73" s="55"/>
      <c r="OIE73" s="55"/>
      <c r="OIF73" s="55"/>
      <c r="OIG73" s="55"/>
      <c r="OIH73" s="55"/>
      <c r="OII73" s="55"/>
      <c r="OIJ73" s="55"/>
      <c r="OIK73" s="55"/>
      <c r="OIL73" s="55"/>
      <c r="OIM73" s="55"/>
      <c r="OIN73" s="55"/>
      <c r="OIO73" s="55"/>
      <c r="OIP73" s="55"/>
      <c r="OIQ73" s="55"/>
      <c r="OIR73" s="55"/>
      <c r="OIS73" s="55"/>
      <c r="OIT73" s="55"/>
      <c r="OIU73" s="55"/>
      <c r="OIV73" s="55"/>
      <c r="OIW73" s="55"/>
      <c r="OIX73" s="55"/>
      <c r="OIY73" s="55"/>
      <c r="OIZ73" s="55"/>
      <c r="OJA73" s="55"/>
      <c r="OJB73" s="55"/>
      <c r="OJC73" s="55"/>
      <c r="OJD73" s="55"/>
      <c r="OJE73" s="55"/>
      <c r="OJF73" s="55"/>
      <c r="OJG73" s="55"/>
      <c r="OJH73" s="55"/>
      <c r="OJI73" s="55"/>
      <c r="OJJ73" s="55"/>
      <c r="OJK73" s="55"/>
      <c r="OJL73" s="55"/>
      <c r="OJM73" s="55"/>
      <c r="OJN73" s="55"/>
      <c r="OJO73" s="55"/>
      <c r="OJP73" s="55"/>
      <c r="OJQ73" s="55"/>
      <c r="OJR73" s="55"/>
      <c r="OJS73" s="55"/>
      <c r="OJT73" s="55"/>
      <c r="OJU73" s="55"/>
      <c r="OJV73" s="55"/>
      <c r="OJW73" s="55"/>
      <c r="OJX73" s="55"/>
      <c r="OJY73" s="55"/>
      <c r="OJZ73" s="55"/>
      <c r="OKA73" s="55"/>
      <c r="OKB73" s="55"/>
      <c r="OKC73" s="55"/>
      <c r="OKD73" s="55"/>
      <c r="OKE73" s="55"/>
      <c r="OKF73" s="55"/>
      <c r="OKG73" s="55"/>
      <c r="OKH73" s="55"/>
      <c r="OKI73" s="55"/>
      <c r="OKJ73" s="55"/>
      <c r="OKK73" s="55"/>
      <c r="OKL73" s="55"/>
      <c r="OKM73" s="55"/>
      <c r="OKN73" s="55"/>
      <c r="OKO73" s="55"/>
      <c r="OKP73" s="55"/>
      <c r="OKQ73" s="55"/>
      <c r="OKR73" s="55"/>
      <c r="OKS73" s="55"/>
      <c r="OKT73" s="55"/>
      <c r="OKU73" s="55"/>
      <c r="OKV73" s="55"/>
      <c r="OKW73" s="55"/>
      <c r="OKX73" s="55"/>
      <c r="OKY73" s="55"/>
      <c r="OKZ73" s="55"/>
      <c r="OLA73" s="55"/>
      <c r="OLB73" s="55"/>
      <c r="OLC73" s="55"/>
      <c r="OLD73" s="55"/>
      <c r="OLE73" s="55"/>
      <c r="OLF73" s="55"/>
      <c r="OLG73" s="55"/>
      <c r="OLH73" s="55"/>
      <c r="OLI73" s="55"/>
      <c r="OLJ73" s="55"/>
      <c r="OLK73" s="55"/>
      <c r="OLL73" s="55"/>
      <c r="OLM73" s="55"/>
      <c r="OLN73" s="55"/>
      <c r="OLO73" s="55"/>
      <c r="OLP73" s="55"/>
      <c r="OLQ73" s="55"/>
      <c r="OLR73" s="55"/>
      <c r="OLS73" s="55"/>
      <c r="OLT73" s="55"/>
      <c r="OLU73" s="55"/>
      <c r="OLV73" s="55"/>
      <c r="OLW73" s="55"/>
      <c r="OLX73" s="55"/>
      <c r="OLY73" s="55"/>
      <c r="OLZ73" s="55"/>
      <c r="OMA73" s="55"/>
      <c r="OMB73" s="55"/>
      <c r="OMC73" s="55"/>
      <c r="OMD73" s="55"/>
      <c r="OME73" s="55"/>
      <c r="OMF73" s="55"/>
      <c r="OMG73" s="55"/>
      <c r="OMH73" s="55"/>
      <c r="OMI73" s="55"/>
      <c r="OMJ73" s="55"/>
      <c r="OMK73" s="55"/>
      <c r="OML73" s="55"/>
      <c r="OMM73" s="55"/>
      <c r="OMN73" s="55"/>
      <c r="OMO73" s="55"/>
      <c r="OMP73" s="55"/>
      <c r="OMQ73" s="55"/>
      <c r="OMR73" s="55"/>
      <c r="OMS73" s="55"/>
      <c r="OMT73" s="55"/>
      <c r="OMU73" s="55"/>
      <c r="OMV73" s="55"/>
      <c r="OMW73" s="55"/>
      <c r="OMX73" s="55"/>
      <c r="OMY73" s="55"/>
      <c r="OMZ73" s="55"/>
      <c r="ONA73" s="55"/>
      <c r="ONB73" s="55"/>
      <c r="ONC73" s="55"/>
      <c r="OND73" s="55"/>
      <c r="ONE73" s="55"/>
      <c r="ONF73" s="55"/>
      <c r="ONG73" s="55"/>
      <c r="ONH73" s="55"/>
      <c r="ONI73" s="55"/>
      <c r="ONJ73" s="55"/>
      <c r="ONK73" s="55"/>
      <c r="ONL73" s="55"/>
      <c r="ONM73" s="55"/>
      <c r="ONN73" s="55"/>
      <c r="ONO73" s="55"/>
      <c r="ONP73" s="55"/>
      <c r="ONQ73" s="55"/>
      <c r="ONR73" s="55"/>
      <c r="ONS73" s="55"/>
      <c r="ONT73" s="55"/>
      <c r="ONU73" s="55"/>
      <c r="ONV73" s="55"/>
      <c r="ONW73" s="55"/>
      <c r="ONX73" s="55"/>
      <c r="ONY73" s="55"/>
      <c r="ONZ73" s="55"/>
      <c r="OOA73" s="55"/>
      <c r="OOB73" s="55"/>
      <c r="OOC73" s="55"/>
      <c r="OOD73" s="55"/>
      <c r="OOE73" s="55"/>
      <c r="OOF73" s="55"/>
      <c r="OOG73" s="55"/>
      <c r="OOH73" s="55"/>
      <c r="OOI73" s="55"/>
      <c r="OOJ73" s="55"/>
      <c r="OOK73" s="55"/>
      <c r="OOL73" s="55"/>
      <c r="OOM73" s="55"/>
      <c r="OON73" s="55"/>
      <c r="OOO73" s="55"/>
      <c r="OOP73" s="55"/>
      <c r="OOQ73" s="55"/>
      <c r="OOR73" s="55"/>
      <c r="OOS73" s="55"/>
      <c r="OOT73" s="55"/>
      <c r="OOU73" s="55"/>
      <c r="OOV73" s="55"/>
      <c r="OOW73" s="55"/>
      <c r="OOX73" s="55"/>
      <c r="OOY73" s="55"/>
      <c r="OOZ73" s="55"/>
      <c r="OPA73" s="55"/>
      <c r="OPB73" s="55"/>
      <c r="OPC73" s="55"/>
      <c r="OPD73" s="55"/>
      <c r="OPE73" s="55"/>
      <c r="OPF73" s="55"/>
      <c r="OPG73" s="55"/>
      <c r="OPH73" s="55"/>
      <c r="OPI73" s="55"/>
      <c r="OPJ73" s="55"/>
      <c r="OPK73" s="55"/>
      <c r="OPL73" s="55"/>
      <c r="OPM73" s="55"/>
      <c r="OPN73" s="55"/>
      <c r="OPO73" s="55"/>
      <c r="OPP73" s="55"/>
      <c r="OPQ73" s="55"/>
      <c r="OPR73" s="55"/>
      <c r="OPS73" s="55"/>
      <c r="OPT73" s="55"/>
      <c r="OPU73" s="55"/>
      <c r="OPV73" s="55"/>
      <c r="OPW73" s="55"/>
      <c r="OPX73" s="55"/>
      <c r="OPY73" s="55"/>
      <c r="OPZ73" s="55"/>
      <c r="OQA73" s="55"/>
      <c r="OQB73" s="55"/>
      <c r="OQC73" s="55"/>
      <c r="OQD73" s="55"/>
      <c r="OQE73" s="55"/>
      <c r="OQF73" s="55"/>
      <c r="OQG73" s="55"/>
      <c r="OQH73" s="55"/>
      <c r="OQI73" s="55"/>
      <c r="OQJ73" s="55"/>
      <c r="OQK73" s="55"/>
      <c r="OQL73" s="55"/>
      <c r="OQM73" s="55"/>
      <c r="OQN73" s="55"/>
      <c r="OQO73" s="55"/>
      <c r="OQP73" s="55"/>
      <c r="OQQ73" s="55"/>
      <c r="OQR73" s="55"/>
      <c r="OQS73" s="55"/>
      <c r="OQT73" s="55"/>
      <c r="OQU73" s="55"/>
      <c r="OQV73" s="55"/>
      <c r="OQW73" s="55"/>
      <c r="OQX73" s="55"/>
      <c r="OQY73" s="55"/>
      <c r="OQZ73" s="55"/>
      <c r="ORA73" s="55"/>
      <c r="ORB73" s="55"/>
      <c r="ORC73" s="55"/>
      <c r="ORD73" s="55"/>
      <c r="ORE73" s="55"/>
      <c r="ORF73" s="55"/>
      <c r="ORG73" s="55"/>
      <c r="ORH73" s="55"/>
      <c r="ORI73" s="55"/>
      <c r="ORJ73" s="55"/>
      <c r="ORK73" s="55"/>
      <c r="ORL73" s="55"/>
      <c r="ORM73" s="55"/>
      <c r="ORN73" s="55"/>
      <c r="ORO73" s="55"/>
      <c r="ORP73" s="55"/>
      <c r="ORQ73" s="55"/>
      <c r="ORR73" s="55"/>
      <c r="ORS73" s="55"/>
      <c r="ORT73" s="55"/>
      <c r="ORU73" s="55"/>
      <c r="ORV73" s="55"/>
      <c r="ORW73" s="55"/>
      <c r="ORX73" s="55"/>
      <c r="ORY73" s="55"/>
      <c r="ORZ73" s="55"/>
      <c r="OSA73" s="55"/>
      <c r="OSB73" s="55"/>
      <c r="OSC73" s="55"/>
      <c r="OSD73" s="55"/>
      <c r="OSE73" s="55"/>
      <c r="OSF73" s="55"/>
      <c r="OSG73" s="55"/>
      <c r="OSH73" s="55"/>
      <c r="OSI73" s="55"/>
      <c r="OSJ73" s="55"/>
      <c r="OSK73" s="55"/>
      <c r="OSL73" s="55"/>
      <c r="OSM73" s="55"/>
      <c r="OSN73" s="55"/>
      <c r="OSO73" s="55"/>
      <c r="OSP73" s="55"/>
      <c r="OSQ73" s="55"/>
      <c r="OSR73" s="55"/>
      <c r="OSS73" s="55"/>
      <c r="OST73" s="55"/>
      <c r="OSU73" s="55"/>
      <c r="OSV73" s="55"/>
      <c r="OSW73" s="55"/>
      <c r="OSX73" s="55"/>
      <c r="OSY73" s="55"/>
      <c r="OSZ73" s="55"/>
      <c r="OTA73" s="55"/>
      <c r="OTB73" s="55"/>
      <c r="OTC73" s="55"/>
      <c r="OTD73" s="55"/>
      <c r="OTE73" s="55"/>
      <c r="OTF73" s="55"/>
      <c r="OTG73" s="55"/>
      <c r="OTH73" s="55"/>
      <c r="OTI73" s="55"/>
      <c r="OTJ73" s="55"/>
      <c r="OTK73" s="55"/>
      <c r="OTL73" s="55"/>
      <c r="OTM73" s="55"/>
      <c r="OTN73" s="55"/>
      <c r="OTO73" s="55"/>
      <c r="OTP73" s="55"/>
      <c r="OTQ73" s="55"/>
      <c r="OTR73" s="55"/>
      <c r="OTS73" s="55"/>
      <c r="OTT73" s="55"/>
      <c r="OTU73" s="55"/>
      <c r="OTV73" s="55"/>
      <c r="OTW73" s="55"/>
      <c r="OTX73" s="55"/>
      <c r="OTY73" s="55"/>
      <c r="OTZ73" s="55"/>
      <c r="OUA73" s="55"/>
      <c r="OUB73" s="55"/>
      <c r="OUC73" s="55"/>
      <c r="OUD73" s="55"/>
      <c r="OUE73" s="55"/>
      <c r="OUF73" s="55"/>
      <c r="OUG73" s="55"/>
      <c r="OUH73" s="55"/>
      <c r="OUI73" s="55"/>
      <c r="OUJ73" s="55"/>
      <c r="OUK73" s="55"/>
      <c r="OUL73" s="55"/>
      <c r="OUM73" s="55"/>
      <c r="OUN73" s="55"/>
      <c r="OUO73" s="55"/>
      <c r="OUP73" s="55"/>
      <c r="OUQ73" s="55"/>
      <c r="OUR73" s="55"/>
      <c r="OUS73" s="55"/>
      <c r="OUT73" s="55"/>
      <c r="OUU73" s="55"/>
      <c r="OUV73" s="55"/>
      <c r="OUW73" s="55"/>
      <c r="OUX73" s="55"/>
      <c r="OUY73" s="55"/>
      <c r="OUZ73" s="55"/>
      <c r="OVA73" s="55"/>
      <c r="OVB73" s="55"/>
      <c r="OVC73" s="55"/>
      <c r="OVD73" s="55"/>
      <c r="OVE73" s="55"/>
      <c r="OVF73" s="55"/>
      <c r="OVG73" s="55"/>
      <c r="OVH73" s="55"/>
      <c r="OVI73" s="55"/>
      <c r="OVJ73" s="55"/>
      <c r="OVK73" s="55"/>
      <c r="OVL73" s="55"/>
      <c r="OVM73" s="55"/>
      <c r="OVN73" s="55"/>
      <c r="OVO73" s="55"/>
      <c r="OVP73" s="55"/>
      <c r="OVQ73" s="55"/>
      <c r="OVR73" s="55"/>
      <c r="OVS73" s="55"/>
      <c r="OVT73" s="55"/>
      <c r="OVU73" s="55"/>
      <c r="OVV73" s="55"/>
      <c r="OVW73" s="55"/>
      <c r="OVX73" s="55"/>
      <c r="OVY73" s="55"/>
      <c r="OVZ73" s="55"/>
      <c r="OWA73" s="55"/>
      <c r="OWB73" s="55"/>
      <c r="OWC73" s="55"/>
      <c r="OWD73" s="55"/>
      <c r="OWE73" s="55"/>
      <c r="OWF73" s="55"/>
      <c r="OWG73" s="55"/>
      <c r="OWH73" s="55"/>
      <c r="OWI73" s="55"/>
      <c r="OWJ73" s="55"/>
      <c r="OWK73" s="55"/>
      <c r="OWL73" s="55"/>
      <c r="OWM73" s="55"/>
      <c r="OWN73" s="55"/>
      <c r="OWO73" s="55"/>
      <c r="OWP73" s="55"/>
      <c r="OWQ73" s="55"/>
      <c r="OWR73" s="55"/>
      <c r="OWS73" s="55"/>
      <c r="OWT73" s="55"/>
      <c r="OWU73" s="55"/>
      <c r="OWV73" s="55"/>
      <c r="OWW73" s="55"/>
      <c r="OWX73" s="55"/>
      <c r="OWY73" s="55"/>
      <c r="OWZ73" s="55"/>
      <c r="OXA73" s="55"/>
      <c r="OXB73" s="55"/>
      <c r="OXC73" s="55"/>
      <c r="OXD73" s="55"/>
      <c r="OXE73" s="55"/>
      <c r="OXF73" s="55"/>
      <c r="OXG73" s="55"/>
      <c r="OXH73" s="55"/>
      <c r="OXI73" s="55"/>
      <c r="OXJ73" s="55"/>
      <c r="OXK73" s="55"/>
      <c r="OXL73" s="55"/>
      <c r="OXM73" s="55"/>
      <c r="OXN73" s="55"/>
      <c r="OXO73" s="55"/>
      <c r="OXP73" s="55"/>
      <c r="OXQ73" s="55"/>
      <c r="OXR73" s="55"/>
      <c r="OXS73" s="55"/>
      <c r="OXT73" s="55"/>
      <c r="OXU73" s="55"/>
      <c r="OXV73" s="55"/>
      <c r="OXW73" s="55"/>
      <c r="OXX73" s="55"/>
      <c r="OXY73" s="55"/>
      <c r="OXZ73" s="55"/>
      <c r="OYA73" s="55"/>
      <c r="OYB73" s="55"/>
      <c r="OYC73" s="55"/>
      <c r="OYD73" s="55"/>
      <c r="OYE73" s="55"/>
      <c r="OYF73" s="55"/>
      <c r="OYG73" s="55"/>
      <c r="OYH73" s="55"/>
      <c r="OYI73" s="55"/>
      <c r="OYJ73" s="55"/>
      <c r="OYK73" s="55"/>
      <c r="OYL73" s="55"/>
      <c r="OYM73" s="55"/>
      <c r="OYN73" s="55"/>
      <c r="OYO73" s="55"/>
      <c r="OYP73" s="55"/>
      <c r="OYQ73" s="55"/>
      <c r="OYR73" s="55"/>
      <c r="OYS73" s="55"/>
      <c r="OYT73" s="55"/>
      <c r="OYU73" s="55"/>
      <c r="OYV73" s="55"/>
      <c r="OYW73" s="55"/>
      <c r="OYX73" s="55"/>
      <c r="OYY73" s="55"/>
      <c r="OYZ73" s="55"/>
      <c r="OZA73" s="55"/>
      <c r="OZB73" s="55"/>
      <c r="OZC73" s="55"/>
      <c r="OZD73" s="55"/>
      <c r="OZE73" s="55"/>
      <c r="OZF73" s="55"/>
      <c r="OZG73" s="55"/>
      <c r="OZH73" s="55"/>
      <c r="OZI73" s="55"/>
      <c r="OZJ73" s="55"/>
      <c r="OZK73" s="55"/>
      <c r="OZL73" s="55"/>
      <c r="OZM73" s="55"/>
      <c r="OZN73" s="55"/>
      <c r="OZO73" s="55"/>
      <c r="OZP73" s="55"/>
      <c r="OZQ73" s="55"/>
      <c r="OZR73" s="55"/>
      <c r="OZS73" s="55"/>
      <c r="OZT73" s="55"/>
      <c r="OZU73" s="55"/>
      <c r="OZV73" s="55"/>
      <c r="OZW73" s="55"/>
      <c r="OZX73" s="55"/>
      <c r="OZY73" s="55"/>
      <c r="OZZ73" s="55"/>
      <c r="PAA73" s="55"/>
      <c r="PAB73" s="55"/>
      <c r="PAC73" s="55"/>
      <c r="PAD73" s="55"/>
      <c r="PAE73" s="55"/>
      <c r="PAF73" s="55"/>
      <c r="PAG73" s="55"/>
      <c r="PAH73" s="55"/>
      <c r="PAI73" s="55"/>
      <c r="PAJ73" s="55"/>
      <c r="PAK73" s="55"/>
      <c r="PAL73" s="55"/>
      <c r="PAM73" s="55"/>
      <c r="PAN73" s="55"/>
      <c r="PAO73" s="55"/>
      <c r="PAP73" s="55"/>
      <c r="PAQ73" s="55"/>
      <c r="PAR73" s="55"/>
      <c r="PAS73" s="55"/>
      <c r="PAT73" s="55"/>
      <c r="PAU73" s="55"/>
      <c r="PAV73" s="55"/>
      <c r="PAW73" s="55"/>
      <c r="PAX73" s="55"/>
      <c r="PAY73" s="55"/>
      <c r="PAZ73" s="55"/>
      <c r="PBA73" s="55"/>
      <c r="PBB73" s="55"/>
      <c r="PBC73" s="55"/>
      <c r="PBD73" s="55"/>
      <c r="PBE73" s="55"/>
      <c r="PBF73" s="55"/>
      <c r="PBG73" s="55"/>
      <c r="PBH73" s="55"/>
      <c r="PBI73" s="55"/>
      <c r="PBJ73" s="55"/>
      <c r="PBK73" s="55"/>
      <c r="PBL73" s="55"/>
      <c r="PBM73" s="55"/>
      <c r="PBN73" s="55"/>
      <c r="PBO73" s="55"/>
      <c r="PBP73" s="55"/>
      <c r="PBQ73" s="55"/>
      <c r="PBR73" s="55"/>
      <c r="PBS73" s="55"/>
      <c r="PBT73" s="55"/>
      <c r="PBU73" s="55"/>
      <c r="PBV73" s="55"/>
      <c r="PBW73" s="55"/>
      <c r="PBX73" s="55"/>
      <c r="PBY73" s="55"/>
      <c r="PBZ73" s="55"/>
      <c r="PCA73" s="55"/>
      <c r="PCB73" s="55"/>
      <c r="PCC73" s="55"/>
      <c r="PCD73" s="55"/>
      <c r="PCE73" s="55"/>
      <c r="PCF73" s="55"/>
      <c r="PCG73" s="55"/>
      <c r="PCH73" s="55"/>
      <c r="PCI73" s="55"/>
      <c r="PCJ73" s="55"/>
      <c r="PCK73" s="55"/>
      <c r="PCL73" s="55"/>
      <c r="PCM73" s="55"/>
      <c r="PCN73" s="55"/>
      <c r="PCO73" s="55"/>
      <c r="PCP73" s="55"/>
      <c r="PCQ73" s="55"/>
      <c r="PCR73" s="55"/>
      <c r="PCS73" s="55"/>
      <c r="PCT73" s="55"/>
      <c r="PCU73" s="55"/>
      <c r="PCV73" s="55"/>
      <c r="PCW73" s="55"/>
      <c r="PCX73" s="55"/>
      <c r="PCY73" s="55"/>
      <c r="PCZ73" s="55"/>
      <c r="PDA73" s="55"/>
      <c r="PDB73" s="55"/>
      <c r="PDC73" s="55"/>
      <c r="PDD73" s="55"/>
      <c r="PDE73" s="55"/>
      <c r="PDF73" s="55"/>
      <c r="PDG73" s="55"/>
      <c r="PDH73" s="55"/>
      <c r="PDI73" s="55"/>
      <c r="PDJ73" s="55"/>
      <c r="PDK73" s="55"/>
      <c r="PDL73" s="55"/>
      <c r="PDM73" s="55"/>
      <c r="PDN73" s="55"/>
      <c r="PDO73" s="55"/>
      <c r="PDP73" s="55"/>
      <c r="PDQ73" s="55"/>
      <c r="PDR73" s="55"/>
      <c r="PDS73" s="55"/>
      <c r="PDT73" s="55"/>
      <c r="PDU73" s="55"/>
      <c r="PDV73" s="55"/>
      <c r="PDW73" s="55"/>
      <c r="PDX73" s="55"/>
      <c r="PDY73" s="55"/>
      <c r="PDZ73" s="55"/>
      <c r="PEA73" s="55"/>
      <c r="PEB73" s="55"/>
      <c r="PEC73" s="55"/>
      <c r="PED73" s="55"/>
      <c r="PEE73" s="55"/>
      <c r="PEF73" s="55"/>
      <c r="PEG73" s="55"/>
      <c r="PEH73" s="55"/>
      <c r="PEI73" s="55"/>
      <c r="PEJ73" s="55"/>
      <c r="PEK73" s="55"/>
      <c r="PEL73" s="55"/>
      <c r="PEM73" s="55"/>
      <c r="PEN73" s="55"/>
      <c r="PEO73" s="55"/>
      <c r="PEP73" s="55"/>
      <c r="PEQ73" s="55"/>
      <c r="PER73" s="55"/>
      <c r="PES73" s="55"/>
      <c r="PET73" s="55"/>
      <c r="PEU73" s="55"/>
      <c r="PEV73" s="55"/>
      <c r="PEW73" s="55"/>
      <c r="PEX73" s="55"/>
      <c r="PEY73" s="55"/>
      <c r="PEZ73" s="55"/>
      <c r="PFA73" s="55"/>
      <c r="PFB73" s="55"/>
      <c r="PFC73" s="55"/>
      <c r="PFD73" s="55"/>
      <c r="PFE73" s="55"/>
      <c r="PFF73" s="55"/>
      <c r="PFG73" s="55"/>
      <c r="PFH73" s="55"/>
      <c r="PFI73" s="55"/>
      <c r="PFJ73" s="55"/>
      <c r="PFK73" s="55"/>
      <c r="PFL73" s="55"/>
      <c r="PFM73" s="55"/>
      <c r="PFN73" s="55"/>
      <c r="PFO73" s="55"/>
      <c r="PFP73" s="55"/>
      <c r="PFQ73" s="55"/>
      <c r="PFR73" s="55"/>
      <c r="PFS73" s="55"/>
      <c r="PFT73" s="55"/>
      <c r="PFU73" s="55"/>
      <c r="PFV73" s="55"/>
      <c r="PFW73" s="55"/>
      <c r="PFX73" s="55"/>
      <c r="PFY73" s="55"/>
      <c r="PFZ73" s="55"/>
      <c r="PGA73" s="55"/>
      <c r="PGB73" s="55"/>
      <c r="PGC73" s="55"/>
      <c r="PGD73" s="55"/>
      <c r="PGE73" s="55"/>
      <c r="PGF73" s="55"/>
      <c r="PGG73" s="55"/>
      <c r="PGH73" s="55"/>
      <c r="PGI73" s="55"/>
      <c r="PGJ73" s="55"/>
      <c r="PGK73" s="55"/>
      <c r="PGL73" s="55"/>
      <c r="PGM73" s="55"/>
      <c r="PGN73" s="55"/>
      <c r="PGO73" s="55"/>
      <c r="PGP73" s="55"/>
      <c r="PGQ73" s="55"/>
      <c r="PGR73" s="55"/>
      <c r="PGS73" s="55"/>
      <c r="PGT73" s="55"/>
      <c r="PGU73" s="55"/>
      <c r="PGV73" s="55"/>
      <c r="PGW73" s="55"/>
      <c r="PGX73" s="55"/>
      <c r="PGY73" s="55"/>
      <c r="PGZ73" s="55"/>
      <c r="PHA73" s="55"/>
      <c r="PHB73" s="55"/>
      <c r="PHC73" s="55"/>
      <c r="PHD73" s="55"/>
      <c r="PHE73" s="55"/>
      <c r="PHF73" s="55"/>
      <c r="PHG73" s="55"/>
      <c r="PHH73" s="55"/>
      <c r="PHI73" s="55"/>
      <c r="PHJ73" s="55"/>
      <c r="PHK73" s="55"/>
      <c r="PHL73" s="55"/>
      <c r="PHM73" s="55"/>
      <c r="PHN73" s="55"/>
      <c r="PHO73" s="55"/>
      <c r="PHP73" s="55"/>
      <c r="PHQ73" s="55"/>
      <c r="PHR73" s="55"/>
      <c r="PHS73" s="55"/>
      <c r="PHT73" s="55"/>
      <c r="PHU73" s="55"/>
      <c r="PHV73" s="55"/>
      <c r="PHW73" s="55"/>
      <c r="PHX73" s="55"/>
      <c r="PHY73" s="55"/>
      <c r="PHZ73" s="55"/>
      <c r="PIA73" s="55"/>
      <c r="PIB73" s="55"/>
      <c r="PIC73" s="55"/>
      <c r="PID73" s="55"/>
      <c r="PIE73" s="55"/>
      <c r="PIF73" s="55"/>
      <c r="PIG73" s="55"/>
      <c r="PIH73" s="55"/>
      <c r="PII73" s="55"/>
      <c r="PIJ73" s="55"/>
      <c r="PIK73" s="55"/>
      <c r="PIL73" s="55"/>
      <c r="PIM73" s="55"/>
      <c r="PIN73" s="55"/>
      <c r="PIO73" s="55"/>
      <c r="PIP73" s="55"/>
      <c r="PIQ73" s="55"/>
      <c r="PIR73" s="55"/>
      <c r="PIS73" s="55"/>
      <c r="PIT73" s="55"/>
      <c r="PIU73" s="55"/>
      <c r="PIV73" s="55"/>
      <c r="PIW73" s="55"/>
      <c r="PIX73" s="55"/>
      <c r="PIY73" s="55"/>
      <c r="PIZ73" s="55"/>
      <c r="PJA73" s="55"/>
      <c r="PJB73" s="55"/>
      <c r="PJC73" s="55"/>
      <c r="PJD73" s="55"/>
      <c r="PJE73" s="55"/>
      <c r="PJF73" s="55"/>
      <c r="PJG73" s="55"/>
      <c r="PJH73" s="55"/>
      <c r="PJI73" s="55"/>
      <c r="PJJ73" s="55"/>
      <c r="PJK73" s="55"/>
      <c r="PJL73" s="55"/>
      <c r="PJM73" s="55"/>
      <c r="PJN73" s="55"/>
      <c r="PJO73" s="55"/>
      <c r="PJP73" s="55"/>
      <c r="PJQ73" s="55"/>
      <c r="PJR73" s="55"/>
      <c r="PJS73" s="55"/>
      <c r="PJT73" s="55"/>
      <c r="PJU73" s="55"/>
      <c r="PJV73" s="55"/>
      <c r="PJW73" s="55"/>
      <c r="PJX73" s="55"/>
      <c r="PJY73" s="55"/>
      <c r="PJZ73" s="55"/>
      <c r="PKA73" s="55"/>
      <c r="PKB73" s="55"/>
      <c r="PKC73" s="55"/>
      <c r="PKD73" s="55"/>
      <c r="PKE73" s="55"/>
      <c r="PKF73" s="55"/>
      <c r="PKG73" s="55"/>
      <c r="PKH73" s="55"/>
      <c r="PKI73" s="55"/>
      <c r="PKJ73" s="55"/>
      <c r="PKK73" s="55"/>
      <c r="PKL73" s="55"/>
      <c r="PKM73" s="55"/>
      <c r="PKN73" s="55"/>
      <c r="PKO73" s="55"/>
      <c r="PKP73" s="55"/>
      <c r="PKQ73" s="55"/>
      <c r="PKR73" s="55"/>
      <c r="PKS73" s="55"/>
      <c r="PKT73" s="55"/>
      <c r="PKU73" s="55"/>
      <c r="PKV73" s="55"/>
      <c r="PKW73" s="55"/>
      <c r="PKX73" s="55"/>
      <c r="PKY73" s="55"/>
      <c r="PKZ73" s="55"/>
      <c r="PLA73" s="55"/>
      <c r="PLB73" s="55"/>
      <c r="PLC73" s="55"/>
      <c r="PLD73" s="55"/>
      <c r="PLE73" s="55"/>
      <c r="PLF73" s="55"/>
      <c r="PLG73" s="55"/>
      <c r="PLH73" s="55"/>
      <c r="PLI73" s="55"/>
      <c r="PLJ73" s="55"/>
      <c r="PLK73" s="55"/>
      <c r="PLL73" s="55"/>
      <c r="PLM73" s="55"/>
      <c r="PLN73" s="55"/>
      <c r="PLO73" s="55"/>
      <c r="PLP73" s="55"/>
      <c r="PLQ73" s="55"/>
      <c r="PLR73" s="55"/>
      <c r="PLS73" s="55"/>
      <c r="PLT73" s="55"/>
      <c r="PLU73" s="55"/>
      <c r="PLV73" s="55"/>
      <c r="PLW73" s="55"/>
      <c r="PLX73" s="55"/>
      <c r="PLY73" s="55"/>
      <c r="PLZ73" s="55"/>
      <c r="PMA73" s="55"/>
      <c r="PMB73" s="55"/>
      <c r="PMC73" s="55"/>
      <c r="PMD73" s="55"/>
      <c r="PME73" s="55"/>
      <c r="PMF73" s="55"/>
      <c r="PMG73" s="55"/>
      <c r="PMH73" s="55"/>
      <c r="PMI73" s="55"/>
      <c r="PMJ73" s="55"/>
      <c r="PMK73" s="55"/>
      <c r="PML73" s="55"/>
      <c r="PMM73" s="55"/>
      <c r="PMN73" s="55"/>
      <c r="PMO73" s="55"/>
      <c r="PMP73" s="55"/>
      <c r="PMQ73" s="55"/>
      <c r="PMR73" s="55"/>
      <c r="PMS73" s="55"/>
      <c r="PMT73" s="55"/>
      <c r="PMU73" s="55"/>
      <c r="PMV73" s="55"/>
      <c r="PMW73" s="55"/>
      <c r="PMX73" s="55"/>
      <c r="PMY73" s="55"/>
      <c r="PMZ73" s="55"/>
      <c r="PNA73" s="55"/>
      <c r="PNB73" s="55"/>
      <c r="PNC73" s="55"/>
      <c r="PND73" s="55"/>
      <c r="PNE73" s="55"/>
      <c r="PNF73" s="55"/>
      <c r="PNG73" s="55"/>
      <c r="PNH73" s="55"/>
      <c r="PNI73" s="55"/>
      <c r="PNJ73" s="55"/>
      <c r="PNK73" s="55"/>
      <c r="PNL73" s="55"/>
      <c r="PNM73" s="55"/>
      <c r="PNN73" s="55"/>
      <c r="PNO73" s="55"/>
      <c r="PNP73" s="55"/>
      <c r="PNQ73" s="55"/>
      <c r="PNR73" s="55"/>
      <c r="PNS73" s="55"/>
      <c r="PNT73" s="55"/>
      <c r="PNU73" s="55"/>
      <c r="PNV73" s="55"/>
      <c r="PNW73" s="55"/>
      <c r="PNX73" s="55"/>
      <c r="PNY73" s="55"/>
      <c r="PNZ73" s="55"/>
      <c r="POA73" s="55"/>
      <c r="POB73" s="55"/>
      <c r="POC73" s="55"/>
      <c r="POD73" s="55"/>
      <c r="POE73" s="55"/>
      <c r="POF73" s="55"/>
      <c r="POG73" s="55"/>
      <c r="POH73" s="55"/>
      <c r="POI73" s="55"/>
      <c r="POJ73" s="55"/>
      <c r="POK73" s="55"/>
      <c r="POL73" s="55"/>
      <c r="POM73" s="55"/>
      <c r="PON73" s="55"/>
      <c r="POO73" s="55"/>
      <c r="POP73" s="55"/>
      <c r="POQ73" s="55"/>
      <c r="POR73" s="55"/>
      <c r="POS73" s="55"/>
      <c r="POT73" s="55"/>
      <c r="POU73" s="55"/>
      <c r="POV73" s="55"/>
      <c r="POW73" s="55"/>
      <c r="POX73" s="55"/>
      <c r="POY73" s="55"/>
      <c r="POZ73" s="55"/>
      <c r="PPA73" s="55"/>
      <c r="PPB73" s="55"/>
      <c r="PPC73" s="55"/>
      <c r="PPD73" s="55"/>
      <c r="PPE73" s="55"/>
      <c r="PPF73" s="55"/>
      <c r="PPG73" s="55"/>
      <c r="PPH73" s="55"/>
      <c r="PPI73" s="55"/>
      <c r="PPJ73" s="55"/>
      <c r="PPK73" s="55"/>
      <c r="PPL73" s="55"/>
      <c r="PPM73" s="55"/>
      <c r="PPN73" s="55"/>
      <c r="PPO73" s="55"/>
      <c r="PPP73" s="55"/>
      <c r="PPQ73" s="55"/>
      <c r="PPR73" s="55"/>
      <c r="PPS73" s="55"/>
      <c r="PPT73" s="55"/>
      <c r="PPU73" s="55"/>
      <c r="PPV73" s="55"/>
      <c r="PPW73" s="55"/>
      <c r="PPX73" s="55"/>
      <c r="PPY73" s="55"/>
      <c r="PPZ73" s="55"/>
      <c r="PQA73" s="55"/>
      <c r="PQB73" s="55"/>
      <c r="PQC73" s="55"/>
      <c r="PQD73" s="55"/>
      <c r="PQE73" s="55"/>
      <c r="PQF73" s="55"/>
      <c r="PQG73" s="55"/>
      <c r="PQH73" s="55"/>
      <c r="PQI73" s="55"/>
      <c r="PQJ73" s="55"/>
      <c r="PQK73" s="55"/>
      <c r="PQL73" s="55"/>
      <c r="PQM73" s="55"/>
      <c r="PQN73" s="55"/>
      <c r="PQO73" s="55"/>
      <c r="PQP73" s="55"/>
      <c r="PQQ73" s="55"/>
      <c r="PQR73" s="55"/>
      <c r="PQS73" s="55"/>
      <c r="PQT73" s="55"/>
      <c r="PQU73" s="55"/>
      <c r="PQV73" s="55"/>
      <c r="PQW73" s="55"/>
      <c r="PQX73" s="55"/>
      <c r="PQY73" s="55"/>
      <c r="PQZ73" s="55"/>
      <c r="PRA73" s="55"/>
      <c r="PRB73" s="55"/>
      <c r="PRC73" s="55"/>
      <c r="PRD73" s="55"/>
      <c r="PRE73" s="55"/>
      <c r="PRF73" s="55"/>
      <c r="PRG73" s="55"/>
      <c r="PRH73" s="55"/>
      <c r="PRI73" s="55"/>
      <c r="PRJ73" s="55"/>
      <c r="PRK73" s="55"/>
      <c r="PRL73" s="55"/>
      <c r="PRM73" s="55"/>
      <c r="PRN73" s="55"/>
      <c r="PRO73" s="55"/>
      <c r="PRP73" s="55"/>
      <c r="PRQ73" s="55"/>
      <c r="PRR73" s="55"/>
      <c r="PRS73" s="55"/>
      <c r="PRT73" s="55"/>
      <c r="PRU73" s="55"/>
      <c r="PRV73" s="55"/>
      <c r="PRW73" s="55"/>
      <c r="PRX73" s="55"/>
      <c r="PRY73" s="55"/>
      <c r="PRZ73" s="55"/>
      <c r="PSA73" s="55"/>
      <c r="PSB73" s="55"/>
      <c r="PSC73" s="55"/>
      <c r="PSD73" s="55"/>
      <c r="PSE73" s="55"/>
      <c r="PSF73" s="55"/>
      <c r="PSG73" s="55"/>
      <c r="PSH73" s="55"/>
      <c r="PSI73" s="55"/>
      <c r="PSJ73" s="55"/>
      <c r="PSK73" s="55"/>
      <c r="PSL73" s="55"/>
      <c r="PSM73" s="55"/>
      <c r="PSN73" s="55"/>
      <c r="PSO73" s="55"/>
      <c r="PSP73" s="55"/>
      <c r="PSQ73" s="55"/>
      <c r="PSR73" s="55"/>
      <c r="PSS73" s="55"/>
      <c r="PST73" s="55"/>
      <c r="PSU73" s="55"/>
      <c r="PSV73" s="55"/>
      <c r="PSW73" s="55"/>
      <c r="PSX73" s="55"/>
      <c r="PSY73" s="55"/>
      <c r="PSZ73" s="55"/>
      <c r="PTA73" s="55"/>
      <c r="PTB73" s="55"/>
      <c r="PTC73" s="55"/>
      <c r="PTD73" s="55"/>
      <c r="PTE73" s="55"/>
      <c r="PTF73" s="55"/>
      <c r="PTG73" s="55"/>
      <c r="PTH73" s="55"/>
      <c r="PTI73" s="55"/>
      <c r="PTJ73" s="55"/>
      <c r="PTK73" s="55"/>
      <c r="PTL73" s="55"/>
      <c r="PTM73" s="55"/>
      <c r="PTN73" s="55"/>
      <c r="PTO73" s="55"/>
      <c r="PTP73" s="55"/>
      <c r="PTQ73" s="55"/>
      <c r="PTR73" s="55"/>
      <c r="PTS73" s="55"/>
      <c r="PTT73" s="55"/>
      <c r="PTU73" s="55"/>
      <c r="PTV73" s="55"/>
      <c r="PTW73" s="55"/>
      <c r="PTX73" s="55"/>
      <c r="PTY73" s="55"/>
      <c r="PTZ73" s="55"/>
      <c r="PUA73" s="55"/>
      <c r="PUB73" s="55"/>
      <c r="PUC73" s="55"/>
      <c r="PUD73" s="55"/>
      <c r="PUE73" s="55"/>
      <c r="PUF73" s="55"/>
      <c r="PUG73" s="55"/>
      <c r="PUH73" s="55"/>
      <c r="PUI73" s="55"/>
      <c r="PUJ73" s="55"/>
      <c r="PUK73" s="55"/>
      <c r="PUL73" s="55"/>
      <c r="PUM73" s="55"/>
      <c r="PUN73" s="55"/>
      <c r="PUO73" s="55"/>
      <c r="PUP73" s="55"/>
      <c r="PUQ73" s="55"/>
      <c r="PUR73" s="55"/>
      <c r="PUS73" s="55"/>
      <c r="PUT73" s="55"/>
      <c r="PUU73" s="55"/>
      <c r="PUV73" s="55"/>
      <c r="PUW73" s="55"/>
      <c r="PUX73" s="55"/>
      <c r="PUY73" s="55"/>
      <c r="PUZ73" s="55"/>
      <c r="PVA73" s="55"/>
      <c r="PVB73" s="55"/>
      <c r="PVC73" s="55"/>
      <c r="PVD73" s="55"/>
      <c r="PVE73" s="55"/>
      <c r="PVF73" s="55"/>
      <c r="PVG73" s="55"/>
      <c r="PVH73" s="55"/>
      <c r="PVI73" s="55"/>
      <c r="PVJ73" s="55"/>
      <c r="PVK73" s="55"/>
      <c r="PVL73" s="55"/>
      <c r="PVM73" s="55"/>
      <c r="PVN73" s="55"/>
      <c r="PVO73" s="55"/>
      <c r="PVP73" s="55"/>
      <c r="PVQ73" s="55"/>
      <c r="PVR73" s="55"/>
      <c r="PVS73" s="55"/>
      <c r="PVT73" s="55"/>
      <c r="PVU73" s="55"/>
      <c r="PVV73" s="55"/>
      <c r="PVW73" s="55"/>
      <c r="PVX73" s="55"/>
      <c r="PVY73" s="55"/>
      <c r="PVZ73" s="55"/>
      <c r="PWA73" s="55"/>
      <c r="PWB73" s="55"/>
      <c r="PWC73" s="55"/>
      <c r="PWD73" s="55"/>
      <c r="PWE73" s="55"/>
      <c r="PWF73" s="55"/>
      <c r="PWG73" s="55"/>
      <c r="PWH73" s="55"/>
      <c r="PWI73" s="55"/>
      <c r="PWJ73" s="55"/>
      <c r="PWK73" s="55"/>
      <c r="PWL73" s="55"/>
      <c r="PWM73" s="55"/>
      <c r="PWN73" s="55"/>
      <c r="PWO73" s="55"/>
      <c r="PWP73" s="55"/>
      <c r="PWQ73" s="55"/>
      <c r="PWR73" s="55"/>
      <c r="PWS73" s="55"/>
      <c r="PWT73" s="55"/>
      <c r="PWU73" s="55"/>
      <c r="PWV73" s="55"/>
      <c r="PWW73" s="55"/>
      <c r="PWX73" s="55"/>
      <c r="PWY73" s="55"/>
      <c r="PWZ73" s="55"/>
      <c r="PXA73" s="55"/>
      <c r="PXB73" s="55"/>
      <c r="PXC73" s="55"/>
      <c r="PXD73" s="55"/>
      <c r="PXE73" s="55"/>
      <c r="PXF73" s="55"/>
      <c r="PXG73" s="55"/>
      <c r="PXH73" s="55"/>
      <c r="PXI73" s="55"/>
      <c r="PXJ73" s="55"/>
      <c r="PXK73" s="55"/>
      <c r="PXL73" s="55"/>
      <c r="PXM73" s="55"/>
      <c r="PXN73" s="55"/>
      <c r="PXO73" s="55"/>
      <c r="PXP73" s="55"/>
      <c r="PXQ73" s="55"/>
      <c r="PXR73" s="55"/>
      <c r="PXS73" s="55"/>
      <c r="PXT73" s="55"/>
      <c r="PXU73" s="55"/>
      <c r="PXV73" s="55"/>
      <c r="PXW73" s="55"/>
      <c r="PXX73" s="55"/>
      <c r="PXY73" s="55"/>
      <c r="PXZ73" s="55"/>
      <c r="PYA73" s="55"/>
      <c r="PYB73" s="55"/>
      <c r="PYC73" s="55"/>
      <c r="PYD73" s="55"/>
      <c r="PYE73" s="55"/>
      <c r="PYF73" s="55"/>
      <c r="PYG73" s="55"/>
      <c r="PYH73" s="55"/>
      <c r="PYI73" s="55"/>
      <c r="PYJ73" s="55"/>
      <c r="PYK73" s="55"/>
      <c r="PYL73" s="55"/>
      <c r="PYM73" s="55"/>
      <c r="PYN73" s="55"/>
      <c r="PYO73" s="55"/>
      <c r="PYP73" s="55"/>
      <c r="PYQ73" s="55"/>
      <c r="PYR73" s="55"/>
      <c r="PYS73" s="55"/>
      <c r="PYT73" s="55"/>
      <c r="PYU73" s="55"/>
      <c r="PYV73" s="55"/>
      <c r="PYW73" s="55"/>
      <c r="PYX73" s="55"/>
      <c r="PYY73" s="55"/>
      <c r="PYZ73" s="55"/>
      <c r="PZA73" s="55"/>
      <c r="PZB73" s="55"/>
      <c r="PZC73" s="55"/>
      <c r="PZD73" s="55"/>
      <c r="PZE73" s="55"/>
      <c r="PZF73" s="55"/>
      <c r="PZG73" s="55"/>
      <c r="PZH73" s="55"/>
      <c r="PZI73" s="55"/>
      <c r="PZJ73" s="55"/>
      <c r="PZK73" s="55"/>
      <c r="PZL73" s="55"/>
      <c r="PZM73" s="55"/>
      <c r="PZN73" s="55"/>
      <c r="PZO73" s="55"/>
      <c r="PZP73" s="55"/>
      <c r="PZQ73" s="55"/>
      <c r="PZR73" s="55"/>
      <c r="PZS73" s="55"/>
      <c r="PZT73" s="55"/>
      <c r="PZU73" s="55"/>
      <c r="PZV73" s="55"/>
      <c r="PZW73" s="55"/>
      <c r="PZX73" s="55"/>
      <c r="PZY73" s="55"/>
      <c r="PZZ73" s="55"/>
      <c r="QAA73" s="55"/>
      <c r="QAB73" s="55"/>
      <c r="QAC73" s="55"/>
      <c r="QAD73" s="55"/>
      <c r="QAE73" s="55"/>
      <c r="QAF73" s="55"/>
      <c r="QAG73" s="55"/>
      <c r="QAH73" s="55"/>
      <c r="QAI73" s="55"/>
      <c r="QAJ73" s="55"/>
      <c r="QAK73" s="55"/>
      <c r="QAL73" s="55"/>
      <c r="QAM73" s="55"/>
      <c r="QAN73" s="55"/>
      <c r="QAO73" s="55"/>
      <c r="QAP73" s="55"/>
      <c r="QAQ73" s="55"/>
      <c r="QAR73" s="55"/>
      <c r="QAS73" s="55"/>
      <c r="QAT73" s="55"/>
      <c r="QAU73" s="55"/>
      <c r="QAV73" s="55"/>
      <c r="QAW73" s="55"/>
      <c r="QAX73" s="55"/>
      <c r="QAY73" s="55"/>
      <c r="QAZ73" s="55"/>
      <c r="QBA73" s="55"/>
      <c r="QBB73" s="55"/>
      <c r="QBC73" s="55"/>
      <c r="QBD73" s="55"/>
      <c r="QBE73" s="55"/>
      <c r="QBF73" s="55"/>
      <c r="QBG73" s="55"/>
      <c r="QBH73" s="55"/>
      <c r="QBI73" s="55"/>
      <c r="QBJ73" s="55"/>
      <c r="QBK73" s="55"/>
      <c r="QBL73" s="55"/>
      <c r="QBM73" s="55"/>
      <c r="QBN73" s="55"/>
      <c r="QBO73" s="55"/>
      <c r="QBP73" s="55"/>
      <c r="QBQ73" s="55"/>
      <c r="QBR73" s="55"/>
      <c r="QBS73" s="55"/>
      <c r="QBT73" s="55"/>
      <c r="QBU73" s="55"/>
      <c r="QBV73" s="55"/>
      <c r="QBW73" s="55"/>
      <c r="QBX73" s="55"/>
      <c r="QBY73" s="55"/>
      <c r="QBZ73" s="55"/>
      <c r="QCA73" s="55"/>
      <c r="QCB73" s="55"/>
      <c r="QCC73" s="55"/>
      <c r="QCD73" s="55"/>
      <c r="QCE73" s="55"/>
      <c r="QCF73" s="55"/>
      <c r="QCG73" s="55"/>
      <c r="QCH73" s="55"/>
      <c r="QCI73" s="55"/>
      <c r="QCJ73" s="55"/>
      <c r="QCK73" s="55"/>
      <c r="QCL73" s="55"/>
      <c r="QCM73" s="55"/>
      <c r="QCN73" s="55"/>
      <c r="QCO73" s="55"/>
      <c r="QCP73" s="55"/>
      <c r="QCQ73" s="55"/>
      <c r="QCR73" s="55"/>
      <c r="QCS73" s="55"/>
      <c r="QCT73" s="55"/>
      <c r="QCU73" s="55"/>
      <c r="QCV73" s="55"/>
      <c r="QCW73" s="55"/>
      <c r="QCX73" s="55"/>
      <c r="QCY73" s="55"/>
      <c r="QCZ73" s="55"/>
      <c r="QDA73" s="55"/>
      <c r="QDB73" s="55"/>
      <c r="QDC73" s="55"/>
      <c r="QDD73" s="55"/>
      <c r="QDE73" s="55"/>
      <c r="QDF73" s="55"/>
      <c r="QDG73" s="55"/>
      <c r="QDH73" s="55"/>
      <c r="QDI73" s="55"/>
      <c r="QDJ73" s="55"/>
      <c r="QDK73" s="55"/>
      <c r="QDL73" s="55"/>
      <c r="QDM73" s="55"/>
      <c r="QDN73" s="55"/>
      <c r="QDO73" s="55"/>
      <c r="QDP73" s="55"/>
      <c r="QDQ73" s="55"/>
      <c r="QDR73" s="55"/>
      <c r="QDS73" s="55"/>
      <c r="QDT73" s="55"/>
      <c r="QDU73" s="55"/>
      <c r="QDV73" s="55"/>
      <c r="QDW73" s="55"/>
      <c r="QDX73" s="55"/>
      <c r="QDY73" s="55"/>
      <c r="QDZ73" s="55"/>
      <c r="QEA73" s="55"/>
      <c r="QEB73" s="55"/>
      <c r="QEC73" s="55"/>
      <c r="QED73" s="55"/>
      <c r="QEE73" s="55"/>
      <c r="QEF73" s="55"/>
      <c r="QEG73" s="55"/>
      <c r="QEH73" s="55"/>
      <c r="QEI73" s="55"/>
      <c r="QEJ73" s="55"/>
      <c r="QEK73" s="55"/>
      <c r="QEL73" s="55"/>
      <c r="QEM73" s="55"/>
      <c r="QEN73" s="55"/>
      <c r="QEO73" s="55"/>
      <c r="QEP73" s="55"/>
      <c r="QEQ73" s="55"/>
      <c r="QER73" s="55"/>
      <c r="QES73" s="55"/>
      <c r="QET73" s="55"/>
      <c r="QEU73" s="55"/>
      <c r="QEV73" s="55"/>
      <c r="QEW73" s="55"/>
      <c r="QEX73" s="55"/>
      <c r="QEY73" s="55"/>
      <c r="QEZ73" s="55"/>
      <c r="QFA73" s="55"/>
      <c r="QFB73" s="55"/>
      <c r="QFC73" s="55"/>
      <c r="QFD73" s="55"/>
      <c r="QFE73" s="55"/>
      <c r="QFF73" s="55"/>
      <c r="QFG73" s="55"/>
      <c r="QFH73" s="55"/>
      <c r="QFI73" s="55"/>
      <c r="QFJ73" s="55"/>
      <c r="QFK73" s="55"/>
      <c r="QFL73" s="55"/>
      <c r="QFM73" s="55"/>
      <c r="QFN73" s="55"/>
      <c r="QFO73" s="55"/>
      <c r="QFP73" s="55"/>
      <c r="QFQ73" s="55"/>
      <c r="QFR73" s="55"/>
      <c r="QFS73" s="55"/>
      <c r="QFT73" s="55"/>
      <c r="QFU73" s="55"/>
      <c r="QFV73" s="55"/>
      <c r="QFW73" s="55"/>
      <c r="QFX73" s="55"/>
      <c r="QFY73" s="55"/>
      <c r="QFZ73" s="55"/>
      <c r="QGA73" s="55"/>
      <c r="QGB73" s="55"/>
      <c r="QGC73" s="55"/>
      <c r="QGD73" s="55"/>
      <c r="QGE73" s="55"/>
      <c r="QGF73" s="55"/>
      <c r="QGG73" s="55"/>
      <c r="QGH73" s="55"/>
      <c r="QGI73" s="55"/>
      <c r="QGJ73" s="55"/>
      <c r="QGK73" s="55"/>
      <c r="QGL73" s="55"/>
      <c r="QGM73" s="55"/>
      <c r="QGN73" s="55"/>
      <c r="QGO73" s="55"/>
      <c r="QGP73" s="55"/>
      <c r="QGQ73" s="55"/>
      <c r="QGR73" s="55"/>
      <c r="QGS73" s="55"/>
      <c r="QGT73" s="55"/>
      <c r="QGU73" s="55"/>
      <c r="QGV73" s="55"/>
      <c r="QGW73" s="55"/>
      <c r="QGX73" s="55"/>
      <c r="QGY73" s="55"/>
      <c r="QGZ73" s="55"/>
      <c r="QHA73" s="55"/>
      <c r="QHB73" s="55"/>
      <c r="QHC73" s="55"/>
      <c r="QHD73" s="55"/>
      <c r="QHE73" s="55"/>
      <c r="QHF73" s="55"/>
      <c r="QHG73" s="55"/>
      <c r="QHH73" s="55"/>
      <c r="QHI73" s="55"/>
      <c r="QHJ73" s="55"/>
      <c r="QHK73" s="55"/>
      <c r="QHL73" s="55"/>
      <c r="QHM73" s="55"/>
      <c r="QHN73" s="55"/>
      <c r="QHO73" s="55"/>
      <c r="QHP73" s="55"/>
      <c r="QHQ73" s="55"/>
      <c r="QHR73" s="55"/>
      <c r="QHS73" s="55"/>
      <c r="QHT73" s="55"/>
      <c r="QHU73" s="55"/>
      <c r="QHV73" s="55"/>
      <c r="QHW73" s="55"/>
      <c r="QHX73" s="55"/>
      <c r="QHY73" s="55"/>
      <c r="QHZ73" s="55"/>
      <c r="QIA73" s="55"/>
      <c r="QIB73" s="55"/>
      <c r="QIC73" s="55"/>
      <c r="QID73" s="55"/>
      <c r="QIE73" s="55"/>
      <c r="QIF73" s="55"/>
      <c r="QIG73" s="55"/>
      <c r="QIH73" s="55"/>
      <c r="QII73" s="55"/>
      <c r="QIJ73" s="55"/>
      <c r="QIK73" s="55"/>
      <c r="QIL73" s="55"/>
      <c r="QIM73" s="55"/>
      <c r="QIN73" s="55"/>
      <c r="QIO73" s="55"/>
      <c r="QIP73" s="55"/>
      <c r="QIQ73" s="55"/>
      <c r="QIR73" s="55"/>
      <c r="QIS73" s="55"/>
      <c r="QIT73" s="55"/>
      <c r="QIU73" s="55"/>
      <c r="QIV73" s="55"/>
      <c r="QIW73" s="55"/>
      <c r="QIX73" s="55"/>
      <c r="QIY73" s="55"/>
      <c r="QIZ73" s="55"/>
      <c r="QJA73" s="55"/>
      <c r="QJB73" s="55"/>
      <c r="QJC73" s="55"/>
      <c r="QJD73" s="55"/>
      <c r="QJE73" s="55"/>
      <c r="QJF73" s="55"/>
      <c r="QJG73" s="55"/>
      <c r="QJH73" s="55"/>
      <c r="QJI73" s="55"/>
      <c r="QJJ73" s="55"/>
      <c r="QJK73" s="55"/>
      <c r="QJL73" s="55"/>
      <c r="QJM73" s="55"/>
      <c r="QJN73" s="55"/>
      <c r="QJO73" s="55"/>
      <c r="QJP73" s="55"/>
      <c r="QJQ73" s="55"/>
      <c r="QJR73" s="55"/>
      <c r="QJS73" s="55"/>
      <c r="QJT73" s="55"/>
      <c r="QJU73" s="55"/>
      <c r="QJV73" s="55"/>
      <c r="QJW73" s="55"/>
      <c r="QJX73" s="55"/>
      <c r="QJY73" s="55"/>
      <c r="QJZ73" s="55"/>
      <c r="QKA73" s="55"/>
      <c r="QKB73" s="55"/>
      <c r="QKC73" s="55"/>
      <c r="QKD73" s="55"/>
      <c r="QKE73" s="55"/>
      <c r="QKF73" s="55"/>
      <c r="QKG73" s="55"/>
      <c r="QKH73" s="55"/>
      <c r="QKI73" s="55"/>
      <c r="QKJ73" s="55"/>
      <c r="QKK73" s="55"/>
      <c r="QKL73" s="55"/>
      <c r="QKM73" s="55"/>
      <c r="QKN73" s="55"/>
      <c r="QKO73" s="55"/>
      <c r="QKP73" s="55"/>
      <c r="QKQ73" s="55"/>
      <c r="QKR73" s="55"/>
      <c r="QKS73" s="55"/>
      <c r="QKT73" s="55"/>
      <c r="QKU73" s="55"/>
      <c r="QKV73" s="55"/>
      <c r="QKW73" s="55"/>
      <c r="QKX73" s="55"/>
      <c r="QKY73" s="55"/>
      <c r="QKZ73" s="55"/>
      <c r="QLA73" s="55"/>
      <c r="QLB73" s="55"/>
      <c r="QLC73" s="55"/>
      <c r="QLD73" s="55"/>
      <c r="QLE73" s="55"/>
      <c r="QLF73" s="55"/>
      <c r="QLG73" s="55"/>
      <c r="QLH73" s="55"/>
      <c r="QLI73" s="55"/>
      <c r="QLJ73" s="55"/>
      <c r="QLK73" s="55"/>
      <c r="QLL73" s="55"/>
      <c r="QLM73" s="55"/>
      <c r="QLN73" s="55"/>
      <c r="QLO73" s="55"/>
      <c r="QLP73" s="55"/>
      <c r="QLQ73" s="55"/>
      <c r="QLR73" s="55"/>
      <c r="QLS73" s="55"/>
      <c r="QLT73" s="55"/>
      <c r="QLU73" s="55"/>
      <c r="QLV73" s="55"/>
      <c r="QLW73" s="55"/>
      <c r="QLX73" s="55"/>
      <c r="QLY73" s="55"/>
      <c r="QLZ73" s="55"/>
      <c r="QMA73" s="55"/>
      <c r="QMB73" s="55"/>
      <c r="QMC73" s="55"/>
      <c r="QMD73" s="55"/>
      <c r="QME73" s="55"/>
      <c r="QMF73" s="55"/>
      <c r="QMG73" s="55"/>
      <c r="QMH73" s="55"/>
      <c r="QMI73" s="55"/>
      <c r="QMJ73" s="55"/>
      <c r="QMK73" s="55"/>
      <c r="QML73" s="55"/>
      <c r="QMM73" s="55"/>
      <c r="QMN73" s="55"/>
      <c r="QMO73" s="55"/>
      <c r="QMP73" s="55"/>
      <c r="QMQ73" s="55"/>
      <c r="QMR73" s="55"/>
      <c r="QMS73" s="55"/>
      <c r="QMT73" s="55"/>
      <c r="QMU73" s="55"/>
      <c r="QMV73" s="55"/>
      <c r="QMW73" s="55"/>
      <c r="QMX73" s="55"/>
      <c r="QMY73" s="55"/>
      <c r="QMZ73" s="55"/>
      <c r="QNA73" s="55"/>
      <c r="QNB73" s="55"/>
      <c r="QNC73" s="55"/>
      <c r="QND73" s="55"/>
      <c r="QNE73" s="55"/>
      <c r="QNF73" s="55"/>
      <c r="QNG73" s="55"/>
      <c r="QNH73" s="55"/>
      <c r="QNI73" s="55"/>
      <c r="QNJ73" s="55"/>
      <c r="QNK73" s="55"/>
      <c r="QNL73" s="55"/>
      <c r="QNM73" s="55"/>
      <c r="QNN73" s="55"/>
      <c r="QNO73" s="55"/>
      <c r="QNP73" s="55"/>
      <c r="QNQ73" s="55"/>
      <c r="QNR73" s="55"/>
      <c r="QNS73" s="55"/>
      <c r="QNT73" s="55"/>
      <c r="QNU73" s="55"/>
      <c r="QNV73" s="55"/>
      <c r="QNW73" s="55"/>
      <c r="QNX73" s="55"/>
      <c r="QNY73" s="55"/>
      <c r="QNZ73" s="55"/>
      <c r="QOA73" s="55"/>
      <c r="QOB73" s="55"/>
      <c r="QOC73" s="55"/>
      <c r="QOD73" s="55"/>
      <c r="QOE73" s="55"/>
      <c r="QOF73" s="55"/>
      <c r="QOG73" s="55"/>
      <c r="QOH73" s="55"/>
      <c r="QOI73" s="55"/>
      <c r="QOJ73" s="55"/>
      <c r="QOK73" s="55"/>
      <c r="QOL73" s="55"/>
      <c r="QOM73" s="55"/>
      <c r="QON73" s="55"/>
      <c r="QOO73" s="55"/>
      <c r="QOP73" s="55"/>
      <c r="QOQ73" s="55"/>
      <c r="QOR73" s="55"/>
      <c r="QOS73" s="55"/>
      <c r="QOT73" s="55"/>
      <c r="QOU73" s="55"/>
      <c r="QOV73" s="55"/>
      <c r="QOW73" s="55"/>
      <c r="QOX73" s="55"/>
      <c r="QOY73" s="55"/>
      <c r="QOZ73" s="55"/>
      <c r="QPA73" s="55"/>
      <c r="QPB73" s="55"/>
      <c r="QPC73" s="55"/>
      <c r="QPD73" s="55"/>
      <c r="QPE73" s="55"/>
      <c r="QPF73" s="55"/>
      <c r="QPG73" s="55"/>
      <c r="QPH73" s="55"/>
      <c r="QPI73" s="55"/>
      <c r="QPJ73" s="55"/>
      <c r="QPK73" s="55"/>
      <c r="QPL73" s="55"/>
      <c r="QPM73" s="55"/>
      <c r="QPN73" s="55"/>
      <c r="QPO73" s="55"/>
      <c r="QPP73" s="55"/>
      <c r="QPQ73" s="55"/>
      <c r="QPR73" s="55"/>
      <c r="QPS73" s="55"/>
      <c r="QPT73" s="55"/>
      <c r="QPU73" s="55"/>
      <c r="QPV73" s="55"/>
      <c r="QPW73" s="55"/>
      <c r="QPX73" s="55"/>
      <c r="QPY73" s="55"/>
      <c r="QPZ73" s="55"/>
      <c r="QQA73" s="55"/>
      <c r="QQB73" s="55"/>
      <c r="QQC73" s="55"/>
      <c r="QQD73" s="55"/>
      <c r="QQE73" s="55"/>
      <c r="QQF73" s="55"/>
      <c r="QQG73" s="55"/>
      <c r="QQH73" s="55"/>
      <c r="QQI73" s="55"/>
      <c r="QQJ73" s="55"/>
      <c r="QQK73" s="55"/>
      <c r="QQL73" s="55"/>
      <c r="QQM73" s="55"/>
      <c r="QQN73" s="55"/>
      <c r="QQO73" s="55"/>
      <c r="QQP73" s="55"/>
      <c r="QQQ73" s="55"/>
      <c r="QQR73" s="55"/>
      <c r="QQS73" s="55"/>
      <c r="QQT73" s="55"/>
      <c r="QQU73" s="55"/>
      <c r="QQV73" s="55"/>
      <c r="QQW73" s="55"/>
      <c r="QQX73" s="55"/>
      <c r="QQY73" s="55"/>
      <c r="QQZ73" s="55"/>
      <c r="QRA73" s="55"/>
      <c r="QRB73" s="55"/>
      <c r="QRC73" s="55"/>
      <c r="QRD73" s="55"/>
      <c r="QRE73" s="55"/>
      <c r="QRF73" s="55"/>
      <c r="QRG73" s="55"/>
      <c r="QRH73" s="55"/>
      <c r="QRI73" s="55"/>
      <c r="QRJ73" s="55"/>
      <c r="QRK73" s="55"/>
      <c r="QRL73" s="55"/>
      <c r="QRM73" s="55"/>
      <c r="QRN73" s="55"/>
      <c r="QRO73" s="55"/>
      <c r="QRP73" s="55"/>
      <c r="QRQ73" s="55"/>
      <c r="QRR73" s="55"/>
      <c r="QRS73" s="55"/>
      <c r="QRT73" s="55"/>
      <c r="QRU73" s="55"/>
      <c r="QRV73" s="55"/>
      <c r="QRW73" s="55"/>
      <c r="QRX73" s="55"/>
      <c r="QRY73" s="55"/>
      <c r="QRZ73" s="55"/>
      <c r="QSA73" s="55"/>
      <c r="QSB73" s="55"/>
      <c r="QSC73" s="55"/>
      <c r="QSD73" s="55"/>
      <c r="QSE73" s="55"/>
      <c r="QSF73" s="55"/>
      <c r="QSG73" s="55"/>
      <c r="QSH73" s="55"/>
      <c r="QSI73" s="55"/>
      <c r="QSJ73" s="55"/>
      <c r="QSK73" s="55"/>
      <c r="QSL73" s="55"/>
      <c r="QSM73" s="55"/>
      <c r="QSN73" s="55"/>
      <c r="QSO73" s="55"/>
      <c r="QSP73" s="55"/>
      <c r="QSQ73" s="55"/>
      <c r="QSR73" s="55"/>
      <c r="QSS73" s="55"/>
      <c r="QST73" s="55"/>
      <c r="QSU73" s="55"/>
      <c r="QSV73" s="55"/>
      <c r="QSW73" s="55"/>
      <c r="QSX73" s="55"/>
      <c r="QSY73" s="55"/>
      <c r="QSZ73" s="55"/>
      <c r="QTA73" s="55"/>
      <c r="QTB73" s="55"/>
      <c r="QTC73" s="55"/>
      <c r="QTD73" s="55"/>
      <c r="QTE73" s="55"/>
      <c r="QTF73" s="55"/>
      <c r="QTG73" s="55"/>
      <c r="QTH73" s="55"/>
      <c r="QTI73" s="55"/>
      <c r="QTJ73" s="55"/>
      <c r="QTK73" s="55"/>
      <c r="QTL73" s="55"/>
      <c r="QTM73" s="55"/>
      <c r="QTN73" s="55"/>
      <c r="QTO73" s="55"/>
      <c r="QTP73" s="55"/>
      <c r="QTQ73" s="55"/>
      <c r="QTR73" s="55"/>
      <c r="QTS73" s="55"/>
      <c r="QTT73" s="55"/>
      <c r="QTU73" s="55"/>
      <c r="QTV73" s="55"/>
      <c r="QTW73" s="55"/>
      <c r="QTX73" s="55"/>
      <c r="QTY73" s="55"/>
      <c r="QTZ73" s="55"/>
      <c r="QUA73" s="55"/>
      <c r="QUB73" s="55"/>
      <c r="QUC73" s="55"/>
      <c r="QUD73" s="55"/>
      <c r="QUE73" s="55"/>
      <c r="QUF73" s="55"/>
      <c r="QUG73" s="55"/>
      <c r="QUH73" s="55"/>
      <c r="QUI73" s="55"/>
      <c r="QUJ73" s="55"/>
      <c r="QUK73" s="55"/>
      <c r="QUL73" s="55"/>
      <c r="QUM73" s="55"/>
      <c r="QUN73" s="55"/>
      <c r="QUO73" s="55"/>
      <c r="QUP73" s="55"/>
      <c r="QUQ73" s="55"/>
      <c r="QUR73" s="55"/>
      <c r="QUS73" s="55"/>
      <c r="QUT73" s="55"/>
      <c r="QUU73" s="55"/>
      <c r="QUV73" s="55"/>
      <c r="QUW73" s="55"/>
      <c r="QUX73" s="55"/>
      <c r="QUY73" s="55"/>
      <c r="QUZ73" s="55"/>
      <c r="QVA73" s="55"/>
      <c r="QVB73" s="55"/>
      <c r="QVC73" s="55"/>
      <c r="QVD73" s="55"/>
      <c r="QVE73" s="55"/>
      <c r="QVF73" s="55"/>
      <c r="QVG73" s="55"/>
      <c r="QVH73" s="55"/>
      <c r="QVI73" s="55"/>
      <c r="QVJ73" s="55"/>
      <c r="QVK73" s="55"/>
      <c r="QVL73" s="55"/>
      <c r="QVM73" s="55"/>
      <c r="QVN73" s="55"/>
      <c r="QVO73" s="55"/>
      <c r="QVP73" s="55"/>
      <c r="QVQ73" s="55"/>
      <c r="QVR73" s="55"/>
      <c r="QVS73" s="55"/>
      <c r="QVT73" s="55"/>
      <c r="QVU73" s="55"/>
      <c r="QVV73" s="55"/>
      <c r="QVW73" s="55"/>
      <c r="QVX73" s="55"/>
      <c r="QVY73" s="55"/>
      <c r="QVZ73" s="55"/>
      <c r="QWA73" s="55"/>
      <c r="QWB73" s="55"/>
      <c r="QWC73" s="55"/>
      <c r="QWD73" s="55"/>
      <c r="QWE73" s="55"/>
      <c r="QWF73" s="55"/>
      <c r="QWG73" s="55"/>
      <c r="QWH73" s="55"/>
      <c r="QWI73" s="55"/>
      <c r="QWJ73" s="55"/>
      <c r="QWK73" s="55"/>
      <c r="QWL73" s="55"/>
      <c r="QWM73" s="55"/>
      <c r="QWN73" s="55"/>
      <c r="QWO73" s="55"/>
      <c r="QWP73" s="55"/>
      <c r="QWQ73" s="55"/>
      <c r="QWR73" s="55"/>
      <c r="QWS73" s="55"/>
      <c r="QWT73" s="55"/>
      <c r="QWU73" s="55"/>
      <c r="QWV73" s="55"/>
      <c r="QWW73" s="55"/>
      <c r="QWX73" s="55"/>
      <c r="QWY73" s="55"/>
      <c r="QWZ73" s="55"/>
      <c r="QXA73" s="55"/>
      <c r="QXB73" s="55"/>
      <c r="QXC73" s="55"/>
      <c r="QXD73" s="55"/>
      <c r="QXE73" s="55"/>
      <c r="QXF73" s="55"/>
      <c r="QXG73" s="55"/>
      <c r="QXH73" s="55"/>
      <c r="QXI73" s="55"/>
      <c r="QXJ73" s="55"/>
      <c r="QXK73" s="55"/>
      <c r="QXL73" s="55"/>
      <c r="QXM73" s="55"/>
      <c r="QXN73" s="55"/>
      <c r="QXO73" s="55"/>
      <c r="QXP73" s="55"/>
      <c r="QXQ73" s="55"/>
      <c r="QXR73" s="55"/>
      <c r="QXS73" s="55"/>
      <c r="QXT73" s="55"/>
      <c r="QXU73" s="55"/>
      <c r="QXV73" s="55"/>
      <c r="QXW73" s="55"/>
      <c r="QXX73" s="55"/>
      <c r="QXY73" s="55"/>
      <c r="QXZ73" s="55"/>
      <c r="QYA73" s="55"/>
      <c r="QYB73" s="55"/>
      <c r="QYC73" s="55"/>
      <c r="QYD73" s="55"/>
      <c r="QYE73" s="55"/>
      <c r="QYF73" s="55"/>
      <c r="QYG73" s="55"/>
      <c r="QYH73" s="55"/>
      <c r="QYI73" s="55"/>
      <c r="QYJ73" s="55"/>
      <c r="QYK73" s="55"/>
      <c r="QYL73" s="55"/>
      <c r="QYM73" s="55"/>
      <c r="QYN73" s="55"/>
      <c r="QYO73" s="55"/>
      <c r="QYP73" s="55"/>
      <c r="QYQ73" s="55"/>
      <c r="QYR73" s="55"/>
      <c r="QYS73" s="55"/>
      <c r="QYT73" s="55"/>
      <c r="QYU73" s="55"/>
      <c r="QYV73" s="55"/>
      <c r="QYW73" s="55"/>
      <c r="QYX73" s="55"/>
      <c r="QYY73" s="55"/>
      <c r="QYZ73" s="55"/>
      <c r="QZA73" s="55"/>
      <c r="QZB73" s="55"/>
      <c r="QZC73" s="55"/>
      <c r="QZD73" s="55"/>
      <c r="QZE73" s="55"/>
      <c r="QZF73" s="55"/>
      <c r="QZG73" s="55"/>
      <c r="QZH73" s="55"/>
      <c r="QZI73" s="55"/>
      <c r="QZJ73" s="55"/>
      <c r="QZK73" s="55"/>
      <c r="QZL73" s="55"/>
      <c r="QZM73" s="55"/>
      <c r="QZN73" s="55"/>
      <c r="QZO73" s="55"/>
      <c r="QZP73" s="55"/>
      <c r="QZQ73" s="55"/>
      <c r="QZR73" s="55"/>
      <c r="QZS73" s="55"/>
      <c r="QZT73" s="55"/>
      <c r="QZU73" s="55"/>
      <c r="QZV73" s="55"/>
      <c r="QZW73" s="55"/>
      <c r="QZX73" s="55"/>
      <c r="QZY73" s="55"/>
      <c r="QZZ73" s="55"/>
      <c r="RAA73" s="55"/>
      <c r="RAB73" s="55"/>
      <c r="RAC73" s="55"/>
      <c r="RAD73" s="55"/>
      <c r="RAE73" s="55"/>
      <c r="RAF73" s="55"/>
      <c r="RAG73" s="55"/>
      <c r="RAH73" s="55"/>
      <c r="RAI73" s="55"/>
      <c r="RAJ73" s="55"/>
      <c r="RAK73" s="55"/>
      <c r="RAL73" s="55"/>
      <c r="RAM73" s="55"/>
      <c r="RAN73" s="55"/>
      <c r="RAO73" s="55"/>
      <c r="RAP73" s="55"/>
      <c r="RAQ73" s="55"/>
      <c r="RAR73" s="55"/>
      <c r="RAS73" s="55"/>
      <c r="RAT73" s="55"/>
      <c r="RAU73" s="55"/>
      <c r="RAV73" s="55"/>
      <c r="RAW73" s="55"/>
      <c r="RAX73" s="55"/>
      <c r="RAY73" s="55"/>
      <c r="RAZ73" s="55"/>
      <c r="RBA73" s="55"/>
      <c r="RBB73" s="55"/>
      <c r="RBC73" s="55"/>
      <c r="RBD73" s="55"/>
      <c r="RBE73" s="55"/>
      <c r="RBF73" s="55"/>
      <c r="RBG73" s="55"/>
      <c r="RBH73" s="55"/>
      <c r="RBI73" s="55"/>
      <c r="RBJ73" s="55"/>
      <c r="RBK73" s="55"/>
      <c r="RBL73" s="55"/>
      <c r="RBM73" s="55"/>
      <c r="RBN73" s="55"/>
      <c r="RBO73" s="55"/>
      <c r="RBP73" s="55"/>
      <c r="RBQ73" s="55"/>
      <c r="RBR73" s="55"/>
      <c r="RBS73" s="55"/>
      <c r="RBT73" s="55"/>
      <c r="RBU73" s="55"/>
      <c r="RBV73" s="55"/>
      <c r="RBW73" s="55"/>
      <c r="RBX73" s="55"/>
      <c r="RBY73" s="55"/>
      <c r="RBZ73" s="55"/>
      <c r="RCA73" s="55"/>
      <c r="RCB73" s="55"/>
      <c r="RCC73" s="55"/>
      <c r="RCD73" s="55"/>
      <c r="RCE73" s="55"/>
      <c r="RCF73" s="55"/>
      <c r="RCG73" s="55"/>
      <c r="RCH73" s="55"/>
      <c r="RCI73" s="55"/>
      <c r="RCJ73" s="55"/>
      <c r="RCK73" s="55"/>
      <c r="RCL73" s="55"/>
      <c r="RCM73" s="55"/>
      <c r="RCN73" s="55"/>
      <c r="RCO73" s="55"/>
      <c r="RCP73" s="55"/>
      <c r="RCQ73" s="55"/>
      <c r="RCR73" s="55"/>
      <c r="RCS73" s="55"/>
      <c r="RCT73" s="55"/>
      <c r="RCU73" s="55"/>
      <c r="RCV73" s="55"/>
      <c r="RCW73" s="55"/>
      <c r="RCX73" s="55"/>
      <c r="RCY73" s="55"/>
      <c r="RCZ73" s="55"/>
      <c r="RDA73" s="55"/>
      <c r="RDB73" s="55"/>
      <c r="RDC73" s="55"/>
      <c r="RDD73" s="55"/>
      <c r="RDE73" s="55"/>
      <c r="RDF73" s="55"/>
      <c r="RDG73" s="55"/>
      <c r="RDH73" s="55"/>
      <c r="RDI73" s="55"/>
      <c r="RDJ73" s="55"/>
      <c r="RDK73" s="55"/>
      <c r="RDL73" s="55"/>
      <c r="RDM73" s="55"/>
      <c r="RDN73" s="55"/>
      <c r="RDO73" s="55"/>
      <c r="RDP73" s="55"/>
      <c r="RDQ73" s="55"/>
      <c r="RDR73" s="55"/>
      <c r="RDS73" s="55"/>
      <c r="RDT73" s="55"/>
      <c r="RDU73" s="55"/>
      <c r="RDV73" s="55"/>
      <c r="RDW73" s="55"/>
      <c r="RDX73" s="55"/>
      <c r="RDY73" s="55"/>
      <c r="RDZ73" s="55"/>
      <c r="REA73" s="55"/>
      <c r="REB73" s="55"/>
      <c r="REC73" s="55"/>
      <c r="RED73" s="55"/>
      <c r="REE73" s="55"/>
      <c r="REF73" s="55"/>
      <c r="REG73" s="55"/>
      <c r="REH73" s="55"/>
      <c r="REI73" s="55"/>
      <c r="REJ73" s="55"/>
      <c r="REK73" s="55"/>
      <c r="REL73" s="55"/>
      <c r="REM73" s="55"/>
      <c r="REN73" s="55"/>
      <c r="REO73" s="55"/>
      <c r="REP73" s="55"/>
      <c r="REQ73" s="55"/>
      <c r="RER73" s="55"/>
      <c r="RES73" s="55"/>
      <c r="RET73" s="55"/>
      <c r="REU73" s="55"/>
      <c r="REV73" s="55"/>
      <c r="REW73" s="55"/>
      <c r="REX73" s="55"/>
      <c r="REY73" s="55"/>
      <c r="REZ73" s="55"/>
      <c r="RFA73" s="55"/>
      <c r="RFB73" s="55"/>
      <c r="RFC73" s="55"/>
      <c r="RFD73" s="55"/>
      <c r="RFE73" s="55"/>
      <c r="RFF73" s="55"/>
      <c r="RFG73" s="55"/>
      <c r="RFH73" s="55"/>
      <c r="RFI73" s="55"/>
      <c r="RFJ73" s="55"/>
      <c r="RFK73" s="55"/>
      <c r="RFL73" s="55"/>
      <c r="RFM73" s="55"/>
      <c r="RFN73" s="55"/>
      <c r="RFO73" s="55"/>
      <c r="RFP73" s="55"/>
      <c r="RFQ73" s="55"/>
      <c r="RFR73" s="55"/>
      <c r="RFS73" s="55"/>
      <c r="RFT73" s="55"/>
      <c r="RFU73" s="55"/>
      <c r="RFV73" s="55"/>
      <c r="RFW73" s="55"/>
      <c r="RFX73" s="55"/>
      <c r="RFY73" s="55"/>
      <c r="RFZ73" s="55"/>
      <c r="RGA73" s="55"/>
      <c r="RGB73" s="55"/>
      <c r="RGC73" s="55"/>
      <c r="RGD73" s="55"/>
      <c r="RGE73" s="55"/>
      <c r="RGF73" s="55"/>
      <c r="RGG73" s="55"/>
      <c r="RGH73" s="55"/>
      <c r="RGI73" s="55"/>
      <c r="RGJ73" s="55"/>
      <c r="RGK73" s="55"/>
      <c r="RGL73" s="55"/>
      <c r="RGM73" s="55"/>
      <c r="RGN73" s="55"/>
      <c r="RGO73" s="55"/>
      <c r="RGP73" s="55"/>
      <c r="RGQ73" s="55"/>
      <c r="RGR73" s="55"/>
      <c r="RGS73" s="55"/>
      <c r="RGT73" s="55"/>
      <c r="RGU73" s="55"/>
      <c r="RGV73" s="55"/>
      <c r="RGW73" s="55"/>
      <c r="RGX73" s="55"/>
      <c r="RGY73" s="55"/>
      <c r="RGZ73" s="55"/>
      <c r="RHA73" s="55"/>
      <c r="RHB73" s="55"/>
      <c r="RHC73" s="55"/>
      <c r="RHD73" s="55"/>
      <c r="RHE73" s="55"/>
      <c r="RHF73" s="55"/>
      <c r="RHG73" s="55"/>
      <c r="RHH73" s="55"/>
      <c r="RHI73" s="55"/>
      <c r="RHJ73" s="55"/>
      <c r="RHK73" s="55"/>
      <c r="RHL73" s="55"/>
      <c r="RHM73" s="55"/>
      <c r="RHN73" s="55"/>
      <c r="RHO73" s="55"/>
      <c r="RHP73" s="55"/>
      <c r="RHQ73" s="55"/>
      <c r="RHR73" s="55"/>
      <c r="RHS73" s="55"/>
      <c r="RHT73" s="55"/>
      <c r="RHU73" s="55"/>
      <c r="RHV73" s="55"/>
      <c r="RHW73" s="55"/>
      <c r="RHX73" s="55"/>
      <c r="RHY73" s="55"/>
      <c r="RHZ73" s="55"/>
      <c r="RIA73" s="55"/>
      <c r="RIB73" s="55"/>
      <c r="RIC73" s="55"/>
      <c r="RID73" s="55"/>
      <c r="RIE73" s="55"/>
      <c r="RIF73" s="55"/>
      <c r="RIG73" s="55"/>
      <c r="RIH73" s="55"/>
      <c r="RII73" s="55"/>
      <c r="RIJ73" s="55"/>
      <c r="RIK73" s="55"/>
      <c r="RIL73" s="55"/>
      <c r="RIM73" s="55"/>
      <c r="RIN73" s="55"/>
      <c r="RIO73" s="55"/>
      <c r="RIP73" s="55"/>
      <c r="RIQ73" s="55"/>
      <c r="RIR73" s="55"/>
      <c r="RIS73" s="55"/>
      <c r="RIT73" s="55"/>
      <c r="RIU73" s="55"/>
      <c r="RIV73" s="55"/>
      <c r="RIW73" s="55"/>
      <c r="RIX73" s="55"/>
      <c r="RIY73" s="55"/>
      <c r="RIZ73" s="55"/>
      <c r="RJA73" s="55"/>
      <c r="RJB73" s="55"/>
      <c r="RJC73" s="55"/>
      <c r="RJD73" s="55"/>
      <c r="RJE73" s="55"/>
      <c r="RJF73" s="55"/>
      <c r="RJG73" s="55"/>
      <c r="RJH73" s="55"/>
      <c r="RJI73" s="55"/>
      <c r="RJJ73" s="55"/>
      <c r="RJK73" s="55"/>
      <c r="RJL73" s="55"/>
      <c r="RJM73" s="55"/>
      <c r="RJN73" s="55"/>
      <c r="RJO73" s="55"/>
      <c r="RJP73" s="55"/>
      <c r="RJQ73" s="55"/>
      <c r="RJR73" s="55"/>
      <c r="RJS73" s="55"/>
      <c r="RJT73" s="55"/>
      <c r="RJU73" s="55"/>
      <c r="RJV73" s="55"/>
      <c r="RJW73" s="55"/>
      <c r="RJX73" s="55"/>
      <c r="RJY73" s="55"/>
      <c r="RJZ73" s="55"/>
      <c r="RKA73" s="55"/>
      <c r="RKB73" s="55"/>
      <c r="RKC73" s="55"/>
      <c r="RKD73" s="55"/>
      <c r="RKE73" s="55"/>
      <c r="RKF73" s="55"/>
      <c r="RKG73" s="55"/>
      <c r="RKH73" s="55"/>
      <c r="RKI73" s="55"/>
      <c r="RKJ73" s="55"/>
      <c r="RKK73" s="55"/>
      <c r="RKL73" s="55"/>
      <c r="RKM73" s="55"/>
      <c r="RKN73" s="55"/>
      <c r="RKO73" s="55"/>
      <c r="RKP73" s="55"/>
      <c r="RKQ73" s="55"/>
      <c r="RKR73" s="55"/>
      <c r="RKS73" s="55"/>
      <c r="RKT73" s="55"/>
      <c r="RKU73" s="55"/>
      <c r="RKV73" s="55"/>
      <c r="RKW73" s="55"/>
      <c r="RKX73" s="55"/>
      <c r="RKY73" s="55"/>
      <c r="RKZ73" s="55"/>
      <c r="RLA73" s="55"/>
      <c r="RLB73" s="55"/>
      <c r="RLC73" s="55"/>
      <c r="RLD73" s="55"/>
      <c r="RLE73" s="55"/>
      <c r="RLF73" s="55"/>
      <c r="RLG73" s="55"/>
      <c r="RLH73" s="55"/>
      <c r="RLI73" s="55"/>
      <c r="RLJ73" s="55"/>
      <c r="RLK73" s="55"/>
      <c r="RLL73" s="55"/>
      <c r="RLM73" s="55"/>
      <c r="RLN73" s="55"/>
      <c r="RLO73" s="55"/>
      <c r="RLP73" s="55"/>
      <c r="RLQ73" s="55"/>
      <c r="RLR73" s="55"/>
      <c r="RLS73" s="55"/>
      <c r="RLT73" s="55"/>
      <c r="RLU73" s="55"/>
      <c r="RLV73" s="55"/>
      <c r="RLW73" s="55"/>
      <c r="RLX73" s="55"/>
      <c r="RLY73" s="55"/>
      <c r="RLZ73" s="55"/>
      <c r="RMA73" s="55"/>
      <c r="RMB73" s="55"/>
      <c r="RMC73" s="55"/>
      <c r="RMD73" s="55"/>
      <c r="RME73" s="55"/>
      <c r="RMF73" s="55"/>
      <c r="RMG73" s="55"/>
      <c r="RMH73" s="55"/>
      <c r="RMI73" s="55"/>
      <c r="RMJ73" s="55"/>
      <c r="RMK73" s="55"/>
      <c r="RML73" s="55"/>
      <c r="RMM73" s="55"/>
      <c r="RMN73" s="55"/>
      <c r="RMO73" s="55"/>
      <c r="RMP73" s="55"/>
      <c r="RMQ73" s="55"/>
      <c r="RMR73" s="55"/>
      <c r="RMS73" s="55"/>
      <c r="RMT73" s="55"/>
      <c r="RMU73" s="55"/>
      <c r="RMV73" s="55"/>
      <c r="RMW73" s="55"/>
      <c r="RMX73" s="55"/>
      <c r="RMY73" s="55"/>
      <c r="RMZ73" s="55"/>
      <c r="RNA73" s="55"/>
      <c r="RNB73" s="55"/>
      <c r="RNC73" s="55"/>
      <c r="RND73" s="55"/>
      <c r="RNE73" s="55"/>
      <c r="RNF73" s="55"/>
      <c r="RNG73" s="55"/>
      <c r="RNH73" s="55"/>
      <c r="RNI73" s="55"/>
      <c r="RNJ73" s="55"/>
      <c r="RNK73" s="55"/>
      <c r="RNL73" s="55"/>
      <c r="RNM73" s="55"/>
      <c r="RNN73" s="55"/>
      <c r="RNO73" s="55"/>
      <c r="RNP73" s="55"/>
      <c r="RNQ73" s="55"/>
      <c r="RNR73" s="55"/>
      <c r="RNS73" s="55"/>
      <c r="RNT73" s="55"/>
      <c r="RNU73" s="55"/>
      <c r="RNV73" s="55"/>
      <c r="RNW73" s="55"/>
      <c r="RNX73" s="55"/>
      <c r="RNY73" s="55"/>
      <c r="RNZ73" s="55"/>
      <c r="ROA73" s="55"/>
      <c r="ROB73" s="55"/>
      <c r="ROC73" s="55"/>
      <c r="ROD73" s="55"/>
      <c r="ROE73" s="55"/>
      <c r="ROF73" s="55"/>
      <c r="ROG73" s="55"/>
      <c r="ROH73" s="55"/>
      <c r="ROI73" s="55"/>
      <c r="ROJ73" s="55"/>
      <c r="ROK73" s="55"/>
      <c r="ROL73" s="55"/>
      <c r="ROM73" s="55"/>
      <c r="RON73" s="55"/>
      <c r="ROO73" s="55"/>
      <c r="ROP73" s="55"/>
      <c r="ROQ73" s="55"/>
      <c r="ROR73" s="55"/>
      <c r="ROS73" s="55"/>
      <c r="ROT73" s="55"/>
      <c r="ROU73" s="55"/>
      <c r="ROV73" s="55"/>
      <c r="ROW73" s="55"/>
      <c r="ROX73" s="55"/>
      <c r="ROY73" s="55"/>
      <c r="ROZ73" s="55"/>
      <c r="RPA73" s="55"/>
      <c r="RPB73" s="55"/>
      <c r="RPC73" s="55"/>
      <c r="RPD73" s="55"/>
      <c r="RPE73" s="55"/>
      <c r="RPF73" s="55"/>
      <c r="RPG73" s="55"/>
      <c r="RPH73" s="55"/>
      <c r="RPI73" s="55"/>
      <c r="RPJ73" s="55"/>
      <c r="RPK73" s="55"/>
      <c r="RPL73" s="55"/>
      <c r="RPM73" s="55"/>
      <c r="RPN73" s="55"/>
      <c r="RPO73" s="55"/>
      <c r="RPP73" s="55"/>
      <c r="RPQ73" s="55"/>
      <c r="RPR73" s="55"/>
      <c r="RPS73" s="55"/>
      <c r="RPT73" s="55"/>
      <c r="RPU73" s="55"/>
      <c r="RPV73" s="55"/>
      <c r="RPW73" s="55"/>
      <c r="RPX73" s="55"/>
      <c r="RPY73" s="55"/>
      <c r="RPZ73" s="55"/>
      <c r="RQA73" s="55"/>
      <c r="RQB73" s="55"/>
      <c r="RQC73" s="55"/>
      <c r="RQD73" s="55"/>
      <c r="RQE73" s="55"/>
      <c r="RQF73" s="55"/>
      <c r="RQG73" s="55"/>
      <c r="RQH73" s="55"/>
      <c r="RQI73" s="55"/>
      <c r="RQJ73" s="55"/>
      <c r="RQK73" s="55"/>
      <c r="RQL73" s="55"/>
      <c r="RQM73" s="55"/>
      <c r="RQN73" s="55"/>
      <c r="RQO73" s="55"/>
      <c r="RQP73" s="55"/>
      <c r="RQQ73" s="55"/>
      <c r="RQR73" s="55"/>
      <c r="RQS73" s="55"/>
      <c r="RQT73" s="55"/>
      <c r="RQU73" s="55"/>
      <c r="RQV73" s="55"/>
      <c r="RQW73" s="55"/>
      <c r="RQX73" s="55"/>
      <c r="RQY73" s="55"/>
      <c r="RQZ73" s="55"/>
      <c r="RRA73" s="55"/>
      <c r="RRB73" s="55"/>
      <c r="RRC73" s="55"/>
      <c r="RRD73" s="55"/>
      <c r="RRE73" s="55"/>
      <c r="RRF73" s="55"/>
      <c r="RRG73" s="55"/>
      <c r="RRH73" s="55"/>
      <c r="RRI73" s="55"/>
      <c r="RRJ73" s="55"/>
      <c r="RRK73" s="55"/>
      <c r="RRL73" s="55"/>
      <c r="RRM73" s="55"/>
      <c r="RRN73" s="55"/>
      <c r="RRO73" s="55"/>
      <c r="RRP73" s="55"/>
      <c r="RRQ73" s="55"/>
      <c r="RRR73" s="55"/>
      <c r="RRS73" s="55"/>
      <c r="RRT73" s="55"/>
      <c r="RRU73" s="55"/>
      <c r="RRV73" s="55"/>
      <c r="RRW73" s="55"/>
      <c r="RRX73" s="55"/>
      <c r="RRY73" s="55"/>
      <c r="RRZ73" s="55"/>
      <c r="RSA73" s="55"/>
      <c r="RSB73" s="55"/>
      <c r="RSC73" s="55"/>
      <c r="RSD73" s="55"/>
      <c r="RSE73" s="55"/>
      <c r="RSF73" s="55"/>
      <c r="RSG73" s="55"/>
      <c r="RSH73" s="55"/>
      <c r="RSI73" s="55"/>
      <c r="RSJ73" s="55"/>
      <c r="RSK73" s="55"/>
      <c r="RSL73" s="55"/>
      <c r="RSM73" s="55"/>
      <c r="RSN73" s="55"/>
      <c r="RSO73" s="55"/>
      <c r="RSP73" s="55"/>
      <c r="RSQ73" s="55"/>
      <c r="RSR73" s="55"/>
      <c r="RSS73" s="55"/>
      <c r="RST73" s="55"/>
      <c r="RSU73" s="55"/>
      <c r="RSV73" s="55"/>
      <c r="RSW73" s="55"/>
      <c r="RSX73" s="55"/>
      <c r="RSY73" s="55"/>
      <c r="RSZ73" s="55"/>
      <c r="RTA73" s="55"/>
      <c r="RTB73" s="55"/>
      <c r="RTC73" s="55"/>
      <c r="RTD73" s="55"/>
      <c r="RTE73" s="55"/>
      <c r="RTF73" s="55"/>
      <c r="RTG73" s="55"/>
      <c r="RTH73" s="55"/>
      <c r="RTI73" s="55"/>
      <c r="RTJ73" s="55"/>
      <c r="RTK73" s="55"/>
      <c r="RTL73" s="55"/>
      <c r="RTM73" s="55"/>
      <c r="RTN73" s="55"/>
      <c r="RTO73" s="55"/>
      <c r="RTP73" s="55"/>
      <c r="RTQ73" s="55"/>
      <c r="RTR73" s="55"/>
      <c r="RTS73" s="55"/>
      <c r="RTT73" s="55"/>
      <c r="RTU73" s="55"/>
      <c r="RTV73" s="55"/>
      <c r="RTW73" s="55"/>
      <c r="RTX73" s="55"/>
      <c r="RTY73" s="55"/>
      <c r="RTZ73" s="55"/>
      <c r="RUA73" s="55"/>
      <c r="RUB73" s="55"/>
      <c r="RUC73" s="55"/>
      <c r="RUD73" s="55"/>
      <c r="RUE73" s="55"/>
      <c r="RUF73" s="55"/>
      <c r="RUG73" s="55"/>
      <c r="RUH73" s="55"/>
      <c r="RUI73" s="55"/>
      <c r="RUJ73" s="55"/>
      <c r="RUK73" s="55"/>
      <c r="RUL73" s="55"/>
      <c r="RUM73" s="55"/>
      <c r="RUN73" s="55"/>
      <c r="RUO73" s="55"/>
      <c r="RUP73" s="55"/>
      <c r="RUQ73" s="55"/>
      <c r="RUR73" s="55"/>
      <c r="RUS73" s="55"/>
      <c r="RUT73" s="55"/>
      <c r="RUU73" s="55"/>
      <c r="RUV73" s="55"/>
      <c r="RUW73" s="55"/>
      <c r="RUX73" s="55"/>
      <c r="RUY73" s="55"/>
      <c r="RUZ73" s="55"/>
      <c r="RVA73" s="55"/>
      <c r="RVB73" s="55"/>
      <c r="RVC73" s="55"/>
      <c r="RVD73" s="55"/>
      <c r="RVE73" s="55"/>
      <c r="RVF73" s="55"/>
      <c r="RVG73" s="55"/>
      <c r="RVH73" s="55"/>
      <c r="RVI73" s="55"/>
      <c r="RVJ73" s="55"/>
      <c r="RVK73" s="55"/>
      <c r="RVL73" s="55"/>
      <c r="RVM73" s="55"/>
      <c r="RVN73" s="55"/>
      <c r="RVO73" s="55"/>
      <c r="RVP73" s="55"/>
      <c r="RVQ73" s="55"/>
      <c r="RVR73" s="55"/>
      <c r="RVS73" s="55"/>
      <c r="RVT73" s="55"/>
      <c r="RVU73" s="55"/>
      <c r="RVV73" s="55"/>
      <c r="RVW73" s="55"/>
      <c r="RVX73" s="55"/>
      <c r="RVY73" s="55"/>
      <c r="RVZ73" s="55"/>
      <c r="RWA73" s="55"/>
      <c r="RWB73" s="55"/>
      <c r="RWC73" s="55"/>
      <c r="RWD73" s="55"/>
      <c r="RWE73" s="55"/>
      <c r="RWF73" s="55"/>
      <c r="RWG73" s="55"/>
      <c r="RWH73" s="55"/>
      <c r="RWI73" s="55"/>
      <c r="RWJ73" s="55"/>
      <c r="RWK73" s="55"/>
      <c r="RWL73" s="55"/>
      <c r="RWM73" s="55"/>
      <c r="RWN73" s="55"/>
      <c r="RWO73" s="55"/>
      <c r="RWP73" s="55"/>
      <c r="RWQ73" s="55"/>
      <c r="RWR73" s="55"/>
      <c r="RWS73" s="55"/>
      <c r="RWT73" s="55"/>
      <c r="RWU73" s="55"/>
      <c r="RWV73" s="55"/>
      <c r="RWW73" s="55"/>
      <c r="RWX73" s="55"/>
      <c r="RWY73" s="55"/>
      <c r="RWZ73" s="55"/>
      <c r="RXA73" s="55"/>
      <c r="RXB73" s="55"/>
      <c r="RXC73" s="55"/>
      <c r="RXD73" s="55"/>
      <c r="RXE73" s="55"/>
      <c r="RXF73" s="55"/>
      <c r="RXG73" s="55"/>
      <c r="RXH73" s="55"/>
      <c r="RXI73" s="55"/>
      <c r="RXJ73" s="55"/>
      <c r="RXK73" s="55"/>
      <c r="RXL73" s="55"/>
      <c r="RXM73" s="55"/>
      <c r="RXN73" s="55"/>
      <c r="RXO73" s="55"/>
      <c r="RXP73" s="55"/>
      <c r="RXQ73" s="55"/>
      <c r="RXR73" s="55"/>
      <c r="RXS73" s="55"/>
      <c r="RXT73" s="55"/>
      <c r="RXU73" s="55"/>
      <c r="RXV73" s="55"/>
      <c r="RXW73" s="55"/>
      <c r="RXX73" s="55"/>
      <c r="RXY73" s="55"/>
      <c r="RXZ73" s="55"/>
      <c r="RYA73" s="55"/>
      <c r="RYB73" s="55"/>
      <c r="RYC73" s="55"/>
      <c r="RYD73" s="55"/>
      <c r="RYE73" s="55"/>
      <c r="RYF73" s="55"/>
      <c r="RYG73" s="55"/>
      <c r="RYH73" s="55"/>
      <c r="RYI73" s="55"/>
      <c r="RYJ73" s="55"/>
      <c r="RYK73" s="55"/>
      <c r="RYL73" s="55"/>
      <c r="RYM73" s="55"/>
      <c r="RYN73" s="55"/>
      <c r="RYO73" s="55"/>
      <c r="RYP73" s="55"/>
      <c r="RYQ73" s="55"/>
      <c r="RYR73" s="55"/>
      <c r="RYS73" s="55"/>
      <c r="RYT73" s="55"/>
      <c r="RYU73" s="55"/>
      <c r="RYV73" s="55"/>
      <c r="RYW73" s="55"/>
      <c r="RYX73" s="55"/>
      <c r="RYY73" s="55"/>
      <c r="RYZ73" s="55"/>
      <c r="RZA73" s="55"/>
      <c r="RZB73" s="55"/>
      <c r="RZC73" s="55"/>
      <c r="RZD73" s="55"/>
      <c r="RZE73" s="55"/>
      <c r="RZF73" s="55"/>
      <c r="RZG73" s="55"/>
      <c r="RZH73" s="55"/>
      <c r="RZI73" s="55"/>
      <c r="RZJ73" s="55"/>
      <c r="RZK73" s="55"/>
      <c r="RZL73" s="55"/>
      <c r="RZM73" s="55"/>
      <c r="RZN73" s="55"/>
      <c r="RZO73" s="55"/>
      <c r="RZP73" s="55"/>
      <c r="RZQ73" s="55"/>
      <c r="RZR73" s="55"/>
      <c r="RZS73" s="55"/>
      <c r="RZT73" s="55"/>
      <c r="RZU73" s="55"/>
      <c r="RZV73" s="55"/>
      <c r="RZW73" s="55"/>
      <c r="RZX73" s="55"/>
      <c r="RZY73" s="55"/>
      <c r="RZZ73" s="55"/>
      <c r="SAA73" s="55"/>
      <c r="SAB73" s="55"/>
      <c r="SAC73" s="55"/>
      <c r="SAD73" s="55"/>
      <c r="SAE73" s="55"/>
      <c r="SAF73" s="55"/>
      <c r="SAG73" s="55"/>
      <c r="SAH73" s="55"/>
      <c r="SAI73" s="55"/>
      <c r="SAJ73" s="55"/>
      <c r="SAK73" s="55"/>
      <c r="SAL73" s="55"/>
      <c r="SAM73" s="55"/>
      <c r="SAN73" s="55"/>
      <c r="SAO73" s="55"/>
      <c r="SAP73" s="55"/>
      <c r="SAQ73" s="55"/>
      <c r="SAR73" s="55"/>
      <c r="SAS73" s="55"/>
      <c r="SAT73" s="55"/>
      <c r="SAU73" s="55"/>
      <c r="SAV73" s="55"/>
      <c r="SAW73" s="55"/>
      <c r="SAX73" s="55"/>
      <c r="SAY73" s="55"/>
      <c r="SAZ73" s="55"/>
      <c r="SBA73" s="55"/>
      <c r="SBB73" s="55"/>
      <c r="SBC73" s="55"/>
      <c r="SBD73" s="55"/>
      <c r="SBE73" s="55"/>
      <c r="SBF73" s="55"/>
      <c r="SBG73" s="55"/>
      <c r="SBH73" s="55"/>
      <c r="SBI73" s="55"/>
      <c r="SBJ73" s="55"/>
      <c r="SBK73" s="55"/>
      <c r="SBL73" s="55"/>
      <c r="SBM73" s="55"/>
      <c r="SBN73" s="55"/>
      <c r="SBO73" s="55"/>
      <c r="SBP73" s="55"/>
      <c r="SBQ73" s="55"/>
      <c r="SBR73" s="55"/>
      <c r="SBS73" s="55"/>
      <c r="SBT73" s="55"/>
      <c r="SBU73" s="55"/>
      <c r="SBV73" s="55"/>
      <c r="SBW73" s="55"/>
      <c r="SBX73" s="55"/>
      <c r="SBY73" s="55"/>
      <c r="SBZ73" s="55"/>
      <c r="SCA73" s="55"/>
      <c r="SCB73" s="55"/>
      <c r="SCC73" s="55"/>
      <c r="SCD73" s="55"/>
      <c r="SCE73" s="55"/>
      <c r="SCF73" s="55"/>
      <c r="SCG73" s="55"/>
      <c r="SCH73" s="55"/>
      <c r="SCI73" s="55"/>
      <c r="SCJ73" s="55"/>
      <c r="SCK73" s="55"/>
      <c r="SCL73" s="55"/>
      <c r="SCM73" s="55"/>
      <c r="SCN73" s="55"/>
      <c r="SCO73" s="55"/>
      <c r="SCP73" s="55"/>
      <c r="SCQ73" s="55"/>
      <c r="SCR73" s="55"/>
      <c r="SCS73" s="55"/>
      <c r="SCT73" s="55"/>
      <c r="SCU73" s="55"/>
      <c r="SCV73" s="55"/>
      <c r="SCW73" s="55"/>
      <c r="SCX73" s="55"/>
      <c r="SCY73" s="55"/>
      <c r="SCZ73" s="55"/>
      <c r="SDA73" s="55"/>
      <c r="SDB73" s="55"/>
      <c r="SDC73" s="55"/>
      <c r="SDD73" s="55"/>
      <c r="SDE73" s="55"/>
      <c r="SDF73" s="55"/>
      <c r="SDG73" s="55"/>
      <c r="SDH73" s="55"/>
      <c r="SDI73" s="55"/>
      <c r="SDJ73" s="55"/>
      <c r="SDK73" s="55"/>
      <c r="SDL73" s="55"/>
      <c r="SDM73" s="55"/>
      <c r="SDN73" s="55"/>
      <c r="SDO73" s="55"/>
      <c r="SDP73" s="55"/>
      <c r="SDQ73" s="55"/>
      <c r="SDR73" s="55"/>
      <c r="SDS73" s="55"/>
      <c r="SDT73" s="55"/>
      <c r="SDU73" s="55"/>
      <c r="SDV73" s="55"/>
      <c r="SDW73" s="55"/>
      <c r="SDX73" s="55"/>
      <c r="SDY73" s="55"/>
      <c r="SDZ73" s="55"/>
      <c r="SEA73" s="55"/>
      <c r="SEB73" s="55"/>
      <c r="SEC73" s="55"/>
      <c r="SED73" s="55"/>
      <c r="SEE73" s="55"/>
      <c r="SEF73" s="55"/>
      <c r="SEG73" s="55"/>
      <c r="SEH73" s="55"/>
      <c r="SEI73" s="55"/>
      <c r="SEJ73" s="55"/>
      <c r="SEK73" s="55"/>
      <c r="SEL73" s="55"/>
      <c r="SEM73" s="55"/>
      <c r="SEN73" s="55"/>
      <c r="SEO73" s="55"/>
      <c r="SEP73" s="55"/>
      <c r="SEQ73" s="55"/>
      <c r="SER73" s="55"/>
      <c r="SES73" s="55"/>
      <c r="SET73" s="55"/>
      <c r="SEU73" s="55"/>
      <c r="SEV73" s="55"/>
      <c r="SEW73" s="55"/>
      <c r="SEX73" s="55"/>
      <c r="SEY73" s="55"/>
      <c r="SEZ73" s="55"/>
      <c r="SFA73" s="55"/>
      <c r="SFB73" s="55"/>
      <c r="SFC73" s="55"/>
      <c r="SFD73" s="55"/>
      <c r="SFE73" s="55"/>
      <c r="SFF73" s="55"/>
      <c r="SFG73" s="55"/>
      <c r="SFH73" s="55"/>
      <c r="SFI73" s="55"/>
      <c r="SFJ73" s="55"/>
      <c r="SFK73" s="55"/>
      <c r="SFL73" s="55"/>
      <c r="SFM73" s="55"/>
      <c r="SFN73" s="55"/>
      <c r="SFO73" s="55"/>
      <c r="SFP73" s="55"/>
      <c r="SFQ73" s="55"/>
      <c r="SFR73" s="55"/>
      <c r="SFS73" s="55"/>
      <c r="SFT73" s="55"/>
      <c r="SFU73" s="55"/>
      <c r="SFV73" s="55"/>
      <c r="SFW73" s="55"/>
      <c r="SFX73" s="55"/>
      <c r="SFY73" s="55"/>
      <c r="SFZ73" s="55"/>
      <c r="SGA73" s="55"/>
      <c r="SGB73" s="55"/>
      <c r="SGC73" s="55"/>
      <c r="SGD73" s="55"/>
      <c r="SGE73" s="55"/>
      <c r="SGF73" s="55"/>
      <c r="SGG73" s="55"/>
      <c r="SGH73" s="55"/>
      <c r="SGI73" s="55"/>
      <c r="SGJ73" s="55"/>
      <c r="SGK73" s="55"/>
      <c r="SGL73" s="55"/>
      <c r="SGM73" s="55"/>
      <c r="SGN73" s="55"/>
      <c r="SGO73" s="55"/>
      <c r="SGP73" s="55"/>
      <c r="SGQ73" s="55"/>
      <c r="SGR73" s="55"/>
      <c r="SGS73" s="55"/>
      <c r="SGT73" s="55"/>
      <c r="SGU73" s="55"/>
      <c r="SGV73" s="55"/>
      <c r="SGW73" s="55"/>
      <c r="SGX73" s="55"/>
      <c r="SGY73" s="55"/>
      <c r="SGZ73" s="55"/>
      <c r="SHA73" s="55"/>
      <c r="SHB73" s="55"/>
      <c r="SHC73" s="55"/>
      <c r="SHD73" s="55"/>
      <c r="SHE73" s="55"/>
      <c r="SHF73" s="55"/>
      <c r="SHG73" s="55"/>
      <c r="SHH73" s="55"/>
      <c r="SHI73" s="55"/>
      <c r="SHJ73" s="55"/>
      <c r="SHK73" s="55"/>
      <c r="SHL73" s="55"/>
      <c r="SHM73" s="55"/>
      <c r="SHN73" s="55"/>
      <c r="SHO73" s="55"/>
      <c r="SHP73" s="55"/>
      <c r="SHQ73" s="55"/>
      <c r="SHR73" s="55"/>
      <c r="SHS73" s="55"/>
      <c r="SHT73" s="55"/>
      <c r="SHU73" s="55"/>
      <c r="SHV73" s="55"/>
      <c r="SHW73" s="55"/>
      <c r="SHX73" s="55"/>
      <c r="SHY73" s="55"/>
      <c r="SHZ73" s="55"/>
      <c r="SIA73" s="55"/>
      <c r="SIB73" s="55"/>
      <c r="SIC73" s="55"/>
      <c r="SID73" s="55"/>
      <c r="SIE73" s="55"/>
      <c r="SIF73" s="55"/>
      <c r="SIG73" s="55"/>
      <c r="SIH73" s="55"/>
      <c r="SII73" s="55"/>
      <c r="SIJ73" s="55"/>
      <c r="SIK73" s="55"/>
      <c r="SIL73" s="55"/>
      <c r="SIM73" s="55"/>
      <c r="SIN73" s="55"/>
      <c r="SIO73" s="55"/>
      <c r="SIP73" s="55"/>
      <c r="SIQ73" s="55"/>
      <c r="SIR73" s="55"/>
      <c r="SIS73" s="55"/>
      <c r="SIT73" s="55"/>
      <c r="SIU73" s="55"/>
      <c r="SIV73" s="55"/>
      <c r="SIW73" s="55"/>
      <c r="SIX73" s="55"/>
      <c r="SIY73" s="55"/>
      <c r="SIZ73" s="55"/>
      <c r="SJA73" s="55"/>
      <c r="SJB73" s="55"/>
      <c r="SJC73" s="55"/>
      <c r="SJD73" s="55"/>
      <c r="SJE73" s="55"/>
      <c r="SJF73" s="55"/>
      <c r="SJG73" s="55"/>
      <c r="SJH73" s="55"/>
      <c r="SJI73" s="55"/>
      <c r="SJJ73" s="55"/>
      <c r="SJK73" s="55"/>
      <c r="SJL73" s="55"/>
      <c r="SJM73" s="55"/>
      <c r="SJN73" s="55"/>
      <c r="SJO73" s="55"/>
      <c r="SJP73" s="55"/>
      <c r="SJQ73" s="55"/>
      <c r="SJR73" s="55"/>
      <c r="SJS73" s="55"/>
      <c r="SJT73" s="55"/>
      <c r="SJU73" s="55"/>
      <c r="SJV73" s="55"/>
      <c r="SJW73" s="55"/>
      <c r="SJX73" s="55"/>
      <c r="SJY73" s="55"/>
      <c r="SJZ73" s="55"/>
      <c r="SKA73" s="55"/>
      <c r="SKB73" s="55"/>
      <c r="SKC73" s="55"/>
      <c r="SKD73" s="55"/>
      <c r="SKE73" s="55"/>
      <c r="SKF73" s="55"/>
      <c r="SKG73" s="55"/>
      <c r="SKH73" s="55"/>
      <c r="SKI73" s="55"/>
      <c r="SKJ73" s="55"/>
      <c r="SKK73" s="55"/>
      <c r="SKL73" s="55"/>
      <c r="SKM73" s="55"/>
      <c r="SKN73" s="55"/>
      <c r="SKO73" s="55"/>
      <c r="SKP73" s="55"/>
      <c r="SKQ73" s="55"/>
      <c r="SKR73" s="55"/>
      <c r="SKS73" s="55"/>
      <c r="SKT73" s="55"/>
      <c r="SKU73" s="55"/>
      <c r="SKV73" s="55"/>
      <c r="SKW73" s="55"/>
      <c r="SKX73" s="55"/>
      <c r="SKY73" s="55"/>
      <c r="SKZ73" s="55"/>
      <c r="SLA73" s="55"/>
      <c r="SLB73" s="55"/>
      <c r="SLC73" s="55"/>
      <c r="SLD73" s="55"/>
      <c r="SLE73" s="55"/>
      <c r="SLF73" s="55"/>
      <c r="SLG73" s="55"/>
      <c r="SLH73" s="55"/>
      <c r="SLI73" s="55"/>
      <c r="SLJ73" s="55"/>
      <c r="SLK73" s="55"/>
      <c r="SLL73" s="55"/>
      <c r="SLM73" s="55"/>
      <c r="SLN73" s="55"/>
      <c r="SLO73" s="55"/>
      <c r="SLP73" s="55"/>
      <c r="SLQ73" s="55"/>
      <c r="SLR73" s="55"/>
      <c r="SLS73" s="55"/>
      <c r="SLT73" s="55"/>
      <c r="SLU73" s="55"/>
      <c r="SLV73" s="55"/>
      <c r="SLW73" s="55"/>
      <c r="SLX73" s="55"/>
      <c r="SLY73" s="55"/>
      <c r="SLZ73" s="55"/>
      <c r="SMA73" s="55"/>
      <c r="SMB73" s="55"/>
      <c r="SMC73" s="55"/>
      <c r="SMD73" s="55"/>
      <c r="SME73" s="55"/>
      <c r="SMF73" s="55"/>
      <c r="SMG73" s="55"/>
      <c r="SMH73" s="55"/>
      <c r="SMI73" s="55"/>
      <c r="SMJ73" s="55"/>
      <c r="SMK73" s="55"/>
      <c r="SML73" s="55"/>
      <c r="SMM73" s="55"/>
      <c r="SMN73" s="55"/>
      <c r="SMO73" s="55"/>
      <c r="SMP73" s="55"/>
      <c r="SMQ73" s="55"/>
      <c r="SMR73" s="55"/>
      <c r="SMS73" s="55"/>
      <c r="SMT73" s="55"/>
      <c r="SMU73" s="55"/>
      <c r="SMV73" s="55"/>
      <c r="SMW73" s="55"/>
      <c r="SMX73" s="55"/>
      <c r="SMY73" s="55"/>
      <c r="SMZ73" s="55"/>
      <c r="SNA73" s="55"/>
      <c r="SNB73" s="55"/>
      <c r="SNC73" s="55"/>
      <c r="SND73" s="55"/>
      <c r="SNE73" s="55"/>
      <c r="SNF73" s="55"/>
      <c r="SNG73" s="55"/>
      <c r="SNH73" s="55"/>
      <c r="SNI73" s="55"/>
      <c r="SNJ73" s="55"/>
      <c r="SNK73" s="55"/>
      <c r="SNL73" s="55"/>
      <c r="SNM73" s="55"/>
      <c r="SNN73" s="55"/>
      <c r="SNO73" s="55"/>
      <c r="SNP73" s="55"/>
      <c r="SNQ73" s="55"/>
      <c r="SNR73" s="55"/>
      <c r="SNS73" s="55"/>
      <c r="SNT73" s="55"/>
      <c r="SNU73" s="55"/>
      <c r="SNV73" s="55"/>
      <c r="SNW73" s="55"/>
      <c r="SNX73" s="55"/>
      <c r="SNY73" s="55"/>
      <c r="SNZ73" s="55"/>
      <c r="SOA73" s="55"/>
      <c r="SOB73" s="55"/>
      <c r="SOC73" s="55"/>
      <c r="SOD73" s="55"/>
      <c r="SOE73" s="55"/>
      <c r="SOF73" s="55"/>
      <c r="SOG73" s="55"/>
      <c r="SOH73" s="55"/>
      <c r="SOI73" s="55"/>
      <c r="SOJ73" s="55"/>
      <c r="SOK73" s="55"/>
      <c r="SOL73" s="55"/>
      <c r="SOM73" s="55"/>
      <c r="SON73" s="55"/>
      <c r="SOO73" s="55"/>
      <c r="SOP73" s="55"/>
      <c r="SOQ73" s="55"/>
      <c r="SOR73" s="55"/>
      <c r="SOS73" s="55"/>
      <c r="SOT73" s="55"/>
      <c r="SOU73" s="55"/>
      <c r="SOV73" s="55"/>
      <c r="SOW73" s="55"/>
      <c r="SOX73" s="55"/>
      <c r="SOY73" s="55"/>
      <c r="SOZ73" s="55"/>
      <c r="SPA73" s="55"/>
      <c r="SPB73" s="55"/>
      <c r="SPC73" s="55"/>
      <c r="SPD73" s="55"/>
      <c r="SPE73" s="55"/>
      <c r="SPF73" s="55"/>
      <c r="SPG73" s="55"/>
      <c r="SPH73" s="55"/>
      <c r="SPI73" s="55"/>
      <c r="SPJ73" s="55"/>
      <c r="SPK73" s="55"/>
      <c r="SPL73" s="55"/>
      <c r="SPM73" s="55"/>
      <c r="SPN73" s="55"/>
      <c r="SPO73" s="55"/>
      <c r="SPP73" s="55"/>
      <c r="SPQ73" s="55"/>
      <c r="SPR73" s="55"/>
      <c r="SPS73" s="55"/>
      <c r="SPT73" s="55"/>
      <c r="SPU73" s="55"/>
      <c r="SPV73" s="55"/>
      <c r="SPW73" s="55"/>
      <c r="SPX73" s="55"/>
      <c r="SPY73" s="55"/>
      <c r="SPZ73" s="55"/>
      <c r="SQA73" s="55"/>
      <c r="SQB73" s="55"/>
      <c r="SQC73" s="55"/>
      <c r="SQD73" s="55"/>
      <c r="SQE73" s="55"/>
      <c r="SQF73" s="55"/>
      <c r="SQG73" s="55"/>
      <c r="SQH73" s="55"/>
      <c r="SQI73" s="55"/>
      <c r="SQJ73" s="55"/>
      <c r="SQK73" s="55"/>
      <c r="SQL73" s="55"/>
      <c r="SQM73" s="55"/>
      <c r="SQN73" s="55"/>
      <c r="SQO73" s="55"/>
      <c r="SQP73" s="55"/>
      <c r="SQQ73" s="55"/>
      <c r="SQR73" s="55"/>
      <c r="SQS73" s="55"/>
      <c r="SQT73" s="55"/>
      <c r="SQU73" s="55"/>
      <c r="SQV73" s="55"/>
      <c r="SQW73" s="55"/>
      <c r="SQX73" s="55"/>
      <c r="SQY73" s="55"/>
      <c r="SQZ73" s="55"/>
      <c r="SRA73" s="55"/>
      <c r="SRB73" s="55"/>
      <c r="SRC73" s="55"/>
      <c r="SRD73" s="55"/>
      <c r="SRE73" s="55"/>
      <c r="SRF73" s="55"/>
      <c r="SRG73" s="55"/>
      <c r="SRH73" s="55"/>
      <c r="SRI73" s="55"/>
      <c r="SRJ73" s="55"/>
      <c r="SRK73" s="55"/>
      <c r="SRL73" s="55"/>
      <c r="SRM73" s="55"/>
      <c r="SRN73" s="55"/>
      <c r="SRO73" s="55"/>
      <c r="SRP73" s="55"/>
      <c r="SRQ73" s="55"/>
      <c r="SRR73" s="55"/>
      <c r="SRS73" s="55"/>
      <c r="SRT73" s="55"/>
      <c r="SRU73" s="55"/>
      <c r="SRV73" s="55"/>
      <c r="SRW73" s="55"/>
      <c r="SRX73" s="55"/>
      <c r="SRY73" s="55"/>
      <c r="SRZ73" s="55"/>
      <c r="SSA73" s="55"/>
      <c r="SSB73" s="55"/>
      <c r="SSC73" s="55"/>
      <c r="SSD73" s="55"/>
      <c r="SSE73" s="55"/>
      <c r="SSF73" s="55"/>
      <c r="SSG73" s="55"/>
      <c r="SSH73" s="55"/>
      <c r="SSI73" s="55"/>
      <c r="SSJ73" s="55"/>
      <c r="SSK73" s="55"/>
      <c r="SSL73" s="55"/>
      <c r="SSM73" s="55"/>
      <c r="SSN73" s="55"/>
      <c r="SSO73" s="55"/>
      <c r="SSP73" s="55"/>
      <c r="SSQ73" s="55"/>
      <c r="SSR73" s="55"/>
      <c r="SSS73" s="55"/>
      <c r="SST73" s="55"/>
      <c r="SSU73" s="55"/>
      <c r="SSV73" s="55"/>
      <c r="SSW73" s="55"/>
      <c r="SSX73" s="55"/>
      <c r="SSY73" s="55"/>
      <c r="SSZ73" s="55"/>
      <c r="STA73" s="55"/>
      <c r="STB73" s="55"/>
      <c r="STC73" s="55"/>
      <c r="STD73" s="55"/>
      <c r="STE73" s="55"/>
      <c r="STF73" s="55"/>
      <c r="STG73" s="55"/>
      <c r="STH73" s="55"/>
      <c r="STI73" s="55"/>
      <c r="STJ73" s="55"/>
      <c r="STK73" s="55"/>
      <c r="STL73" s="55"/>
      <c r="STM73" s="55"/>
      <c r="STN73" s="55"/>
      <c r="STO73" s="55"/>
      <c r="STP73" s="55"/>
      <c r="STQ73" s="55"/>
      <c r="STR73" s="55"/>
      <c r="STS73" s="55"/>
      <c r="STT73" s="55"/>
      <c r="STU73" s="55"/>
      <c r="STV73" s="55"/>
      <c r="STW73" s="55"/>
      <c r="STX73" s="55"/>
      <c r="STY73" s="55"/>
      <c r="STZ73" s="55"/>
      <c r="SUA73" s="55"/>
      <c r="SUB73" s="55"/>
      <c r="SUC73" s="55"/>
      <c r="SUD73" s="55"/>
      <c r="SUE73" s="55"/>
      <c r="SUF73" s="55"/>
      <c r="SUG73" s="55"/>
      <c r="SUH73" s="55"/>
      <c r="SUI73" s="55"/>
      <c r="SUJ73" s="55"/>
      <c r="SUK73" s="55"/>
      <c r="SUL73" s="55"/>
      <c r="SUM73" s="55"/>
      <c r="SUN73" s="55"/>
      <c r="SUO73" s="55"/>
      <c r="SUP73" s="55"/>
      <c r="SUQ73" s="55"/>
      <c r="SUR73" s="55"/>
      <c r="SUS73" s="55"/>
      <c r="SUT73" s="55"/>
      <c r="SUU73" s="55"/>
      <c r="SUV73" s="55"/>
      <c r="SUW73" s="55"/>
      <c r="SUX73" s="55"/>
      <c r="SUY73" s="55"/>
      <c r="SUZ73" s="55"/>
      <c r="SVA73" s="55"/>
      <c r="SVB73" s="55"/>
      <c r="SVC73" s="55"/>
      <c r="SVD73" s="55"/>
      <c r="SVE73" s="55"/>
      <c r="SVF73" s="55"/>
      <c r="SVG73" s="55"/>
      <c r="SVH73" s="55"/>
      <c r="SVI73" s="55"/>
      <c r="SVJ73" s="55"/>
      <c r="SVK73" s="55"/>
      <c r="SVL73" s="55"/>
      <c r="SVM73" s="55"/>
      <c r="SVN73" s="55"/>
      <c r="SVO73" s="55"/>
      <c r="SVP73" s="55"/>
      <c r="SVQ73" s="55"/>
      <c r="SVR73" s="55"/>
      <c r="SVS73" s="55"/>
      <c r="SVT73" s="55"/>
      <c r="SVU73" s="55"/>
      <c r="SVV73" s="55"/>
      <c r="SVW73" s="55"/>
      <c r="SVX73" s="55"/>
      <c r="SVY73" s="55"/>
      <c r="SVZ73" s="55"/>
      <c r="SWA73" s="55"/>
      <c r="SWB73" s="55"/>
      <c r="SWC73" s="55"/>
      <c r="SWD73" s="55"/>
      <c r="SWE73" s="55"/>
      <c r="SWF73" s="55"/>
      <c r="SWG73" s="55"/>
      <c r="SWH73" s="55"/>
      <c r="SWI73" s="55"/>
      <c r="SWJ73" s="55"/>
      <c r="SWK73" s="55"/>
      <c r="SWL73" s="55"/>
      <c r="SWM73" s="55"/>
      <c r="SWN73" s="55"/>
      <c r="SWO73" s="55"/>
      <c r="SWP73" s="55"/>
      <c r="SWQ73" s="55"/>
      <c r="SWR73" s="55"/>
      <c r="SWS73" s="55"/>
      <c r="SWT73" s="55"/>
      <c r="SWU73" s="55"/>
      <c r="SWV73" s="55"/>
      <c r="SWW73" s="55"/>
      <c r="SWX73" s="55"/>
      <c r="SWY73" s="55"/>
      <c r="SWZ73" s="55"/>
      <c r="SXA73" s="55"/>
      <c r="SXB73" s="55"/>
      <c r="SXC73" s="55"/>
      <c r="SXD73" s="55"/>
      <c r="SXE73" s="55"/>
      <c r="SXF73" s="55"/>
      <c r="SXG73" s="55"/>
      <c r="SXH73" s="55"/>
      <c r="SXI73" s="55"/>
      <c r="SXJ73" s="55"/>
      <c r="SXK73" s="55"/>
      <c r="SXL73" s="55"/>
      <c r="SXM73" s="55"/>
      <c r="SXN73" s="55"/>
      <c r="SXO73" s="55"/>
      <c r="SXP73" s="55"/>
      <c r="SXQ73" s="55"/>
      <c r="SXR73" s="55"/>
      <c r="SXS73" s="55"/>
      <c r="SXT73" s="55"/>
      <c r="SXU73" s="55"/>
      <c r="SXV73" s="55"/>
      <c r="SXW73" s="55"/>
      <c r="SXX73" s="55"/>
      <c r="SXY73" s="55"/>
      <c r="SXZ73" s="55"/>
      <c r="SYA73" s="55"/>
      <c r="SYB73" s="55"/>
      <c r="SYC73" s="55"/>
      <c r="SYD73" s="55"/>
      <c r="SYE73" s="55"/>
      <c r="SYF73" s="55"/>
      <c r="SYG73" s="55"/>
      <c r="SYH73" s="55"/>
      <c r="SYI73" s="55"/>
      <c r="SYJ73" s="55"/>
      <c r="SYK73" s="55"/>
      <c r="SYL73" s="55"/>
      <c r="SYM73" s="55"/>
      <c r="SYN73" s="55"/>
      <c r="SYO73" s="55"/>
      <c r="SYP73" s="55"/>
      <c r="SYQ73" s="55"/>
      <c r="SYR73" s="55"/>
      <c r="SYS73" s="55"/>
      <c r="SYT73" s="55"/>
      <c r="SYU73" s="55"/>
      <c r="SYV73" s="55"/>
      <c r="SYW73" s="55"/>
      <c r="SYX73" s="55"/>
      <c r="SYY73" s="55"/>
      <c r="SYZ73" s="55"/>
      <c r="SZA73" s="55"/>
      <c r="SZB73" s="55"/>
      <c r="SZC73" s="55"/>
      <c r="SZD73" s="55"/>
      <c r="SZE73" s="55"/>
      <c r="SZF73" s="55"/>
      <c r="SZG73" s="55"/>
      <c r="SZH73" s="55"/>
      <c r="SZI73" s="55"/>
      <c r="SZJ73" s="55"/>
      <c r="SZK73" s="55"/>
      <c r="SZL73" s="55"/>
      <c r="SZM73" s="55"/>
      <c r="SZN73" s="55"/>
      <c r="SZO73" s="55"/>
      <c r="SZP73" s="55"/>
      <c r="SZQ73" s="55"/>
      <c r="SZR73" s="55"/>
      <c r="SZS73" s="55"/>
      <c r="SZT73" s="55"/>
      <c r="SZU73" s="55"/>
      <c r="SZV73" s="55"/>
      <c r="SZW73" s="55"/>
      <c r="SZX73" s="55"/>
      <c r="SZY73" s="55"/>
      <c r="SZZ73" s="55"/>
      <c r="TAA73" s="55"/>
      <c r="TAB73" s="55"/>
      <c r="TAC73" s="55"/>
      <c r="TAD73" s="55"/>
      <c r="TAE73" s="55"/>
      <c r="TAF73" s="55"/>
      <c r="TAG73" s="55"/>
      <c r="TAH73" s="55"/>
      <c r="TAI73" s="55"/>
      <c r="TAJ73" s="55"/>
      <c r="TAK73" s="55"/>
      <c r="TAL73" s="55"/>
      <c r="TAM73" s="55"/>
      <c r="TAN73" s="55"/>
      <c r="TAO73" s="55"/>
      <c r="TAP73" s="55"/>
      <c r="TAQ73" s="55"/>
      <c r="TAR73" s="55"/>
      <c r="TAS73" s="55"/>
      <c r="TAT73" s="55"/>
      <c r="TAU73" s="55"/>
      <c r="TAV73" s="55"/>
      <c r="TAW73" s="55"/>
      <c r="TAX73" s="55"/>
      <c r="TAY73" s="55"/>
      <c r="TAZ73" s="55"/>
      <c r="TBA73" s="55"/>
      <c r="TBB73" s="55"/>
      <c r="TBC73" s="55"/>
      <c r="TBD73" s="55"/>
      <c r="TBE73" s="55"/>
      <c r="TBF73" s="55"/>
      <c r="TBG73" s="55"/>
      <c r="TBH73" s="55"/>
      <c r="TBI73" s="55"/>
      <c r="TBJ73" s="55"/>
      <c r="TBK73" s="55"/>
      <c r="TBL73" s="55"/>
      <c r="TBM73" s="55"/>
      <c r="TBN73" s="55"/>
      <c r="TBO73" s="55"/>
      <c r="TBP73" s="55"/>
      <c r="TBQ73" s="55"/>
      <c r="TBR73" s="55"/>
      <c r="TBS73" s="55"/>
      <c r="TBT73" s="55"/>
      <c r="TBU73" s="55"/>
      <c r="TBV73" s="55"/>
      <c r="TBW73" s="55"/>
      <c r="TBX73" s="55"/>
      <c r="TBY73" s="55"/>
      <c r="TBZ73" s="55"/>
      <c r="TCA73" s="55"/>
      <c r="TCB73" s="55"/>
      <c r="TCC73" s="55"/>
      <c r="TCD73" s="55"/>
      <c r="TCE73" s="55"/>
      <c r="TCF73" s="55"/>
      <c r="TCG73" s="55"/>
      <c r="TCH73" s="55"/>
      <c r="TCI73" s="55"/>
      <c r="TCJ73" s="55"/>
      <c r="TCK73" s="55"/>
      <c r="TCL73" s="55"/>
      <c r="TCM73" s="55"/>
      <c r="TCN73" s="55"/>
      <c r="TCO73" s="55"/>
      <c r="TCP73" s="55"/>
      <c r="TCQ73" s="55"/>
      <c r="TCR73" s="55"/>
      <c r="TCS73" s="55"/>
      <c r="TCT73" s="55"/>
      <c r="TCU73" s="55"/>
      <c r="TCV73" s="55"/>
      <c r="TCW73" s="55"/>
      <c r="TCX73" s="55"/>
      <c r="TCY73" s="55"/>
      <c r="TCZ73" s="55"/>
      <c r="TDA73" s="55"/>
      <c r="TDB73" s="55"/>
      <c r="TDC73" s="55"/>
      <c r="TDD73" s="55"/>
      <c r="TDE73" s="55"/>
      <c r="TDF73" s="55"/>
      <c r="TDG73" s="55"/>
      <c r="TDH73" s="55"/>
      <c r="TDI73" s="55"/>
      <c r="TDJ73" s="55"/>
      <c r="TDK73" s="55"/>
      <c r="TDL73" s="55"/>
      <c r="TDM73" s="55"/>
      <c r="TDN73" s="55"/>
      <c r="TDO73" s="55"/>
      <c r="TDP73" s="55"/>
      <c r="TDQ73" s="55"/>
      <c r="TDR73" s="55"/>
      <c r="TDS73" s="55"/>
      <c r="TDT73" s="55"/>
      <c r="TDU73" s="55"/>
      <c r="TDV73" s="55"/>
      <c r="TDW73" s="55"/>
      <c r="TDX73" s="55"/>
      <c r="TDY73" s="55"/>
      <c r="TDZ73" s="55"/>
      <c r="TEA73" s="55"/>
      <c r="TEB73" s="55"/>
      <c r="TEC73" s="55"/>
      <c r="TED73" s="55"/>
      <c r="TEE73" s="55"/>
      <c r="TEF73" s="55"/>
      <c r="TEG73" s="55"/>
      <c r="TEH73" s="55"/>
      <c r="TEI73" s="55"/>
      <c r="TEJ73" s="55"/>
      <c r="TEK73" s="55"/>
      <c r="TEL73" s="55"/>
      <c r="TEM73" s="55"/>
      <c r="TEN73" s="55"/>
      <c r="TEO73" s="55"/>
      <c r="TEP73" s="55"/>
      <c r="TEQ73" s="55"/>
      <c r="TER73" s="55"/>
      <c r="TES73" s="55"/>
      <c r="TET73" s="55"/>
      <c r="TEU73" s="55"/>
      <c r="TEV73" s="55"/>
      <c r="TEW73" s="55"/>
      <c r="TEX73" s="55"/>
      <c r="TEY73" s="55"/>
      <c r="TEZ73" s="55"/>
      <c r="TFA73" s="55"/>
      <c r="TFB73" s="55"/>
      <c r="TFC73" s="55"/>
      <c r="TFD73" s="55"/>
      <c r="TFE73" s="55"/>
      <c r="TFF73" s="55"/>
      <c r="TFG73" s="55"/>
      <c r="TFH73" s="55"/>
      <c r="TFI73" s="55"/>
      <c r="TFJ73" s="55"/>
      <c r="TFK73" s="55"/>
      <c r="TFL73" s="55"/>
      <c r="TFM73" s="55"/>
      <c r="TFN73" s="55"/>
      <c r="TFO73" s="55"/>
      <c r="TFP73" s="55"/>
      <c r="TFQ73" s="55"/>
      <c r="TFR73" s="55"/>
      <c r="TFS73" s="55"/>
      <c r="TFT73" s="55"/>
      <c r="TFU73" s="55"/>
      <c r="TFV73" s="55"/>
      <c r="TFW73" s="55"/>
      <c r="TFX73" s="55"/>
      <c r="TFY73" s="55"/>
      <c r="TFZ73" s="55"/>
      <c r="TGA73" s="55"/>
      <c r="TGB73" s="55"/>
      <c r="TGC73" s="55"/>
      <c r="TGD73" s="55"/>
      <c r="TGE73" s="55"/>
      <c r="TGF73" s="55"/>
      <c r="TGG73" s="55"/>
      <c r="TGH73" s="55"/>
      <c r="TGI73" s="55"/>
      <c r="TGJ73" s="55"/>
      <c r="TGK73" s="55"/>
      <c r="TGL73" s="55"/>
      <c r="TGM73" s="55"/>
      <c r="TGN73" s="55"/>
      <c r="TGO73" s="55"/>
      <c r="TGP73" s="55"/>
      <c r="TGQ73" s="55"/>
      <c r="TGR73" s="55"/>
      <c r="TGS73" s="55"/>
      <c r="TGT73" s="55"/>
      <c r="TGU73" s="55"/>
      <c r="TGV73" s="55"/>
      <c r="TGW73" s="55"/>
      <c r="TGX73" s="55"/>
      <c r="TGY73" s="55"/>
      <c r="TGZ73" s="55"/>
      <c r="THA73" s="55"/>
      <c r="THB73" s="55"/>
      <c r="THC73" s="55"/>
      <c r="THD73" s="55"/>
      <c r="THE73" s="55"/>
      <c r="THF73" s="55"/>
      <c r="THG73" s="55"/>
      <c r="THH73" s="55"/>
      <c r="THI73" s="55"/>
      <c r="THJ73" s="55"/>
      <c r="THK73" s="55"/>
      <c r="THL73" s="55"/>
      <c r="THM73" s="55"/>
      <c r="THN73" s="55"/>
      <c r="THO73" s="55"/>
      <c r="THP73" s="55"/>
      <c r="THQ73" s="55"/>
      <c r="THR73" s="55"/>
      <c r="THS73" s="55"/>
      <c r="THT73" s="55"/>
      <c r="THU73" s="55"/>
      <c r="THV73" s="55"/>
      <c r="THW73" s="55"/>
      <c r="THX73" s="55"/>
      <c r="THY73" s="55"/>
      <c r="THZ73" s="55"/>
      <c r="TIA73" s="55"/>
      <c r="TIB73" s="55"/>
      <c r="TIC73" s="55"/>
      <c r="TID73" s="55"/>
      <c r="TIE73" s="55"/>
      <c r="TIF73" s="55"/>
      <c r="TIG73" s="55"/>
      <c r="TIH73" s="55"/>
      <c r="TII73" s="55"/>
      <c r="TIJ73" s="55"/>
      <c r="TIK73" s="55"/>
      <c r="TIL73" s="55"/>
      <c r="TIM73" s="55"/>
      <c r="TIN73" s="55"/>
      <c r="TIO73" s="55"/>
      <c r="TIP73" s="55"/>
      <c r="TIQ73" s="55"/>
      <c r="TIR73" s="55"/>
      <c r="TIS73" s="55"/>
      <c r="TIT73" s="55"/>
      <c r="TIU73" s="55"/>
      <c r="TIV73" s="55"/>
      <c r="TIW73" s="55"/>
      <c r="TIX73" s="55"/>
      <c r="TIY73" s="55"/>
      <c r="TIZ73" s="55"/>
      <c r="TJA73" s="55"/>
      <c r="TJB73" s="55"/>
      <c r="TJC73" s="55"/>
      <c r="TJD73" s="55"/>
      <c r="TJE73" s="55"/>
      <c r="TJF73" s="55"/>
      <c r="TJG73" s="55"/>
      <c r="TJH73" s="55"/>
      <c r="TJI73" s="55"/>
      <c r="TJJ73" s="55"/>
      <c r="TJK73" s="55"/>
      <c r="TJL73" s="55"/>
      <c r="TJM73" s="55"/>
      <c r="TJN73" s="55"/>
      <c r="TJO73" s="55"/>
      <c r="TJP73" s="55"/>
      <c r="TJQ73" s="55"/>
      <c r="TJR73" s="55"/>
      <c r="TJS73" s="55"/>
      <c r="TJT73" s="55"/>
      <c r="TJU73" s="55"/>
      <c r="TJV73" s="55"/>
      <c r="TJW73" s="55"/>
      <c r="TJX73" s="55"/>
      <c r="TJY73" s="55"/>
      <c r="TJZ73" s="55"/>
      <c r="TKA73" s="55"/>
      <c r="TKB73" s="55"/>
      <c r="TKC73" s="55"/>
      <c r="TKD73" s="55"/>
      <c r="TKE73" s="55"/>
      <c r="TKF73" s="55"/>
      <c r="TKG73" s="55"/>
      <c r="TKH73" s="55"/>
      <c r="TKI73" s="55"/>
      <c r="TKJ73" s="55"/>
      <c r="TKK73" s="55"/>
      <c r="TKL73" s="55"/>
      <c r="TKM73" s="55"/>
      <c r="TKN73" s="55"/>
      <c r="TKO73" s="55"/>
      <c r="TKP73" s="55"/>
      <c r="TKQ73" s="55"/>
      <c r="TKR73" s="55"/>
      <c r="TKS73" s="55"/>
      <c r="TKT73" s="55"/>
      <c r="TKU73" s="55"/>
      <c r="TKV73" s="55"/>
      <c r="TKW73" s="55"/>
      <c r="TKX73" s="55"/>
      <c r="TKY73" s="55"/>
      <c r="TKZ73" s="55"/>
      <c r="TLA73" s="55"/>
      <c r="TLB73" s="55"/>
      <c r="TLC73" s="55"/>
      <c r="TLD73" s="55"/>
      <c r="TLE73" s="55"/>
      <c r="TLF73" s="55"/>
      <c r="TLG73" s="55"/>
      <c r="TLH73" s="55"/>
      <c r="TLI73" s="55"/>
      <c r="TLJ73" s="55"/>
      <c r="TLK73" s="55"/>
      <c r="TLL73" s="55"/>
      <c r="TLM73" s="55"/>
      <c r="TLN73" s="55"/>
      <c r="TLO73" s="55"/>
      <c r="TLP73" s="55"/>
      <c r="TLQ73" s="55"/>
      <c r="TLR73" s="55"/>
      <c r="TLS73" s="55"/>
      <c r="TLT73" s="55"/>
      <c r="TLU73" s="55"/>
      <c r="TLV73" s="55"/>
      <c r="TLW73" s="55"/>
      <c r="TLX73" s="55"/>
      <c r="TLY73" s="55"/>
      <c r="TLZ73" s="55"/>
      <c r="TMA73" s="55"/>
      <c r="TMB73" s="55"/>
      <c r="TMC73" s="55"/>
      <c r="TMD73" s="55"/>
      <c r="TME73" s="55"/>
      <c r="TMF73" s="55"/>
      <c r="TMG73" s="55"/>
      <c r="TMH73" s="55"/>
      <c r="TMI73" s="55"/>
      <c r="TMJ73" s="55"/>
      <c r="TMK73" s="55"/>
      <c r="TML73" s="55"/>
      <c r="TMM73" s="55"/>
      <c r="TMN73" s="55"/>
      <c r="TMO73" s="55"/>
      <c r="TMP73" s="55"/>
      <c r="TMQ73" s="55"/>
      <c r="TMR73" s="55"/>
      <c r="TMS73" s="55"/>
      <c r="TMT73" s="55"/>
      <c r="TMU73" s="55"/>
      <c r="TMV73" s="55"/>
      <c r="TMW73" s="55"/>
      <c r="TMX73" s="55"/>
      <c r="TMY73" s="55"/>
      <c r="TMZ73" s="55"/>
      <c r="TNA73" s="55"/>
      <c r="TNB73" s="55"/>
      <c r="TNC73" s="55"/>
      <c r="TND73" s="55"/>
      <c r="TNE73" s="55"/>
      <c r="TNF73" s="55"/>
      <c r="TNG73" s="55"/>
      <c r="TNH73" s="55"/>
      <c r="TNI73" s="55"/>
      <c r="TNJ73" s="55"/>
      <c r="TNK73" s="55"/>
      <c r="TNL73" s="55"/>
      <c r="TNM73" s="55"/>
      <c r="TNN73" s="55"/>
      <c r="TNO73" s="55"/>
      <c r="TNP73" s="55"/>
      <c r="TNQ73" s="55"/>
      <c r="TNR73" s="55"/>
      <c r="TNS73" s="55"/>
      <c r="TNT73" s="55"/>
      <c r="TNU73" s="55"/>
      <c r="TNV73" s="55"/>
      <c r="TNW73" s="55"/>
      <c r="TNX73" s="55"/>
      <c r="TNY73" s="55"/>
      <c r="TNZ73" s="55"/>
      <c r="TOA73" s="55"/>
      <c r="TOB73" s="55"/>
      <c r="TOC73" s="55"/>
      <c r="TOD73" s="55"/>
      <c r="TOE73" s="55"/>
      <c r="TOF73" s="55"/>
      <c r="TOG73" s="55"/>
      <c r="TOH73" s="55"/>
      <c r="TOI73" s="55"/>
      <c r="TOJ73" s="55"/>
      <c r="TOK73" s="55"/>
      <c r="TOL73" s="55"/>
      <c r="TOM73" s="55"/>
      <c r="TON73" s="55"/>
      <c r="TOO73" s="55"/>
      <c r="TOP73" s="55"/>
      <c r="TOQ73" s="55"/>
      <c r="TOR73" s="55"/>
      <c r="TOS73" s="55"/>
      <c r="TOT73" s="55"/>
      <c r="TOU73" s="55"/>
      <c r="TOV73" s="55"/>
      <c r="TOW73" s="55"/>
      <c r="TOX73" s="55"/>
      <c r="TOY73" s="55"/>
      <c r="TOZ73" s="55"/>
      <c r="TPA73" s="55"/>
      <c r="TPB73" s="55"/>
      <c r="TPC73" s="55"/>
      <c r="TPD73" s="55"/>
      <c r="TPE73" s="55"/>
      <c r="TPF73" s="55"/>
      <c r="TPG73" s="55"/>
      <c r="TPH73" s="55"/>
      <c r="TPI73" s="55"/>
      <c r="TPJ73" s="55"/>
      <c r="TPK73" s="55"/>
      <c r="TPL73" s="55"/>
      <c r="TPM73" s="55"/>
      <c r="TPN73" s="55"/>
      <c r="TPO73" s="55"/>
      <c r="TPP73" s="55"/>
      <c r="TPQ73" s="55"/>
      <c r="TPR73" s="55"/>
      <c r="TPS73" s="55"/>
      <c r="TPT73" s="55"/>
      <c r="TPU73" s="55"/>
      <c r="TPV73" s="55"/>
      <c r="TPW73" s="55"/>
      <c r="TPX73" s="55"/>
      <c r="TPY73" s="55"/>
      <c r="TPZ73" s="55"/>
      <c r="TQA73" s="55"/>
      <c r="TQB73" s="55"/>
      <c r="TQC73" s="55"/>
      <c r="TQD73" s="55"/>
      <c r="TQE73" s="55"/>
      <c r="TQF73" s="55"/>
      <c r="TQG73" s="55"/>
      <c r="TQH73" s="55"/>
      <c r="TQI73" s="55"/>
      <c r="TQJ73" s="55"/>
      <c r="TQK73" s="55"/>
      <c r="TQL73" s="55"/>
      <c r="TQM73" s="55"/>
      <c r="TQN73" s="55"/>
      <c r="TQO73" s="55"/>
      <c r="TQP73" s="55"/>
      <c r="TQQ73" s="55"/>
      <c r="TQR73" s="55"/>
      <c r="TQS73" s="55"/>
      <c r="TQT73" s="55"/>
      <c r="TQU73" s="55"/>
      <c r="TQV73" s="55"/>
      <c r="TQW73" s="55"/>
      <c r="TQX73" s="55"/>
      <c r="TQY73" s="55"/>
      <c r="TQZ73" s="55"/>
      <c r="TRA73" s="55"/>
      <c r="TRB73" s="55"/>
      <c r="TRC73" s="55"/>
      <c r="TRD73" s="55"/>
      <c r="TRE73" s="55"/>
      <c r="TRF73" s="55"/>
      <c r="TRG73" s="55"/>
      <c r="TRH73" s="55"/>
      <c r="TRI73" s="55"/>
      <c r="TRJ73" s="55"/>
      <c r="TRK73" s="55"/>
      <c r="TRL73" s="55"/>
      <c r="TRM73" s="55"/>
      <c r="TRN73" s="55"/>
      <c r="TRO73" s="55"/>
      <c r="TRP73" s="55"/>
      <c r="TRQ73" s="55"/>
      <c r="TRR73" s="55"/>
      <c r="TRS73" s="55"/>
      <c r="TRT73" s="55"/>
      <c r="TRU73" s="55"/>
      <c r="TRV73" s="55"/>
      <c r="TRW73" s="55"/>
      <c r="TRX73" s="55"/>
      <c r="TRY73" s="55"/>
      <c r="TRZ73" s="55"/>
      <c r="TSA73" s="55"/>
      <c r="TSB73" s="55"/>
      <c r="TSC73" s="55"/>
      <c r="TSD73" s="55"/>
      <c r="TSE73" s="55"/>
      <c r="TSF73" s="55"/>
      <c r="TSG73" s="55"/>
      <c r="TSH73" s="55"/>
      <c r="TSI73" s="55"/>
      <c r="TSJ73" s="55"/>
      <c r="TSK73" s="55"/>
      <c r="TSL73" s="55"/>
      <c r="TSM73" s="55"/>
      <c r="TSN73" s="55"/>
      <c r="TSO73" s="55"/>
      <c r="TSP73" s="55"/>
      <c r="TSQ73" s="55"/>
      <c r="TSR73" s="55"/>
      <c r="TSS73" s="55"/>
      <c r="TST73" s="55"/>
      <c r="TSU73" s="55"/>
      <c r="TSV73" s="55"/>
      <c r="TSW73" s="55"/>
      <c r="TSX73" s="55"/>
      <c r="TSY73" s="55"/>
      <c r="TSZ73" s="55"/>
      <c r="TTA73" s="55"/>
      <c r="TTB73" s="55"/>
      <c r="TTC73" s="55"/>
      <c r="TTD73" s="55"/>
      <c r="TTE73" s="55"/>
      <c r="TTF73" s="55"/>
      <c r="TTG73" s="55"/>
      <c r="TTH73" s="55"/>
      <c r="TTI73" s="55"/>
      <c r="TTJ73" s="55"/>
      <c r="TTK73" s="55"/>
      <c r="TTL73" s="55"/>
      <c r="TTM73" s="55"/>
      <c r="TTN73" s="55"/>
      <c r="TTO73" s="55"/>
      <c r="TTP73" s="55"/>
      <c r="TTQ73" s="55"/>
      <c r="TTR73" s="55"/>
      <c r="TTS73" s="55"/>
      <c r="TTT73" s="55"/>
      <c r="TTU73" s="55"/>
      <c r="TTV73" s="55"/>
      <c r="TTW73" s="55"/>
      <c r="TTX73" s="55"/>
      <c r="TTY73" s="55"/>
      <c r="TTZ73" s="55"/>
      <c r="TUA73" s="55"/>
      <c r="TUB73" s="55"/>
      <c r="TUC73" s="55"/>
      <c r="TUD73" s="55"/>
      <c r="TUE73" s="55"/>
      <c r="TUF73" s="55"/>
      <c r="TUG73" s="55"/>
      <c r="TUH73" s="55"/>
      <c r="TUI73" s="55"/>
      <c r="TUJ73" s="55"/>
      <c r="TUK73" s="55"/>
      <c r="TUL73" s="55"/>
      <c r="TUM73" s="55"/>
      <c r="TUN73" s="55"/>
      <c r="TUO73" s="55"/>
      <c r="TUP73" s="55"/>
      <c r="TUQ73" s="55"/>
      <c r="TUR73" s="55"/>
      <c r="TUS73" s="55"/>
      <c r="TUT73" s="55"/>
      <c r="TUU73" s="55"/>
      <c r="TUV73" s="55"/>
      <c r="TUW73" s="55"/>
      <c r="TUX73" s="55"/>
      <c r="TUY73" s="55"/>
      <c r="TUZ73" s="55"/>
      <c r="TVA73" s="55"/>
      <c r="TVB73" s="55"/>
      <c r="TVC73" s="55"/>
      <c r="TVD73" s="55"/>
      <c r="TVE73" s="55"/>
      <c r="TVF73" s="55"/>
      <c r="TVG73" s="55"/>
      <c r="TVH73" s="55"/>
      <c r="TVI73" s="55"/>
      <c r="TVJ73" s="55"/>
      <c r="TVK73" s="55"/>
      <c r="TVL73" s="55"/>
      <c r="TVM73" s="55"/>
      <c r="TVN73" s="55"/>
      <c r="TVO73" s="55"/>
      <c r="TVP73" s="55"/>
      <c r="TVQ73" s="55"/>
      <c r="TVR73" s="55"/>
      <c r="TVS73" s="55"/>
      <c r="TVT73" s="55"/>
      <c r="TVU73" s="55"/>
      <c r="TVV73" s="55"/>
      <c r="TVW73" s="55"/>
      <c r="TVX73" s="55"/>
      <c r="TVY73" s="55"/>
      <c r="TVZ73" s="55"/>
      <c r="TWA73" s="55"/>
      <c r="TWB73" s="55"/>
      <c r="TWC73" s="55"/>
      <c r="TWD73" s="55"/>
      <c r="TWE73" s="55"/>
      <c r="TWF73" s="55"/>
      <c r="TWG73" s="55"/>
      <c r="TWH73" s="55"/>
      <c r="TWI73" s="55"/>
      <c r="TWJ73" s="55"/>
      <c r="TWK73" s="55"/>
      <c r="TWL73" s="55"/>
      <c r="TWM73" s="55"/>
      <c r="TWN73" s="55"/>
      <c r="TWO73" s="55"/>
      <c r="TWP73" s="55"/>
      <c r="TWQ73" s="55"/>
      <c r="TWR73" s="55"/>
      <c r="TWS73" s="55"/>
      <c r="TWT73" s="55"/>
      <c r="TWU73" s="55"/>
      <c r="TWV73" s="55"/>
      <c r="TWW73" s="55"/>
      <c r="TWX73" s="55"/>
      <c r="TWY73" s="55"/>
      <c r="TWZ73" s="55"/>
      <c r="TXA73" s="55"/>
      <c r="TXB73" s="55"/>
      <c r="TXC73" s="55"/>
      <c r="TXD73" s="55"/>
      <c r="TXE73" s="55"/>
      <c r="TXF73" s="55"/>
      <c r="TXG73" s="55"/>
      <c r="TXH73" s="55"/>
      <c r="TXI73" s="55"/>
      <c r="TXJ73" s="55"/>
      <c r="TXK73" s="55"/>
      <c r="TXL73" s="55"/>
      <c r="TXM73" s="55"/>
      <c r="TXN73" s="55"/>
      <c r="TXO73" s="55"/>
      <c r="TXP73" s="55"/>
      <c r="TXQ73" s="55"/>
      <c r="TXR73" s="55"/>
      <c r="TXS73" s="55"/>
      <c r="TXT73" s="55"/>
      <c r="TXU73" s="55"/>
      <c r="TXV73" s="55"/>
      <c r="TXW73" s="55"/>
      <c r="TXX73" s="55"/>
      <c r="TXY73" s="55"/>
      <c r="TXZ73" s="55"/>
      <c r="TYA73" s="55"/>
      <c r="TYB73" s="55"/>
      <c r="TYC73" s="55"/>
      <c r="TYD73" s="55"/>
      <c r="TYE73" s="55"/>
      <c r="TYF73" s="55"/>
      <c r="TYG73" s="55"/>
      <c r="TYH73" s="55"/>
      <c r="TYI73" s="55"/>
      <c r="TYJ73" s="55"/>
      <c r="TYK73" s="55"/>
      <c r="TYL73" s="55"/>
      <c r="TYM73" s="55"/>
      <c r="TYN73" s="55"/>
      <c r="TYO73" s="55"/>
      <c r="TYP73" s="55"/>
      <c r="TYQ73" s="55"/>
      <c r="TYR73" s="55"/>
      <c r="TYS73" s="55"/>
      <c r="TYT73" s="55"/>
      <c r="TYU73" s="55"/>
      <c r="TYV73" s="55"/>
      <c r="TYW73" s="55"/>
      <c r="TYX73" s="55"/>
      <c r="TYY73" s="55"/>
      <c r="TYZ73" s="55"/>
      <c r="TZA73" s="55"/>
      <c r="TZB73" s="55"/>
      <c r="TZC73" s="55"/>
      <c r="TZD73" s="55"/>
      <c r="TZE73" s="55"/>
      <c r="TZF73" s="55"/>
      <c r="TZG73" s="55"/>
      <c r="TZH73" s="55"/>
      <c r="TZI73" s="55"/>
      <c r="TZJ73" s="55"/>
      <c r="TZK73" s="55"/>
      <c r="TZL73" s="55"/>
      <c r="TZM73" s="55"/>
      <c r="TZN73" s="55"/>
      <c r="TZO73" s="55"/>
      <c r="TZP73" s="55"/>
      <c r="TZQ73" s="55"/>
      <c r="TZR73" s="55"/>
      <c r="TZS73" s="55"/>
      <c r="TZT73" s="55"/>
      <c r="TZU73" s="55"/>
      <c r="TZV73" s="55"/>
      <c r="TZW73" s="55"/>
      <c r="TZX73" s="55"/>
      <c r="TZY73" s="55"/>
      <c r="TZZ73" s="55"/>
      <c r="UAA73" s="55"/>
      <c r="UAB73" s="55"/>
      <c r="UAC73" s="55"/>
      <c r="UAD73" s="55"/>
      <c r="UAE73" s="55"/>
      <c r="UAF73" s="55"/>
      <c r="UAG73" s="55"/>
      <c r="UAH73" s="55"/>
      <c r="UAI73" s="55"/>
      <c r="UAJ73" s="55"/>
      <c r="UAK73" s="55"/>
      <c r="UAL73" s="55"/>
      <c r="UAM73" s="55"/>
      <c r="UAN73" s="55"/>
      <c r="UAO73" s="55"/>
      <c r="UAP73" s="55"/>
      <c r="UAQ73" s="55"/>
      <c r="UAR73" s="55"/>
      <c r="UAS73" s="55"/>
      <c r="UAT73" s="55"/>
      <c r="UAU73" s="55"/>
      <c r="UAV73" s="55"/>
      <c r="UAW73" s="55"/>
      <c r="UAX73" s="55"/>
      <c r="UAY73" s="55"/>
      <c r="UAZ73" s="55"/>
      <c r="UBA73" s="55"/>
      <c r="UBB73" s="55"/>
      <c r="UBC73" s="55"/>
      <c r="UBD73" s="55"/>
      <c r="UBE73" s="55"/>
      <c r="UBF73" s="55"/>
      <c r="UBG73" s="55"/>
      <c r="UBH73" s="55"/>
      <c r="UBI73" s="55"/>
      <c r="UBJ73" s="55"/>
      <c r="UBK73" s="55"/>
      <c r="UBL73" s="55"/>
      <c r="UBM73" s="55"/>
      <c r="UBN73" s="55"/>
      <c r="UBO73" s="55"/>
      <c r="UBP73" s="55"/>
      <c r="UBQ73" s="55"/>
      <c r="UBR73" s="55"/>
      <c r="UBS73" s="55"/>
      <c r="UBT73" s="55"/>
      <c r="UBU73" s="55"/>
      <c r="UBV73" s="55"/>
      <c r="UBW73" s="55"/>
      <c r="UBX73" s="55"/>
      <c r="UBY73" s="55"/>
      <c r="UBZ73" s="55"/>
      <c r="UCA73" s="55"/>
      <c r="UCB73" s="55"/>
      <c r="UCC73" s="55"/>
      <c r="UCD73" s="55"/>
      <c r="UCE73" s="55"/>
      <c r="UCF73" s="55"/>
      <c r="UCG73" s="55"/>
      <c r="UCH73" s="55"/>
      <c r="UCI73" s="55"/>
      <c r="UCJ73" s="55"/>
      <c r="UCK73" s="55"/>
      <c r="UCL73" s="55"/>
      <c r="UCM73" s="55"/>
      <c r="UCN73" s="55"/>
      <c r="UCO73" s="55"/>
      <c r="UCP73" s="55"/>
      <c r="UCQ73" s="55"/>
      <c r="UCR73" s="55"/>
      <c r="UCS73" s="55"/>
      <c r="UCT73" s="55"/>
      <c r="UCU73" s="55"/>
      <c r="UCV73" s="55"/>
      <c r="UCW73" s="55"/>
      <c r="UCX73" s="55"/>
      <c r="UCY73" s="55"/>
      <c r="UCZ73" s="55"/>
      <c r="UDA73" s="55"/>
      <c r="UDB73" s="55"/>
      <c r="UDC73" s="55"/>
      <c r="UDD73" s="55"/>
      <c r="UDE73" s="55"/>
      <c r="UDF73" s="55"/>
      <c r="UDG73" s="55"/>
      <c r="UDH73" s="55"/>
      <c r="UDI73" s="55"/>
      <c r="UDJ73" s="55"/>
      <c r="UDK73" s="55"/>
      <c r="UDL73" s="55"/>
      <c r="UDM73" s="55"/>
      <c r="UDN73" s="55"/>
      <c r="UDO73" s="55"/>
      <c r="UDP73" s="55"/>
      <c r="UDQ73" s="55"/>
      <c r="UDR73" s="55"/>
      <c r="UDS73" s="55"/>
      <c r="UDT73" s="55"/>
      <c r="UDU73" s="55"/>
      <c r="UDV73" s="55"/>
      <c r="UDW73" s="55"/>
      <c r="UDX73" s="55"/>
      <c r="UDY73" s="55"/>
      <c r="UDZ73" s="55"/>
      <c r="UEA73" s="55"/>
      <c r="UEB73" s="55"/>
      <c r="UEC73" s="55"/>
      <c r="UED73" s="55"/>
      <c r="UEE73" s="55"/>
      <c r="UEF73" s="55"/>
      <c r="UEG73" s="55"/>
      <c r="UEH73" s="55"/>
      <c r="UEI73" s="55"/>
      <c r="UEJ73" s="55"/>
      <c r="UEK73" s="55"/>
      <c r="UEL73" s="55"/>
      <c r="UEM73" s="55"/>
      <c r="UEN73" s="55"/>
      <c r="UEO73" s="55"/>
      <c r="UEP73" s="55"/>
      <c r="UEQ73" s="55"/>
      <c r="UER73" s="55"/>
      <c r="UES73" s="55"/>
      <c r="UET73" s="55"/>
      <c r="UEU73" s="55"/>
      <c r="UEV73" s="55"/>
      <c r="UEW73" s="55"/>
      <c r="UEX73" s="55"/>
      <c r="UEY73" s="55"/>
      <c r="UEZ73" s="55"/>
      <c r="UFA73" s="55"/>
      <c r="UFB73" s="55"/>
      <c r="UFC73" s="55"/>
      <c r="UFD73" s="55"/>
      <c r="UFE73" s="55"/>
      <c r="UFF73" s="55"/>
      <c r="UFG73" s="55"/>
      <c r="UFH73" s="55"/>
      <c r="UFI73" s="55"/>
      <c r="UFJ73" s="55"/>
      <c r="UFK73" s="55"/>
      <c r="UFL73" s="55"/>
      <c r="UFM73" s="55"/>
      <c r="UFN73" s="55"/>
      <c r="UFO73" s="55"/>
      <c r="UFP73" s="55"/>
      <c r="UFQ73" s="55"/>
      <c r="UFR73" s="55"/>
      <c r="UFS73" s="55"/>
      <c r="UFT73" s="55"/>
      <c r="UFU73" s="55"/>
      <c r="UFV73" s="55"/>
      <c r="UFW73" s="55"/>
      <c r="UFX73" s="55"/>
      <c r="UFY73" s="55"/>
      <c r="UFZ73" s="55"/>
      <c r="UGA73" s="55"/>
      <c r="UGB73" s="55"/>
      <c r="UGC73" s="55"/>
      <c r="UGD73" s="55"/>
      <c r="UGE73" s="55"/>
      <c r="UGF73" s="55"/>
      <c r="UGG73" s="55"/>
      <c r="UGH73" s="55"/>
      <c r="UGI73" s="55"/>
      <c r="UGJ73" s="55"/>
      <c r="UGK73" s="55"/>
      <c r="UGL73" s="55"/>
      <c r="UGM73" s="55"/>
      <c r="UGN73" s="55"/>
      <c r="UGO73" s="55"/>
      <c r="UGP73" s="55"/>
      <c r="UGQ73" s="55"/>
      <c r="UGR73" s="55"/>
      <c r="UGS73" s="55"/>
      <c r="UGT73" s="55"/>
      <c r="UGU73" s="55"/>
      <c r="UGV73" s="55"/>
      <c r="UGW73" s="55"/>
      <c r="UGX73" s="55"/>
      <c r="UGY73" s="55"/>
      <c r="UGZ73" s="55"/>
      <c r="UHA73" s="55"/>
      <c r="UHB73" s="55"/>
      <c r="UHC73" s="55"/>
      <c r="UHD73" s="55"/>
      <c r="UHE73" s="55"/>
      <c r="UHF73" s="55"/>
      <c r="UHG73" s="55"/>
      <c r="UHH73" s="55"/>
      <c r="UHI73" s="55"/>
      <c r="UHJ73" s="55"/>
      <c r="UHK73" s="55"/>
      <c r="UHL73" s="55"/>
      <c r="UHM73" s="55"/>
      <c r="UHN73" s="55"/>
      <c r="UHO73" s="55"/>
      <c r="UHP73" s="55"/>
      <c r="UHQ73" s="55"/>
      <c r="UHR73" s="55"/>
      <c r="UHS73" s="55"/>
      <c r="UHT73" s="55"/>
      <c r="UHU73" s="55"/>
      <c r="UHV73" s="55"/>
      <c r="UHW73" s="55"/>
      <c r="UHX73" s="55"/>
      <c r="UHY73" s="55"/>
      <c r="UHZ73" s="55"/>
      <c r="UIA73" s="55"/>
      <c r="UIB73" s="55"/>
      <c r="UIC73" s="55"/>
      <c r="UID73" s="55"/>
      <c r="UIE73" s="55"/>
      <c r="UIF73" s="55"/>
      <c r="UIG73" s="55"/>
      <c r="UIH73" s="55"/>
      <c r="UII73" s="55"/>
      <c r="UIJ73" s="55"/>
      <c r="UIK73" s="55"/>
      <c r="UIL73" s="55"/>
      <c r="UIM73" s="55"/>
      <c r="UIN73" s="55"/>
      <c r="UIO73" s="55"/>
      <c r="UIP73" s="55"/>
      <c r="UIQ73" s="55"/>
      <c r="UIR73" s="55"/>
      <c r="UIS73" s="55"/>
      <c r="UIT73" s="55"/>
      <c r="UIU73" s="55"/>
      <c r="UIV73" s="55"/>
      <c r="UIW73" s="55"/>
      <c r="UIX73" s="55"/>
      <c r="UIY73" s="55"/>
      <c r="UIZ73" s="55"/>
      <c r="UJA73" s="55"/>
      <c r="UJB73" s="55"/>
      <c r="UJC73" s="55"/>
      <c r="UJD73" s="55"/>
      <c r="UJE73" s="55"/>
      <c r="UJF73" s="55"/>
      <c r="UJG73" s="55"/>
      <c r="UJH73" s="55"/>
      <c r="UJI73" s="55"/>
      <c r="UJJ73" s="55"/>
      <c r="UJK73" s="55"/>
      <c r="UJL73" s="55"/>
      <c r="UJM73" s="55"/>
      <c r="UJN73" s="55"/>
      <c r="UJO73" s="55"/>
      <c r="UJP73" s="55"/>
      <c r="UJQ73" s="55"/>
      <c r="UJR73" s="55"/>
      <c r="UJS73" s="55"/>
      <c r="UJT73" s="55"/>
      <c r="UJU73" s="55"/>
      <c r="UJV73" s="55"/>
      <c r="UJW73" s="55"/>
      <c r="UJX73" s="55"/>
      <c r="UJY73" s="55"/>
      <c r="UJZ73" s="55"/>
      <c r="UKA73" s="55"/>
      <c r="UKB73" s="55"/>
      <c r="UKC73" s="55"/>
      <c r="UKD73" s="55"/>
      <c r="UKE73" s="55"/>
      <c r="UKF73" s="55"/>
      <c r="UKG73" s="55"/>
      <c r="UKH73" s="55"/>
      <c r="UKI73" s="55"/>
      <c r="UKJ73" s="55"/>
      <c r="UKK73" s="55"/>
      <c r="UKL73" s="55"/>
      <c r="UKM73" s="55"/>
      <c r="UKN73" s="55"/>
      <c r="UKO73" s="55"/>
      <c r="UKP73" s="55"/>
      <c r="UKQ73" s="55"/>
      <c r="UKR73" s="55"/>
      <c r="UKS73" s="55"/>
      <c r="UKT73" s="55"/>
      <c r="UKU73" s="55"/>
      <c r="UKV73" s="55"/>
      <c r="UKW73" s="55"/>
      <c r="UKX73" s="55"/>
      <c r="UKY73" s="55"/>
      <c r="UKZ73" s="55"/>
      <c r="ULA73" s="55"/>
      <c r="ULB73" s="55"/>
      <c r="ULC73" s="55"/>
      <c r="ULD73" s="55"/>
      <c r="ULE73" s="55"/>
      <c r="ULF73" s="55"/>
      <c r="ULG73" s="55"/>
      <c r="ULH73" s="55"/>
      <c r="ULI73" s="55"/>
      <c r="ULJ73" s="55"/>
      <c r="ULK73" s="55"/>
      <c r="ULL73" s="55"/>
      <c r="ULM73" s="55"/>
      <c r="ULN73" s="55"/>
      <c r="ULO73" s="55"/>
      <c r="ULP73" s="55"/>
      <c r="ULQ73" s="55"/>
      <c r="ULR73" s="55"/>
      <c r="ULS73" s="55"/>
      <c r="ULT73" s="55"/>
      <c r="ULU73" s="55"/>
      <c r="ULV73" s="55"/>
      <c r="ULW73" s="55"/>
      <c r="ULX73" s="55"/>
      <c r="ULY73" s="55"/>
      <c r="ULZ73" s="55"/>
      <c r="UMA73" s="55"/>
      <c r="UMB73" s="55"/>
      <c r="UMC73" s="55"/>
      <c r="UMD73" s="55"/>
      <c r="UME73" s="55"/>
      <c r="UMF73" s="55"/>
      <c r="UMG73" s="55"/>
      <c r="UMH73" s="55"/>
      <c r="UMI73" s="55"/>
      <c r="UMJ73" s="55"/>
      <c r="UMK73" s="55"/>
      <c r="UML73" s="55"/>
      <c r="UMM73" s="55"/>
      <c r="UMN73" s="55"/>
      <c r="UMO73" s="55"/>
      <c r="UMP73" s="55"/>
      <c r="UMQ73" s="55"/>
      <c r="UMR73" s="55"/>
      <c r="UMS73" s="55"/>
      <c r="UMT73" s="55"/>
      <c r="UMU73" s="55"/>
      <c r="UMV73" s="55"/>
      <c r="UMW73" s="55"/>
      <c r="UMX73" s="55"/>
      <c r="UMY73" s="55"/>
      <c r="UMZ73" s="55"/>
      <c r="UNA73" s="55"/>
      <c r="UNB73" s="55"/>
      <c r="UNC73" s="55"/>
      <c r="UND73" s="55"/>
      <c r="UNE73" s="55"/>
      <c r="UNF73" s="55"/>
      <c r="UNG73" s="55"/>
      <c r="UNH73" s="55"/>
      <c r="UNI73" s="55"/>
      <c r="UNJ73" s="55"/>
      <c r="UNK73" s="55"/>
      <c r="UNL73" s="55"/>
      <c r="UNM73" s="55"/>
      <c r="UNN73" s="55"/>
      <c r="UNO73" s="55"/>
      <c r="UNP73" s="55"/>
      <c r="UNQ73" s="55"/>
      <c r="UNR73" s="55"/>
      <c r="UNS73" s="55"/>
      <c r="UNT73" s="55"/>
      <c r="UNU73" s="55"/>
      <c r="UNV73" s="55"/>
      <c r="UNW73" s="55"/>
      <c r="UNX73" s="55"/>
      <c r="UNY73" s="55"/>
      <c r="UNZ73" s="55"/>
      <c r="UOA73" s="55"/>
      <c r="UOB73" s="55"/>
      <c r="UOC73" s="55"/>
      <c r="UOD73" s="55"/>
      <c r="UOE73" s="55"/>
      <c r="UOF73" s="55"/>
      <c r="UOG73" s="55"/>
      <c r="UOH73" s="55"/>
      <c r="UOI73" s="55"/>
      <c r="UOJ73" s="55"/>
      <c r="UOK73" s="55"/>
      <c r="UOL73" s="55"/>
      <c r="UOM73" s="55"/>
      <c r="UON73" s="55"/>
      <c r="UOO73" s="55"/>
      <c r="UOP73" s="55"/>
      <c r="UOQ73" s="55"/>
      <c r="UOR73" s="55"/>
      <c r="UOS73" s="55"/>
      <c r="UOT73" s="55"/>
      <c r="UOU73" s="55"/>
      <c r="UOV73" s="55"/>
      <c r="UOW73" s="55"/>
      <c r="UOX73" s="55"/>
      <c r="UOY73" s="55"/>
      <c r="UOZ73" s="55"/>
      <c r="UPA73" s="55"/>
      <c r="UPB73" s="55"/>
      <c r="UPC73" s="55"/>
      <c r="UPD73" s="55"/>
      <c r="UPE73" s="55"/>
      <c r="UPF73" s="55"/>
      <c r="UPG73" s="55"/>
      <c r="UPH73" s="55"/>
      <c r="UPI73" s="55"/>
      <c r="UPJ73" s="55"/>
      <c r="UPK73" s="55"/>
      <c r="UPL73" s="55"/>
      <c r="UPM73" s="55"/>
      <c r="UPN73" s="55"/>
      <c r="UPO73" s="55"/>
      <c r="UPP73" s="55"/>
      <c r="UPQ73" s="55"/>
      <c r="UPR73" s="55"/>
      <c r="UPS73" s="55"/>
      <c r="UPT73" s="55"/>
      <c r="UPU73" s="55"/>
      <c r="UPV73" s="55"/>
      <c r="UPW73" s="55"/>
      <c r="UPX73" s="55"/>
      <c r="UPY73" s="55"/>
      <c r="UPZ73" s="55"/>
      <c r="UQA73" s="55"/>
      <c r="UQB73" s="55"/>
      <c r="UQC73" s="55"/>
      <c r="UQD73" s="55"/>
      <c r="UQE73" s="55"/>
      <c r="UQF73" s="55"/>
      <c r="UQG73" s="55"/>
      <c r="UQH73" s="55"/>
      <c r="UQI73" s="55"/>
      <c r="UQJ73" s="55"/>
      <c r="UQK73" s="55"/>
      <c r="UQL73" s="55"/>
      <c r="UQM73" s="55"/>
      <c r="UQN73" s="55"/>
      <c r="UQO73" s="55"/>
      <c r="UQP73" s="55"/>
      <c r="UQQ73" s="55"/>
      <c r="UQR73" s="55"/>
      <c r="UQS73" s="55"/>
      <c r="UQT73" s="55"/>
      <c r="UQU73" s="55"/>
      <c r="UQV73" s="55"/>
      <c r="UQW73" s="55"/>
      <c r="UQX73" s="55"/>
      <c r="UQY73" s="55"/>
      <c r="UQZ73" s="55"/>
      <c r="URA73" s="55"/>
      <c r="URB73" s="55"/>
      <c r="URC73" s="55"/>
      <c r="URD73" s="55"/>
      <c r="URE73" s="55"/>
      <c r="URF73" s="55"/>
      <c r="URG73" s="55"/>
      <c r="URH73" s="55"/>
      <c r="URI73" s="55"/>
      <c r="URJ73" s="55"/>
      <c r="URK73" s="55"/>
      <c r="URL73" s="55"/>
      <c r="URM73" s="55"/>
      <c r="URN73" s="55"/>
      <c r="URO73" s="55"/>
      <c r="URP73" s="55"/>
      <c r="URQ73" s="55"/>
      <c r="URR73" s="55"/>
      <c r="URS73" s="55"/>
      <c r="URT73" s="55"/>
      <c r="URU73" s="55"/>
      <c r="URV73" s="55"/>
      <c r="URW73" s="55"/>
      <c r="URX73" s="55"/>
      <c r="URY73" s="55"/>
      <c r="URZ73" s="55"/>
      <c r="USA73" s="55"/>
      <c r="USB73" s="55"/>
      <c r="USC73" s="55"/>
      <c r="USD73" s="55"/>
      <c r="USE73" s="55"/>
      <c r="USF73" s="55"/>
      <c r="USG73" s="55"/>
      <c r="USH73" s="55"/>
      <c r="USI73" s="55"/>
      <c r="USJ73" s="55"/>
      <c r="USK73" s="55"/>
      <c r="USL73" s="55"/>
      <c r="USM73" s="55"/>
      <c r="USN73" s="55"/>
      <c r="USO73" s="55"/>
      <c r="USP73" s="55"/>
      <c r="USQ73" s="55"/>
      <c r="USR73" s="55"/>
      <c r="USS73" s="55"/>
      <c r="UST73" s="55"/>
      <c r="USU73" s="55"/>
      <c r="USV73" s="55"/>
      <c r="USW73" s="55"/>
      <c r="USX73" s="55"/>
      <c r="USY73" s="55"/>
      <c r="USZ73" s="55"/>
      <c r="UTA73" s="55"/>
      <c r="UTB73" s="55"/>
      <c r="UTC73" s="55"/>
      <c r="UTD73" s="55"/>
      <c r="UTE73" s="55"/>
      <c r="UTF73" s="55"/>
      <c r="UTG73" s="55"/>
      <c r="UTH73" s="55"/>
      <c r="UTI73" s="55"/>
      <c r="UTJ73" s="55"/>
      <c r="UTK73" s="55"/>
      <c r="UTL73" s="55"/>
      <c r="UTM73" s="55"/>
      <c r="UTN73" s="55"/>
      <c r="UTO73" s="55"/>
      <c r="UTP73" s="55"/>
      <c r="UTQ73" s="55"/>
      <c r="UTR73" s="55"/>
      <c r="UTS73" s="55"/>
      <c r="UTT73" s="55"/>
      <c r="UTU73" s="55"/>
      <c r="UTV73" s="55"/>
      <c r="UTW73" s="55"/>
      <c r="UTX73" s="55"/>
      <c r="UTY73" s="55"/>
      <c r="UTZ73" s="55"/>
      <c r="UUA73" s="55"/>
      <c r="UUB73" s="55"/>
      <c r="UUC73" s="55"/>
      <c r="UUD73" s="55"/>
      <c r="UUE73" s="55"/>
      <c r="UUF73" s="55"/>
      <c r="UUG73" s="55"/>
      <c r="UUH73" s="55"/>
      <c r="UUI73" s="55"/>
      <c r="UUJ73" s="55"/>
      <c r="UUK73" s="55"/>
      <c r="UUL73" s="55"/>
      <c r="UUM73" s="55"/>
      <c r="UUN73" s="55"/>
      <c r="UUO73" s="55"/>
      <c r="UUP73" s="55"/>
      <c r="UUQ73" s="55"/>
      <c r="UUR73" s="55"/>
      <c r="UUS73" s="55"/>
      <c r="UUT73" s="55"/>
      <c r="UUU73" s="55"/>
      <c r="UUV73" s="55"/>
      <c r="UUW73" s="55"/>
      <c r="UUX73" s="55"/>
      <c r="UUY73" s="55"/>
      <c r="UUZ73" s="55"/>
      <c r="UVA73" s="55"/>
      <c r="UVB73" s="55"/>
      <c r="UVC73" s="55"/>
      <c r="UVD73" s="55"/>
      <c r="UVE73" s="55"/>
      <c r="UVF73" s="55"/>
      <c r="UVG73" s="55"/>
      <c r="UVH73" s="55"/>
      <c r="UVI73" s="55"/>
      <c r="UVJ73" s="55"/>
      <c r="UVK73" s="55"/>
      <c r="UVL73" s="55"/>
      <c r="UVM73" s="55"/>
      <c r="UVN73" s="55"/>
      <c r="UVO73" s="55"/>
      <c r="UVP73" s="55"/>
      <c r="UVQ73" s="55"/>
      <c r="UVR73" s="55"/>
      <c r="UVS73" s="55"/>
      <c r="UVT73" s="55"/>
      <c r="UVU73" s="55"/>
      <c r="UVV73" s="55"/>
      <c r="UVW73" s="55"/>
      <c r="UVX73" s="55"/>
      <c r="UVY73" s="55"/>
      <c r="UVZ73" s="55"/>
      <c r="UWA73" s="55"/>
      <c r="UWB73" s="55"/>
      <c r="UWC73" s="55"/>
      <c r="UWD73" s="55"/>
      <c r="UWE73" s="55"/>
      <c r="UWF73" s="55"/>
      <c r="UWG73" s="55"/>
      <c r="UWH73" s="55"/>
      <c r="UWI73" s="55"/>
      <c r="UWJ73" s="55"/>
      <c r="UWK73" s="55"/>
      <c r="UWL73" s="55"/>
      <c r="UWM73" s="55"/>
      <c r="UWN73" s="55"/>
      <c r="UWO73" s="55"/>
      <c r="UWP73" s="55"/>
      <c r="UWQ73" s="55"/>
      <c r="UWR73" s="55"/>
      <c r="UWS73" s="55"/>
      <c r="UWT73" s="55"/>
      <c r="UWU73" s="55"/>
      <c r="UWV73" s="55"/>
      <c r="UWW73" s="55"/>
      <c r="UWX73" s="55"/>
      <c r="UWY73" s="55"/>
      <c r="UWZ73" s="55"/>
      <c r="UXA73" s="55"/>
      <c r="UXB73" s="55"/>
      <c r="UXC73" s="55"/>
      <c r="UXD73" s="55"/>
      <c r="UXE73" s="55"/>
      <c r="UXF73" s="55"/>
      <c r="UXG73" s="55"/>
      <c r="UXH73" s="55"/>
      <c r="UXI73" s="55"/>
      <c r="UXJ73" s="55"/>
      <c r="UXK73" s="55"/>
      <c r="UXL73" s="55"/>
      <c r="UXM73" s="55"/>
      <c r="UXN73" s="55"/>
      <c r="UXO73" s="55"/>
      <c r="UXP73" s="55"/>
      <c r="UXQ73" s="55"/>
      <c r="UXR73" s="55"/>
      <c r="UXS73" s="55"/>
      <c r="UXT73" s="55"/>
      <c r="UXU73" s="55"/>
      <c r="UXV73" s="55"/>
      <c r="UXW73" s="55"/>
      <c r="UXX73" s="55"/>
      <c r="UXY73" s="55"/>
      <c r="UXZ73" s="55"/>
      <c r="UYA73" s="55"/>
      <c r="UYB73" s="55"/>
      <c r="UYC73" s="55"/>
      <c r="UYD73" s="55"/>
      <c r="UYE73" s="55"/>
      <c r="UYF73" s="55"/>
      <c r="UYG73" s="55"/>
      <c r="UYH73" s="55"/>
      <c r="UYI73" s="55"/>
      <c r="UYJ73" s="55"/>
      <c r="UYK73" s="55"/>
      <c r="UYL73" s="55"/>
      <c r="UYM73" s="55"/>
      <c r="UYN73" s="55"/>
      <c r="UYO73" s="55"/>
      <c r="UYP73" s="55"/>
      <c r="UYQ73" s="55"/>
      <c r="UYR73" s="55"/>
      <c r="UYS73" s="55"/>
      <c r="UYT73" s="55"/>
      <c r="UYU73" s="55"/>
      <c r="UYV73" s="55"/>
      <c r="UYW73" s="55"/>
      <c r="UYX73" s="55"/>
      <c r="UYY73" s="55"/>
      <c r="UYZ73" s="55"/>
      <c r="UZA73" s="55"/>
      <c r="UZB73" s="55"/>
      <c r="UZC73" s="55"/>
      <c r="UZD73" s="55"/>
      <c r="UZE73" s="55"/>
      <c r="UZF73" s="55"/>
      <c r="UZG73" s="55"/>
      <c r="UZH73" s="55"/>
      <c r="UZI73" s="55"/>
      <c r="UZJ73" s="55"/>
      <c r="UZK73" s="55"/>
      <c r="UZL73" s="55"/>
      <c r="UZM73" s="55"/>
      <c r="UZN73" s="55"/>
      <c r="UZO73" s="55"/>
      <c r="UZP73" s="55"/>
      <c r="UZQ73" s="55"/>
      <c r="UZR73" s="55"/>
      <c r="UZS73" s="55"/>
      <c r="UZT73" s="55"/>
      <c r="UZU73" s="55"/>
      <c r="UZV73" s="55"/>
      <c r="UZW73" s="55"/>
      <c r="UZX73" s="55"/>
      <c r="UZY73" s="55"/>
      <c r="UZZ73" s="55"/>
      <c r="VAA73" s="55"/>
      <c r="VAB73" s="55"/>
      <c r="VAC73" s="55"/>
      <c r="VAD73" s="55"/>
      <c r="VAE73" s="55"/>
      <c r="VAF73" s="55"/>
      <c r="VAG73" s="55"/>
      <c r="VAH73" s="55"/>
      <c r="VAI73" s="55"/>
      <c r="VAJ73" s="55"/>
      <c r="VAK73" s="55"/>
      <c r="VAL73" s="55"/>
      <c r="VAM73" s="55"/>
      <c r="VAN73" s="55"/>
      <c r="VAO73" s="55"/>
      <c r="VAP73" s="55"/>
      <c r="VAQ73" s="55"/>
      <c r="VAR73" s="55"/>
      <c r="VAS73" s="55"/>
      <c r="VAT73" s="55"/>
      <c r="VAU73" s="55"/>
      <c r="VAV73" s="55"/>
      <c r="VAW73" s="55"/>
      <c r="VAX73" s="55"/>
      <c r="VAY73" s="55"/>
      <c r="VAZ73" s="55"/>
      <c r="VBA73" s="55"/>
      <c r="VBB73" s="55"/>
      <c r="VBC73" s="55"/>
      <c r="VBD73" s="55"/>
      <c r="VBE73" s="55"/>
      <c r="VBF73" s="55"/>
      <c r="VBG73" s="55"/>
      <c r="VBH73" s="55"/>
      <c r="VBI73" s="55"/>
      <c r="VBJ73" s="55"/>
      <c r="VBK73" s="55"/>
      <c r="VBL73" s="55"/>
      <c r="VBM73" s="55"/>
      <c r="VBN73" s="55"/>
      <c r="VBO73" s="55"/>
      <c r="VBP73" s="55"/>
      <c r="VBQ73" s="55"/>
      <c r="VBR73" s="55"/>
      <c r="VBS73" s="55"/>
      <c r="VBT73" s="55"/>
      <c r="VBU73" s="55"/>
      <c r="VBV73" s="55"/>
      <c r="VBW73" s="55"/>
      <c r="VBX73" s="55"/>
      <c r="VBY73" s="55"/>
      <c r="VBZ73" s="55"/>
      <c r="VCA73" s="55"/>
      <c r="VCB73" s="55"/>
      <c r="VCC73" s="55"/>
      <c r="VCD73" s="55"/>
      <c r="VCE73" s="55"/>
      <c r="VCF73" s="55"/>
      <c r="VCG73" s="55"/>
      <c r="VCH73" s="55"/>
      <c r="VCI73" s="55"/>
      <c r="VCJ73" s="55"/>
      <c r="VCK73" s="55"/>
      <c r="VCL73" s="55"/>
      <c r="VCM73" s="55"/>
      <c r="VCN73" s="55"/>
      <c r="VCO73" s="55"/>
      <c r="VCP73" s="55"/>
      <c r="VCQ73" s="55"/>
      <c r="VCR73" s="55"/>
      <c r="VCS73" s="55"/>
      <c r="VCT73" s="55"/>
      <c r="VCU73" s="55"/>
      <c r="VCV73" s="55"/>
      <c r="VCW73" s="55"/>
      <c r="VCX73" s="55"/>
      <c r="VCY73" s="55"/>
      <c r="VCZ73" s="55"/>
      <c r="VDA73" s="55"/>
      <c r="VDB73" s="55"/>
      <c r="VDC73" s="55"/>
      <c r="VDD73" s="55"/>
      <c r="VDE73" s="55"/>
      <c r="VDF73" s="55"/>
      <c r="VDG73" s="55"/>
      <c r="VDH73" s="55"/>
      <c r="VDI73" s="55"/>
      <c r="VDJ73" s="55"/>
      <c r="VDK73" s="55"/>
      <c r="VDL73" s="55"/>
      <c r="VDM73" s="55"/>
      <c r="VDN73" s="55"/>
      <c r="VDO73" s="55"/>
      <c r="VDP73" s="55"/>
      <c r="VDQ73" s="55"/>
      <c r="VDR73" s="55"/>
      <c r="VDS73" s="55"/>
      <c r="VDT73" s="55"/>
      <c r="VDU73" s="55"/>
      <c r="VDV73" s="55"/>
      <c r="VDW73" s="55"/>
      <c r="VDX73" s="55"/>
      <c r="VDY73" s="55"/>
      <c r="VDZ73" s="55"/>
      <c r="VEA73" s="55"/>
      <c r="VEB73" s="55"/>
      <c r="VEC73" s="55"/>
      <c r="VED73" s="55"/>
      <c r="VEE73" s="55"/>
      <c r="VEF73" s="55"/>
      <c r="VEG73" s="55"/>
      <c r="VEH73" s="55"/>
      <c r="VEI73" s="55"/>
      <c r="VEJ73" s="55"/>
      <c r="VEK73" s="55"/>
      <c r="VEL73" s="55"/>
      <c r="VEM73" s="55"/>
      <c r="VEN73" s="55"/>
      <c r="VEO73" s="55"/>
      <c r="VEP73" s="55"/>
      <c r="VEQ73" s="55"/>
      <c r="VER73" s="55"/>
      <c r="VES73" s="55"/>
      <c r="VET73" s="55"/>
      <c r="VEU73" s="55"/>
      <c r="VEV73" s="55"/>
      <c r="VEW73" s="55"/>
      <c r="VEX73" s="55"/>
      <c r="VEY73" s="55"/>
      <c r="VEZ73" s="55"/>
      <c r="VFA73" s="55"/>
      <c r="VFB73" s="55"/>
      <c r="VFC73" s="55"/>
      <c r="VFD73" s="55"/>
      <c r="VFE73" s="55"/>
      <c r="VFF73" s="55"/>
      <c r="VFG73" s="55"/>
      <c r="VFH73" s="55"/>
      <c r="VFI73" s="55"/>
      <c r="VFJ73" s="55"/>
      <c r="VFK73" s="55"/>
      <c r="VFL73" s="55"/>
      <c r="VFM73" s="55"/>
      <c r="VFN73" s="55"/>
      <c r="VFO73" s="55"/>
      <c r="VFP73" s="55"/>
      <c r="VFQ73" s="55"/>
      <c r="VFR73" s="55"/>
      <c r="VFS73" s="55"/>
      <c r="VFT73" s="55"/>
      <c r="VFU73" s="55"/>
      <c r="VFV73" s="55"/>
      <c r="VFW73" s="55"/>
      <c r="VFX73" s="55"/>
      <c r="VFY73" s="55"/>
      <c r="VFZ73" s="55"/>
      <c r="VGA73" s="55"/>
      <c r="VGB73" s="55"/>
      <c r="VGC73" s="55"/>
      <c r="VGD73" s="55"/>
      <c r="VGE73" s="55"/>
      <c r="VGF73" s="55"/>
      <c r="VGG73" s="55"/>
      <c r="VGH73" s="55"/>
      <c r="VGI73" s="55"/>
      <c r="VGJ73" s="55"/>
      <c r="VGK73" s="55"/>
      <c r="VGL73" s="55"/>
      <c r="VGM73" s="55"/>
      <c r="VGN73" s="55"/>
      <c r="VGO73" s="55"/>
      <c r="VGP73" s="55"/>
      <c r="VGQ73" s="55"/>
      <c r="VGR73" s="55"/>
      <c r="VGS73" s="55"/>
      <c r="VGT73" s="55"/>
      <c r="VGU73" s="55"/>
      <c r="VGV73" s="55"/>
      <c r="VGW73" s="55"/>
      <c r="VGX73" s="55"/>
      <c r="VGY73" s="55"/>
      <c r="VGZ73" s="55"/>
      <c r="VHA73" s="55"/>
      <c r="VHB73" s="55"/>
      <c r="VHC73" s="55"/>
      <c r="VHD73" s="55"/>
      <c r="VHE73" s="55"/>
      <c r="VHF73" s="55"/>
      <c r="VHG73" s="55"/>
      <c r="VHH73" s="55"/>
      <c r="VHI73" s="55"/>
      <c r="VHJ73" s="55"/>
      <c r="VHK73" s="55"/>
      <c r="VHL73" s="55"/>
      <c r="VHM73" s="55"/>
      <c r="VHN73" s="55"/>
      <c r="VHO73" s="55"/>
      <c r="VHP73" s="55"/>
      <c r="VHQ73" s="55"/>
      <c r="VHR73" s="55"/>
      <c r="VHS73" s="55"/>
      <c r="VHT73" s="55"/>
      <c r="VHU73" s="55"/>
      <c r="VHV73" s="55"/>
      <c r="VHW73" s="55"/>
      <c r="VHX73" s="55"/>
      <c r="VHY73" s="55"/>
      <c r="VHZ73" s="55"/>
      <c r="VIA73" s="55"/>
      <c r="VIB73" s="55"/>
      <c r="VIC73" s="55"/>
      <c r="VID73" s="55"/>
      <c r="VIE73" s="55"/>
      <c r="VIF73" s="55"/>
      <c r="VIG73" s="55"/>
      <c r="VIH73" s="55"/>
      <c r="VII73" s="55"/>
      <c r="VIJ73" s="55"/>
      <c r="VIK73" s="55"/>
      <c r="VIL73" s="55"/>
      <c r="VIM73" s="55"/>
      <c r="VIN73" s="55"/>
      <c r="VIO73" s="55"/>
      <c r="VIP73" s="55"/>
      <c r="VIQ73" s="55"/>
      <c r="VIR73" s="55"/>
      <c r="VIS73" s="55"/>
      <c r="VIT73" s="55"/>
      <c r="VIU73" s="55"/>
      <c r="VIV73" s="55"/>
      <c r="VIW73" s="55"/>
      <c r="VIX73" s="55"/>
      <c r="VIY73" s="55"/>
      <c r="VIZ73" s="55"/>
      <c r="VJA73" s="55"/>
      <c r="VJB73" s="55"/>
      <c r="VJC73" s="55"/>
      <c r="VJD73" s="55"/>
      <c r="VJE73" s="55"/>
      <c r="VJF73" s="55"/>
      <c r="VJG73" s="55"/>
      <c r="VJH73" s="55"/>
      <c r="VJI73" s="55"/>
      <c r="VJJ73" s="55"/>
      <c r="VJK73" s="55"/>
      <c r="VJL73" s="55"/>
      <c r="VJM73" s="55"/>
      <c r="VJN73" s="55"/>
      <c r="VJO73" s="55"/>
      <c r="VJP73" s="55"/>
      <c r="VJQ73" s="55"/>
      <c r="VJR73" s="55"/>
      <c r="VJS73" s="55"/>
      <c r="VJT73" s="55"/>
      <c r="VJU73" s="55"/>
      <c r="VJV73" s="55"/>
      <c r="VJW73" s="55"/>
      <c r="VJX73" s="55"/>
      <c r="VJY73" s="55"/>
      <c r="VJZ73" s="55"/>
      <c r="VKA73" s="55"/>
      <c r="VKB73" s="55"/>
      <c r="VKC73" s="55"/>
      <c r="VKD73" s="55"/>
      <c r="VKE73" s="55"/>
      <c r="VKF73" s="55"/>
      <c r="VKG73" s="55"/>
      <c r="VKH73" s="55"/>
      <c r="VKI73" s="55"/>
      <c r="VKJ73" s="55"/>
      <c r="VKK73" s="55"/>
      <c r="VKL73" s="55"/>
      <c r="VKM73" s="55"/>
      <c r="VKN73" s="55"/>
      <c r="VKO73" s="55"/>
      <c r="VKP73" s="55"/>
      <c r="VKQ73" s="55"/>
      <c r="VKR73" s="55"/>
      <c r="VKS73" s="55"/>
      <c r="VKT73" s="55"/>
      <c r="VKU73" s="55"/>
      <c r="VKV73" s="55"/>
      <c r="VKW73" s="55"/>
      <c r="VKX73" s="55"/>
      <c r="VKY73" s="55"/>
      <c r="VKZ73" s="55"/>
      <c r="VLA73" s="55"/>
      <c r="VLB73" s="55"/>
      <c r="VLC73" s="55"/>
      <c r="VLD73" s="55"/>
      <c r="VLE73" s="55"/>
      <c r="VLF73" s="55"/>
      <c r="VLG73" s="55"/>
      <c r="VLH73" s="55"/>
      <c r="VLI73" s="55"/>
      <c r="VLJ73" s="55"/>
      <c r="VLK73" s="55"/>
      <c r="VLL73" s="55"/>
      <c r="VLM73" s="55"/>
      <c r="VLN73" s="55"/>
      <c r="VLO73" s="55"/>
      <c r="VLP73" s="55"/>
      <c r="VLQ73" s="55"/>
      <c r="VLR73" s="55"/>
      <c r="VLS73" s="55"/>
      <c r="VLT73" s="55"/>
      <c r="VLU73" s="55"/>
      <c r="VLV73" s="55"/>
      <c r="VLW73" s="55"/>
      <c r="VLX73" s="55"/>
      <c r="VLY73" s="55"/>
      <c r="VLZ73" s="55"/>
      <c r="VMA73" s="55"/>
      <c r="VMB73" s="55"/>
      <c r="VMC73" s="55"/>
      <c r="VMD73" s="55"/>
      <c r="VME73" s="55"/>
      <c r="VMF73" s="55"/>
      <c r="VMG73" s="55"/>
      <c r="VMH73" s="55"/>
      <c r="VMI73" s="55"/>
      <c r="VMJ73" s="55"/>
      <c r="VMK73" s="55"/>
      <c r="VML73" s="55"/>
      <c r="VMM73" s="55"/>
      <c r="VMN73" s="55"/>
      <c r="VMO73" s="55"/>
      <c r="VMP73" s="55"/>
      <c r="VMQ73" s="55"/>
      <c r="VMR73" s="55"/>
      <c r="VMS73" s="55"/>
      <c r="VMT73" s="55"/>
      <c r="VMU73" s="55"/>
      <c r="VMV73" s="55"/>
      <c r="VMW73" s="55"/>
      <c r="VMX73" s="55"/>
      <c r="VMY73" s="55"/>
      <c r="VMZ73" s="55"/>
      <c r="VNA73" s="55"/>
      <c r="VNB73" s="55"/>
      <c r="VNC73" s="55"/>
      <c r="VND73" s="55"/>
      <c r="VNE73" s="55"/>
      <c r="VNF73" s="55"/>
      <c r="VNG73" s="55"/>
      <c r="VNH73" s="55"/>
      <c r="VNI73" s="55"/>
      <c r="VNJ73" s="55"/>
      <c r="VNK73" s="55"/>
      <c r="VNL73" s="55"/>
      <c r="VNM73" s="55"/>
      <c r="VNN73" s="55"/>
      <c r="VNO73" s="55"/>
      <c r="VNP73" s="55"/>
      <c r="VNQ73" s="55"/>
      <c r="VNR73" s="55"/>
      <c r="VNS73" s="55"/>
      <c r="VNT73" s="55"/>
      <c r="VNU73" s="55"/>
      <c r="VNV73" s="55"/>
      <c r="VNW73" s="55"/>
      <c r="VNX73" s="55"/>
      <c r="VNY73" s="55"/>
      <c r="VNZ73" s="55"/>
      <c r="VOA73" s="55"/>
      <c r="VOB73" s="55"/>
      <c r="VOC73" s="55"/>
      <c r="VOD73" s="55"/>
      <c r="VOE73" s="55"/>
      <c r="VOF73" s="55"/>
      <c r="VOG73" s="55"/>
      <c r="VOH73" s="55"/>
      <c r="VOI73" s="55"/>
      <c r="VOJ73" s="55"/>
      <c r="VOK73" s="55"/>
      <c r="VOL73" s="55"/>
      <c r="VOM73" s="55"/>
      <c r="VON73" s="55"/>
      <c r="VOO73" s="55"/>
      <c r="VOP73" s="55"/>
      <c r="VOQ73" s="55"/>
      <c r="VOR73" s="55"/>
      <c r="VOS73" s="55"/>
      <c r="VOT73" s="55"/>
      <c r="VOU73" s="55"/>
      <c r="VOV73" s="55"/>
      <c r="VOW73" s="55"/>
      <c r="VOX73" s="55"/>
      <c r="VOY73" s="55"/>
      <c r="VOZ73" s="55"/>
      <c r="VPA73" s="55"/>
      <c r="VPB73" s="55"/>
      <c r="VPC73" s="55"/>
      <c r="VPD73" s="55"/>
      <c r="VPE73" s="55"/>
      <c r="VPF73" s="55"/>
      <c r="VPG73" s="55"/>
      <c r="VPH73" s="55"/>
      <c r="VPI73" s="55"/>
      <c r="VPJ73" s="55"/>
      <c r="VPK73" s="55"/>
      <c r="VPL73" s="55"/>
      <c r="VPM73" s="55"/>
      <c r="VPN73" s="55"/>
      <c r="VPO73" s="55"/>
      <c r="VPP73" s="55"/>
      <c r="VPQ73" s="55"/>
      <c r="VPR73" s="55"/>
      <c r="VPS73" s="55"/>
      <c r="VPT73" s="55"/>
      <c r="VPU73" s="55"/>
      <c r="VPV73" s="55"/>
      <c r="VPW73" s="55"/>
      <c r="VPX73" s="55"/>
      <c r="VPY73" s="55"/>
      <c r="VPZ73" s="55"/>
      <c r="VQA73" s="55"/>
      <c r="VQB73" s="55"/>
      <c r="VQC73" s="55"/>
      <c r="VQD73" s="55"/>
      <c r="VQE73" s="55"/>
      <c r="VQF73" s="55"/>
      <c r="VQG73" s="55"/>
      <c r="VQH73" s="55"/>
      <c r="VQI73" s="55"/>
      <c r="VQJ73" s="55"/>
      <c r="VQK73" s="55"/>
      <c r="VQL73" s="55"/>
      <c r="VQM73" s="55"/>
      <c r="VQN73" s="55"/>
      <c r="VQO73" s="55"/>
      <c r="VQP73" s="55"/>
      <c r="VQQ73" s="55"/>
      <c r="VQR73" s="55"/>
      <c r="VQS73" s="55"/>
      <c r="VQT73" s="55"/>
      <c r="VQU73" s="55"/>
      <c r="VQV73" s="55"/>
      <c r="VQW73" s="55"/>
      <c r="VQX73" s="55"/>
      <c r="VQY73" s="55"/>
      <c r="VQZ73" s="55"/>
      <c r="VRA73" s="55"/>
      <c r="VRB73" s="55"/>
      <c r="VRC73" s="55"/>
      <c r="VRD73" s="55"/>
      <c r="VRE73" s="55"/>
      <c r="VRF73" s="55"/>
      <c r="VRG73" s="55"/>
      <c r="VRH73" s="55"/>
      <c r="VRI73" s="55"/>
      <c r="VRJ73" s="55"/>
      <c r="VRK73" s="55"/>
      <c r="VRL73" s="55"/>
      <c r="VRM73" s="55"/>
      <c r="VRN73" s="55"/>
      <c r="VRO73" s="55"/>
      <c r="VRP73" s="55"/>
      <c r="VRQ73" s="55"/>
      <c r="VRR73" s="55"/>
      <c r="VRS73" s="55"/>
      <c r="VRT73" s="55"/>
      <c r="VRU73" s="55"/>
      <c r="VRV73" s="55"/>
      <c r="VRW73" s="55"/>
      <c r="VRX73" s="55"/>
      <c r="VRY73" s="55"/>
      <c r="VRZ73" s="55"/>
      <c r="VSA73" s="55"/>
      <c r="VSB73" s="55"/>
      <c r="VSC73" s="55"/>
      <c r="VSD73" s="55"/>
      <c r="VSE73" s="55"/>
      <c r="VSF73" s="55"/>
      <c r="VSG73" s="55"/>
      <c r="VSH73" s="55"/>
      <c r="VSI73" s="55"/>
      <c r="VSJ73" s="55"/>
      <c r="VSK73" s="55"/>
      <c r="VSL73" s="55"/>
      <c r="VSM73" s="55"/>
      <c r="VSN73" s="55"/>
      <c r="VSO73" s="55"/>
      <c r="VSP73" s="55"/>
      <c r="VSQ73" s="55"/>
      <c r="VSR73" s="55"/>
      <c r="VSS73" s="55"/>
      <c r="VST73" s="55"/>
      <c r="VSU73" s="55"/>
      <c r="VSV73" s="55"/>
      <c r="VSW73" s="55"/>
      <c r="VSX73" s="55"/>
      <c r="VSY73" s="55"/>
      <c r="VSZ73" s="55"/>
      <c r="VTA73" s="55"/>
      <c r="VTB73" s="55"/>
      <c r="VTC73" s="55"/>
      <c r="VTD73" s="55"/>
      <c r="VTE73" s="55"/>
      <c r="VTF73" s="55"/>
      <c r="VTG73" s="55"/>
      <c r="VTH73" s="55"/>
      <c r="VTI73" s="55"/>
      <c r="VTJ73" s="55"/>
      <c r="VTK73" s="55"/>
      <c r="VTL73" s="55"/>
      <c r="VTM73" s="55"/>
      <c r="VTN73" s="55"/>
      <c r="VTO73" s="55"/>
      <c r="VTP73" s="55"/>
      <c r="VTQ73" s="55"/>
      <c r="VTR73" s="55"/>
      <c r="VTS73" s="55"/>
      <c r="VTT73" s="55"/>
      <c r="VTU73" s="55"/>
      <c r="VTV73" s="55"/>
      <c r="VTW73" s="55"/>
      <c r="VTX73" s="55"/>
      <c r="VTY73" s="55"/>
      <c r="VTZ73" s="55"/>
      <c r="VUA73" s="55"/>
      <c r="VUB73" s="55"/>
      <c r="VUC73" s="55"/>
      <c r="VUD73" s="55"/>
      <c r="VUE73" s="55"/>
      <c r="VUF73" s="55"/>
      <c r="VUG73" s="55"/>
      <c r="VUH73" s="55"/>
      <c r="VUI73" s="55"/>
      <c r="VUJ73" s="55"/>
      <c r="VUK73" s="55"/>
      <c r="VUL73" s="55"/>
      <c r="VUM73" s="55"/>
      <c r="VUN73" s="55"/>
      <c r="VUO73" s="55"/>
      <c r="VUP73" s="55"/>
      <c r="VUQ73" s="55"/>
      <c r="VUR73" s="55"/>
      <c r="VUS73" s="55"/>
      <c r="VUT73" s="55"/>
      <c r="VUU73" s="55"/>
      <c r="VUV73" s="55"/>
      <c r="VUW73" s="55"/>
      <c r="VUX73" s="55"/>
      <c r="VUY73" s="55"/>
      <c r="VUZ73" s="55"/>
      <c r="VVA73" s="55"/>
      <c r="VVB73" s="55"/>
      <c r="VVC73" s="55"/>
      <c r="VVD73" s="55"/>
      <c r="VVE73" s="55"/>
      <c r="VVF73" s="55"/>
      <c r="VVG73" s="55"/>
      <c r="VVH73" s="55"/>
      <c r="VVI73" s="55"/>
      <c r="VVJ73" s="55"/>
      <c r="VVK73" s="55"/>
      <c r="VVL73" s="55"/>
      <c r="VVM73" s="55"/>
      <c r="VVN73" s="55"/>
      <c r="VVO73" s="55"/>
      <c r="VVP73" s="55"/>
      <c r="VVQ73" s="55"/>
      <c r="VVR73" s="55"/>
      <c r="VVS73" s="55"/>
      <c r="VVT73" s="55"/>
      <c r="VVU73" s="55"/>
      <c r="VVV73" s="55"/>
      <c r="VVW73" s="55"/>
      <c r="VVX73" s="55"/>
      <c r="VVY73" s="55"/>
      <c r="VVZ73" s="55"/>
      <c r="VWA73" s="55"/>
      <c r="VWB73" s="55"/>
      <c r="VWC73" s="55"/>
      <c r="VWD73" s="55"/>
      <c r="VWE73" s="55"/>
      <c r="VWF73" s="55"/>
      <c r="VWG73" s="55"/>
      <c r="VWH73" s="55"/>
      <c r="VWI73" s="55"/>
      <c r="VWJ73" s="55"/>
      <c r="VWK73" s="55"/>
      <c r="VWL73" s="55"/>
      <c r="VWM73" s="55"/>
      <c r="VWN73" s="55"/>
      <c r="VWO73" s="55"/>
      <c r="VWP73" s="55"/>
      <c r="VWQ73" s="55"/>
      <c r="VWR73" s="55"/>
      <c r="VWS73" s="55"/>
      <c r="VWT73" s="55"/>
      <c r="VWU73" s="55"/>
      <c r="VWV73" s="55"/>
      <c r="VWW73" s="55"/>
      <c r="VWX73" s="55"/>
      <c r="VWY73" s="55"/>
      <c r="VWZ73" s="55"/>
      <c r="VXA73" s="55"/>
      <c r="VXB73" s="55"/>
      <c r="VXC73" s="55"/>
      <c r="VXD73" s="55"/>
      <c r="VXE73" s="55"/>
      <c r="VXF73" s="55"/>
      <c r="VXG73" s="55"/>
      <c r="VXH73" s="55"/>
      <c r="VXI73" s="55"/>
      <c r="VXJ73" s="55"/>
      <c r="VXK73" s="55"/>
      <c r="VXL73" s="55"/>
      <c r="VXM73" s="55"/>
      <c r="VXN73" s="55"/>
      <c r="VXO73" s="55"/>
      <c r="VXP73" s="55"/>
      <c r="VXQ73" s="55"/>
      <c r="VXR73" s="55"/>
      <c r="VXS73" s="55"/>
      <c r="VXT73" s="55"/>
      <c r="VXU73" s="55"/>
      <c r="VXV73" s="55"/>
      <c r="VXW73" s="55"/>
      <c r="VXX73" s="55"/>
      <c r="VXY73" s="55"/>
      <c r="VXZ73" s="55"/>
      <c r="VYA73" s="55"/>
      <c r="VYB73" s="55"/>
      <c r="VYC73" s="55"/>
      <c r="VYD73" s="55"/>
      <c r="VYE73" s="55"/>
      <c r="VYF73" s="55"/>
      <c r="VYG73" s="55"/>
      <c r="VYH73" s="55"/>
      <c r="VYI73" s="55"/>
      <c r="VYJ73" s="55"/>
      <c r="VYK73" s="55"/>
      <c r="VYL73" s="55"/>
      <c r="VYM73" s="55"/>
      <c r="VYN73" s="55"/>
      <c r="VYO73" s="55"/>
      <c r="VYP73" s="55"/>
      <c r="VYQ73" s="55"/>
      <c r="VYR73" s="55"/>
      <c r="VYS73" s="55"/>
      <c r="VYT73" s="55"/>
      <c r="VYU73" s="55"/>
      <c r="VYV73" s="55"/>
      <c r="VYW73" s="55"/>
      <c r="VYX73" s="55"/>
      <c r="VYY73" s="55"/>
      <c r="VYZ73" s="55"/>
      <c r="VZA73" s="55"/>
      <c r="VZB73" s="55"/>
      <c r="VZC73" s="55"/>
      <c r="VZD73" s="55"/>
      <c r="VZE73" s="55"/>
      <c r="VZF73" s="55"/>
      <c r="VZG73" s="55"/>
      <c r="VZH73" s="55"/>
      <c r="VZI73" s="55"/>
      <c r="VZJ73" s="55"/>
      <c r="VZK73" s="55"/>
      <c r="VZL73" s="55"/>
      <c r="VZM73" s="55"/>
      <c r="VZN73" s="55"/>
      <c r="VZO73" s="55"/>
      <c r="VZP73" s="55"/>
      <c r="VZQ73" s="55"/>
      <c r="VZR73" s="55"/>
      <c r="VZS73" s="55"/>
      <c r="VZT73" s="55"/>
      <c r="VZU73" s="55"/>
      <c r="VZV73" s="55"/>
      <c r="VZW73" s="55"/>
      <c r="VZX73" s="55"/>
      <c r="VZY73" s="55"/>
      <c r="VZZ73" s="55"/>
      <c r="WAA73" s="55"/>
      <c r="WAB73" s="55"/>
      <c r="WAC73" s="55"/>
      <c r="WAD73" s="55"/>
      <c r="WAE73" s="55"/>
      <c r="WAF73" s="55"/>
      <c r="WAG73" s="55"/>
      <c r="WAH73" s="55"/>
      <c r="WAI73" s="55"/>
      <c r="WAJ73" s="55"/>
      <c r="WAK73" s="55"/>
      <c r="WAL73" s="55"/>
      <c r="WAM73" s="55"/>
      <c r="WAN73" s="55"/>
      <c r="WAO73" s="55"/>
      <c r="WAP73" s="55"/>
      <c r="WAQ73" s="55"/>
      <c r="WAR73" s="55"/>
      <c r="WAS73" s="55"/>
      <c r="WAT73" s="55"/>
      <c r="WAU73" s="55"/>
      <c r="WAV73" s="55"/>
      <c r="WAW73" s="55"/>
      <c r="WAX73" s="55"/>
      <c r="WAY73" s="55"/>
      <c r="WAZ73" s="55"/>
      <c r="WBA73" s="55"/>
      <c r="WBB73" s="55"/>
      <c r="WBC73" s="55"/>
      <c r="WBD73" s="55"/>
      <c r="WBE73" s="55"/>
      <c r="WBF73" s="55"/>
      <c r="WBG73" s="55"/>
      <c r="WBH73" s="55"/>
      <c r="WBI73" s="55"/>
      <c r="WBJ73" s="55"/>
      <c r="WBK73" s="55"/>
      <c r="WBL73" s="55"/>
      <c r="WBM73" s="55"/>
      <c r="WBN73" s="55"/>
      <c r="WBO73" s="55"/>
      <c r="WBP73" s="55"/>
      <c r="WBQ73" s="55"/>
      <c r="WBR73" s="55"/>
      <c r="WBS73" s="55"/>
      <c r="WBT73" s="55"/>
      <c r="WBU73" s="55"/>
      <c r="WBV73" s="55"/>
      <c r="WBW73" s="55"/>
      <c r="WBX73" s="55"/>
      <c r="WBY73" s="55"/>
      <c r="WBZ73" s="55"/>
      <c r="WCA73" s="55"/>
      <c r="WCB73" s="55"/>
      <c r="WCC73" s="55"/>
      <c r="WCD73" s="55"/>
      <c r="WCE73" s="55"/>
      <c r="WCF73" s="55"/>
      <c r="WCG73" s="55"/>
      <c r="WCH73" s="55"/>
      <c r="WCI73" s="55"/>
      <c r="WCJ73" s="55"/>
      <c r="WCK73" s="55"/>
      <c r="WCL73" s="55"/>
      <c r="WCM73" s="55"/>
      <c r="WCN73" s="55"/>
      <c r="WCO73" s="55"/>
      <c r="WCP73" s="55"/>
      <c r="WCQ73" s="55"/>
      <c r="WCR73" s="55"/>
      <c r="WCS73" s="55"/>
      <c r="WCT73" s="55"/>
      <c r="WCU73" s="55"/>
      <c r="WCV73" s="55"/>
      <c r="WCW73" s="55"/>
      <c r="WCX73" s="55"/>
      <c r="WCY73" s="55"/>
      <c r="WCZ73" s="55"/>
      <c r="WDA73" s="55"/>
      <c r="WDB73" s="55"/>
      <c r="WDC73" s="55"/>
      <c r="WDD73" s="55"/>
      <c r="WDE73" s="55"/>
      <c r="WDF73" s="55"/>
      <c r="WDG73" s="55"/>
      <c r="WDH73" s="55"/>
      <c r="WDI73" s="55"/>
      <c r="WDJ73" s="55"/>
      <c r="WDK73" s="55"/>
      <c r="WDL73" s="55"/>
      <c r="WDM73" s="55"/>
      <c r="WDN73" s="55"/>
      <c r="WDO73" s="55"/>
      <c r="WDP73" s="55"/>
      <c r="WDQ73" s="55"/>
      <c r="WDR73" s="55"/>
      <c r="WDS73" s="55"/>
      <c r="WDT73" s="55"/>
      <c r="WDU73" s="55"/>
      <c r="WDV73" s="55"/>
      <c r="WDW73" s="55"/>
      <c r="WDX73" s="55"/>
      <c r="WDY73" s="55"/>
      <c r="WDZ73" s="55"/>
      <c r="WEA73" s="55"/>
      <c r="WEB73" s="55"/>
      <c r="WEC73" s="55"/>
      <c r="WED73" s="55"/>
      <c r="WEE73" s="55"/>
      <c r="WEF73" s="55"/>
      <c r="WEG73" s="55"/>
      <c r="WEH73" s="55"/>
      <c r="WEI73" s="55"/>
      <c r="WEJ73" s="55"/>
      <c r="WEK73" s="55"/>
      <c r="WEL73" s="55"/>
      <c r="WEM73" s="55"/>
      <c r="WEN73" s="55"/>
      <c r="WEO73" s="55"/>
      <c r="WEP73" s="55"/>
      <c r="WEQ73" s="55"/>
      <c r="WER73" s="55"/>
      <c r="WES73" s="55"/>
      <c r="WET73" s="55"/>
      <c r="WEU73" s="55"/>
      <c r="WEV73" s="55"/>
      <c r="WEW73" s="55"/>
      <c r="WEX73" s="55"/>
      <c r="WEY73" s="55"/>
      <c r="WEZ73" s="55"/>
      <c r="WFA73" s="55"/>
      <c r="WFB73" s="55"/>
      <c r="WFC73" s="55"/>
      <c r="WFD73" s="55"/>
      <c r="WFE73" s="55"/>
      <c r="WFF73" s="55"/>
      <c r="WFG73" s="55"/>
      <c r="WFH73" s="55"/>
      <c r="WFI73" s="55"/>
      <c r="WFJ73" s="55"/>
      <c r="WFK73" s="55"/>
      <c r="WFL73" s="55"/>
      <c r="WFM73" s="55"/>
      <c r="WFN73" s="55"/>
      <c r="WFO73" s="55"/>
      <c r="WFP73" s="55"/>
      <c r="WFQ73" s="55"/>
      <c r="WFR73" s="55"/>
      <c r="WFS73" s="55"/>
      <c r="WFT73" s="55"/>
      <c r="WFU73" s="55"/>
      <c r="WFV73" s="55"/>
      <c r="WFW73" s="55"/>
      <c r="WFX73" s="55"/>
      <c r="WFY73" s="55"/>
      <c r="WFZ73" s="55"/>
      <c r="WGA73" s="55"/>
      <c r="WGB73" s="55"/>
      <c r="WGC73" s="55"/>
      <c r="WGD73" s="55"/>
      <c r="WGE73" s="55"/>
      <c r="WGF73" s="55"/>
      <c r="WGG73" s="55"/>
      <c r="WGH73" s="55"/>
      <c r="WGI73" s="55"/>
      <c r="WGJ73" s="55"/>
      <c r="WGK73" s="55"/>
      <c r="WGL73" s="55"/>
      <c r="WGM73" s="55"/>
      <c r="WGN73" s="55"/>
      <c r="WGO73" s="55"/>
      <c r="WGP73" s="55"/>
      <c r="WGQ73" s="55"/>
      <c r="WGR73" s="55"/>
      <c r="WGS73" s="55"/>
      <c r="WGT73" s="55"/>
      <c r="WGU73" s="55"/>
      <c r="WGV73" s="55"/>
      <c r="WGW73" s="55"/>
      <c r="WGX73" s="55"/>
      <c r="WGY73" s="55"/>
      <c r="WGZ73" s="55"/>
      <c r="WHA73" s="55"/>
      <c r="WHB73" s="55"/>
      <c r="WHC73" s="55"/>
      <c r="WHD73" s="55"/>
      <c r="WHE73" s="55"/>
      <c r="WHF73" s="55"/>
      <c r="WHG73" s="55"/>
      <c r="WHH73" s="55"/>
      <c r="WHI73" s="55"/>
      <c r="WHJ73" s="55"/>
      <c r="WHK73" s="55"/>
      <c r="WHL73" s="55"/>
      <c r="WHM73" s="55"/>
      <c r="WHN73" s="55"/>
      <c r="WHO73" s="55"/>
      <c r="WHP73" s="55"/>
      <c r="WHQ73" s="55"/>
      <c r="WHR73" s="55"/>
      <c r="WHS73" s="55"/>
      <c r="WHT73" s="55"/>
      <c r="WHU73" s="55"/>
      <c r="WHV73" s="55"/>
      <c r="WHW73" s="55"/>
      <c r="WHX73" s="55"/>
      <c r="WHY73" s="55"/>
      <c r="WHZ73" s="55"/>
      <c r="WIA73" s="55"/>
      <c r="WIB73" s="55"/>
      <c r="WIC73" s="55"/>
      <c r="WID73" s="55"/>
      <c r="WIE73" s="55"/>
      <c r="WIF73" s="55"/>
      <c r="WIG73" s="55"/>
      <c r="WIH73" s="55"/>
      <c r="WII73" s="55"/>
      <c r="WIJ73" s="55"/>
      <c r="WIK73" s="55"/>
      <c r="WIL73" s="55"/>
      <c r="WIM73" s="55"/>
      <c r="WIN73" s="55"/>
      <c r="WIO73" s="55"/>
      <c r="WIP73" s="55"/>
      <c r="WIQ73" s="55"/>
      <c r="WIR73" s="55"/>
      <c r="WIS73" s="55"/>
      <c r="WIT73" s="55"/>
      <c r="WIU73" s="55"/>
      <c r="WIV73" s="55"/>
      <c r="WIW73" s="55"/>
      <c r="WIX73" s="55"/>
      <c r="WIY73" s="55"/>
      <c r="WIZ73" s="55"/>
      <c r="WJA73" s="55"/>
      <c r="WJB73" s="55"/>
      <c r="WJC73" s="55"/>
      <c r="WJD73" s="55"/>
      <c r="WJE73" s="55"/>
      <c r="WJF73" s="55"/>
      <c r="WJG73" s="55"/>
      <c r="WJH73" s="55"/>
      <c r="WJI73" s="55"/>
      <c r="WJJ73" s="55"/>
      <c r="WJK73" s="55"/>
      <c r="WJL73" s="55"/>
      <c r="WJM73" s="55"/>
      <c r="WJN73" s="55"/>
      <c r="WJO73" s="55"/>
      <c r="WJP73" s="55"/>
      <c r="WJQ73" s="55"/>
      <c r="WJR73" s="55"/>
      <c r="WJS73" s="55"/>
      <c r="WJT73" s="55"/>
      <c r="WJU73" s="55"/>
      <c r="WJV73" s="55"/>
      <c r="WJW73" s="55"/>
      <c r="WJX73" s="55"/>
      <c r="WJY73" s="55"/>
      <c r="WJZ73" s="55"/>
      <c r="WKA73" s="55"/>
      <c r="WKB73" s="55"/>
      <c r="WKC73" s="55"/>
      <c r="WKD73" s="55"/>
      <c r="WKE73" s="55"/>
      <c r="WKF73" s="55"/>
      <c r="WKG73" s="55"/>
      <c r="WKH73" s="55"/>
      <c r="WKI73" s="55"/>
      <c r="WKJ73" s="55"/>
      <c r="WKK73" s="55"/>
      <c r="WKL73" s="55"/>
      <c r="WKM73" s="55"/>
      <c r="WKN73" s="55"/>
      <c r="WKO73" s="55"/>
      <c r="WKP73" s="55"/>
      <c r="WKQ73" s="55"/>
      <c r="WKR73" s="55"/>
      <c r="WKS73" s="55"/>
      <c r="WKT73" s="55"/>
      <c r="WKU73" s="55"/>
      <c r="WKV73" s="55"/>
      <c r="WKW73" s="55"/>
      <c r="WKX73" s="55"/>
      <c r="WKY73" s="55"/>
      <c r="WKZ73" s="55"/>
      <c r="WLA73" s="55"/>
      <c r="WLB73" s="55"/>
      <c r="WLC73" s="55"/>
      <c r="WLD73" s="55"/>
      <c r="WLE73" s="55"/>
      <c r="WLF73" s="55"/>
      <c r="WLG73" s="55"/>
      <c r="WLH73" s="55"/>
      <c r="WLI73" s="55"/>
      <c r="WLJ73" s="55"/>
      <c r="WLK73" s="55"/>
      <c r="WLL73" s="55"/>
      <c r="WLM73" s="55"/>
      <c r="WLN73" s="55"/>
      <c r="WLO73" s="55"/>
      <c r="WLP73" s="55"/>
      <c r="WLQ73" s="55"/>
      <c r="WLR73" s="55"/>
      <c r="WLS73" s="55"/>
      <c r="WLT73" s="55"/>
      <c r="WLU73" s="55"/>
      <c r="WLV73" s="55"/>
      <c r="WLW73" s="55"/>
      <c r="WLX73" s="55"/>
      <c r="WLY73" s="55"/>
      <c r="WLZ73" s="55"/>
      <c r="WMA73" s="55"/>
      <c r="WMB73" s="55"/>
      <c r="WMC73" s="55"/>
      <c r="WMD73" s="55"/>
      <c r="WME73" s="55"/>
      <c r="WMF73" s="55"/>
      <c r="WMG73" s="55"/>
      <c r="WMH73" s="55"/>
      <c r="WMI73" s="55"/>
      <c r="WMJ73" s="55"/>
      <c r="WMK73" s="55"/>
      <c r="WML73" s="55"/>
      <c r="WMM73" s="55"/>
      <c r="WMN73" s="55"/>
      <c r="WMO73" s="55"/>
      <c r="WMP73" s="55"/>
      <c r="WMQ73" s="55"/>
      <c r="WMR73" s="55"/>
      <c r="WMS73" s="55"/>
      <c r="WMT73" s="55"/>
      <c r="WMU73" s="55"/>
      <c r="WMV73" s="55"/>
      <c r="WMW73" s="55"/>
      <c r="WMX73" s="55"/>
      <c r="WMY73" s="55"/>
      <c r="WMZ73" s="55"/>
      <c r="WNA73" s="55"/>
      <c r="WNB73" s="55"/>
      <c r="WNC73" s="55"/>
      <c r="WND73" s="55"/>
      <c r="WNE73" s="55"/>
      <c r="WNF73" s="55"/>
      <c r="WNG73" s="55"/>
      <c r="WNH73" s="55"/>
      <c r="WNI73" s="55"/>
      <c r="WNJ73" s="55"/>
      <c r="WNK73" s="55"/>
      <c r="WNL73" s="55"/>
      <c r="WNM73" s="55"/>
      <c r="WNN73" s="55"/>
      <c r="WNO73" s="55"/>
      <c r="WNP73" s="55"/>
      <c r="WNQ73" s="55"/>
      <c r="WNR73" s="55"/>
      <c r="WNS73" s="55"/>
      <c r="WNT73" s="55"/>
      <c r="WNU73" s="55"/>
      <c r="WNV73" s="55"/>
      <c r="WNW73" s="55"/>
      <c r="WNX73" s="55"/>
      <c r="WNY73" s="55"/>
      <c r="WNZ73" s="55"/>
      <c r="WOA73" s="55"/>
      <c r="WOB73" s="55"/>
      <c r="WOC73" s="55"/>
      <c r="WOD73" s="55"/>
      <c r="WOE73" s="55"/>
      <c r="WOF73" s="55"/>
      <c r="WOG73" s="55"/>
      <c r="WOH73" s="55"/>
      <c r="WOI73" s="55"/>
      <c r="WOJ73" s="55"/>
      <c r="WOK73" s="55"/>
      <c r="WOL73" s="55"/>
      <c r="WOM73" s="55"/>
      <c r="WON73" s="55"/>
      <c r="WOO73" s="55"/>
      <c r="WOP73" s="55"/>
      <c r="WOQ73" s="55"/>
      <c r="WOR73" s="55"/>
      <c r="WOS73" s="55"/>
      <c r="WOT73" s="55"/>
      <c r="WOU73" s="55"/>
      <c r="WOV73" s="55"/>
      <c r="WOW73" s="55"/>
      <c r="WOX73" s="55"/>
      <c r="WOY73" s="55"/>
      <c r="WOZ73" s="55"/>
      <c r="WPA73" s="55"/>
      <c r="WPB73" s="55"/>
      <c r="WPC73" s="55"/>
      <c r="WPD73" s="55"/>
      <c r="WPE73" s="55"/>
      <c r="WPF73" s="55"/>
      <c r="WPG73" s="55"/>
      <c r="WPH73" s="55"/>
      <c r="WPI73" s="55"/>
      <c r="WPJ73" s="55"/>
      <c r="WPK73" s="55"/>
      <c r="WPL73" s="55"/>
      <c r="WPM73" s="55"/>
      <c r="WPN73" s="55"/>
      <c r="WPO73" s="55"/>
      <c r="WPP73" s="55"/>
      <c r="WPQ73" s="55"/>
      <c r="WPR73" s="55"/>
      <c r="WPS73" s="55"/>
      <c r="WPT73" s="55"/>
      <c r="WPU73" s="55"/>
      <c r="WPV73" s="55"/>
      <c r="WPW73" s="55"/>
      <c r="WPX73" s="55"/>
      <c r="WPY73" s="55"/>
      <c r="WPZ73" s="55"/>
      <c r="WQA73" s="55"/>
      <c r="WQB73" s="55"/>
      <c r="WQC73" s="55"/>
      <c r="WQD73" s="55"/>
      <c r="WQE73" s="55"/>
      <c r="WQF73" s="55"/>
      <c r="WQG73" s="55"/>
      <c r="WQH73" s="55"/>
      <c r="WQI73" s="55"/>
      <c r="WQJ73" s="55"/>
      <c r="WQK73" s="55"/>
      <c r="WQL73" s="55"/>
      <c r="WQM73" s="55"/>
      <c r="WQN73" s="55"/>
      <c r="WQO73" s="55"/>
      <c r="WQP73" s="55"/>
      <c r="WQQ73" s="55"/>
      <c r="WQR73" s="55"/>
      <c r="WQS73" s="55"/>
      <c r="WQT73" s="55"/>
      <c r="WQU73" s="55"/>
      <c r="WQV73" s="55"/>
      <c r="WQW73" s="55"/>
      <c r="WQX73" s="55"/>
      <c r="WQY73" s="55"/>
      <c r="WQZ73" s="55"/>
      <c r="WRA73" s="55"/>
      <c r="WRB73" s="55"/>
      <c r="WRC73" s="55"/>
      <c r="WRD73" s="55"/>
      <c r="WRE73" s="55"/>
      <c r="WRF73" s="55"/>
      <c r="WRG73" s="55"/>
      <c r="WRH73" s="55"/>
      <c r="WRI73" s="55"/>
      <c r="WRJ73" s="55"/>
      <c r="WRK73" s="55"/>
      <c r="WRL73" s="55"/>
      <c r="WRM73" s="55"/>
      <c r="WRN73" s="55"/>
      <c r="WRO73" s="55"/>
      <c r="WRP73" s="55"/>
      <c r="WRQ73" s="55"/>
      <c r="WRR73" s="55"/>
      <c r="WRS73" s="55"/>
      <c r="WRT73" s="55"/>
      <c r="WRU73" s="55"/>
      <c r="WRV73" s="55"/>
      <c r="WRW73" s="55"/>
      <c r="WRX73" s="55"/>
      <c r="WRY73" s="55"/>
      <c r="WRZ73" s="55"/>
      <c r="WSA73" s="55"/>
      <c r="WSB73" s="55"/>
      <c r="WSC73" s="55"/>
      <c r="WSD73" s="55"/>
      <c r="WSE73" s="55"/>
      <c r="WSF73" s="55"/>
      <c r="WSG73" s="55"/>
      <c r="WSH73" s="55"/>
      <c r="WSI73" s="55"/>
      <c r="WSJ73" s="55"/>
      <c r="WSK73" s="55"/>
      <c r="WSL73" s="55"/>
      <c r="WSM73" s="55"/>
      <c r="WSN73" s="55"/>
      <c r="WSO73" s="55"/>
      <c r="WSP73" s="55"/>
      <c r="WSQ73" s="55"/>
      <c r="WSR73" s="55"/>
      <c r="WSS73" s="55"/>
      <c r="WST73" s="55"/>
      <c r="WSU73" s="55"/>
      <c r="WSV73" s="55"/>
      <c r="WSW73" s="55"/>
      <c r="WSX73" s="55"/>
      <c r="WSY73" s="55"/>
      <c r="WSZ73" s="55"/>
      <c r="WTA73" s="55"/>
      <c r="WTB73" s="55"/>
      <c r="WTC73" s="55"/>
      <c r="WTD73" s="55"/>
      <c r="WTE73" s="55"/>
      <c r="WTF73" s="55"/>
      <c r="WTG73" s="55"/>
      <c r="WTH73" s="55"/>
      <c r="WTI73" s="55"/>
      <c r="WTJ73" s="55"/>
      <c r="WTK73" s="55"/>
      <c r="WTL73" s="55"/>
      <c r="WTM73" s="55"/>
      <c r="WTN73" s="55"/>
      <c r="WTO73" s="55"/>
      <c r="WTP73" s="55"/>
      <c r="WTQ73" s="55"/>
      <c r="WTR73" s="55"/>
      <c r="WTS73" s="55"/>
      <c r="WTT73" s="55"/>
      <c r="WTU73" s="55"/>
      <c r="WTV73" s="55"/>
      <c r="WTW73" s="55"/>
      <c r="WTX73" s="55"/>
      <c r="WTY73" s="55"/>
      <c r="WTZ73" s="55"/>
      <c r="WUA73" s="55"/>
      <c r="WUB73" s="55"/>
      <c r="WUC73" s="55"/>
      <c r="WUD73" s="55"/>
      <c r="WUE73" s="55"/>
      <c r="WUF73" s="55"/>
      <c r="WUG73" s="55"/>
      <c r="WUH73" s="55"/>
      <c r="WUI73" s="55"/>
      <c r="WUJ73" s="55"/>
      <c r="WUK73" s="55"/>
      <c r="WUL73" s="55"/>
      <c r="WUM73" s="55"/>
      <c r="WUN73" s="55"/>
      <c r="WUO73" s="55"/>
      <c r="WUP73" s="55"/>
      <c r="WUQ73" s="55"/>
      <c r="WUR73" s="55"/>
      <c r="WUS73" s="55"/>
      <c r="WUT73" s="55"/>
      <c r="WUU73" s="55"/>
      <c r="WUV73" s="55"/>
      <c r="WUW73" s="55"/>
      <c r="WUX73" s="55"/>
      <c r="WUY73" s="55"/>
      <c r="WUZ73" s="55"/>
      <c r="WVA73" s="55"/>
      <c r="WVB73" s="55"/>
      <c r="WVC73" s="55"/>
      <c r="WVD73" s="55"/>
      <c r="WVE73" s="55"/>
      <c r="WVF73" s="55"/>
      <c r="WVG73" s="55"/>
      <c r="WVH73" s="55"/>
      <c r="WVI73" s="55"/>
      <c r="WVJ73" s="55"/>
      <c r="WVK73" s="55"/>
      <c r="WVL73" s="55"/>
      <c r="WVM73" s="55"/>
      <c r="WVN73" s="55"/>
      <c r="WVO73" s="55"/>
      <c r="WVP73" s="55"/>
      <c r="WVQ73" s="55"/>
      <c r="WVR73" s="55"/>
      <c r="WVS73" s="55"/>
      <c r="WVT73" s="55"/>
      <c r="WVU73" s="55"/>
      <c r="WVV73" s="55"/>
      <c r="WVW73" s="55"/>
      <c r="WVX73" s="55"/>
      <c r="WVY73" s="55"/>
      <c r="WVZ73" s="55"/>
      <c r="WWA73" s="55"/>
      <c r="WWB73" s="55"/>
      <c r="WWC73" s="55"/>
      <c r="WWD73" s="55"/>
      <c r="WWE73" s="55"/>
      <c r="WWF73" s="55"/>
      <c r="WWG73" s="55"/>
      <c r="WWH73" s="55"/>
      <c r="WWI73" s="55"/>
      <c r="WWJ73" s="55"/>
      <c r="WWK73" s="55"/>
      <c r="WWL73" s="55"/>
      <c r="WWM73" s="55"/>
      <c r="WWN73" s="55"/>
      <c r="WWO73" s="55"/>
      <c r="WWP73" s="55"/>
      <c r="WWQ73" s="55"/>
      <c r="WWR73" s="55"/>
      <c r="WWS73" s="55"/>
      <c r="WWT73" s="55"/>
      <c r="WWU73" s="55"/>
      <c r="WWV73" s="55"/>
      <c r="WWW73" s="55"/>
      <c r="WWX73" s="55"/>
      <c r="WWY73" s="55"/>
      <c r="WWZ73" s="55"/>
      <c r="WXA73" s="55"/>
      <c r="WXB73" s="55"/>
      <c r="WXC73" s="55"/>
      <c r="WXD73" s="55"/>
      <c r="WXE73" s="55"/>
      <c r="WXF73" s="55"/>
      <c r="WXG73" s="55"/>
      <c r="WXH73" s="55"/>
      <c r="WXI73" s="55"/>
      <c r="WXJ73" s="55"/>
      <c r="WXK73" s="55"/>
      <c r="WXL73" s="55"/>
      <c r="WXM73" s="55"/>
      <c r="WXN73" s="55"/>
      <c r="WXO73" s="55"/>
      <c r="WXP73" s="55"/>
      <c r="WXQ73" s="55"/>
      <c r="WXR73" s="55"/>
      <c r="WXS73" s="55"/>
      <c r="WXT73" s="55"/>
      <c r="WXU73" s="55"/>
      <c r="WXV73" s="55"/>
      <c r="WXW73" s="55"/>
      <c r="WXX73" s="55"/>
      <c r="WXY73" s="55"/>
      <c r="WXZ73" s="55"/>
      <c r="WYA73" s="55"/>
      <c r="WYB73" s="55"/>
      <c r="WYC73" s="55"/>
      <c r="WYD73" s="55"/>
      <c r="WYE73" s="55"/>
      <c r="WYF73" s="55"/>
      <c r="WYG73" s="55"/>
      <c r="WYH73" s="55"/>
      <c r="WYI73" s="55"/>
      <c r="WYJ73" s="55"/>
      <c r="WYK73" s="55"/>
      <c r="WYL73" s="55"/>
      <c r="WYM73" s="55"/>
      <c r="WYN73" s="55"/>
      <c r="WYO73" s="55"/>
      <c r="WYP73" s="55"/>
      <c r="WYQ73" s="55"/>
      <c r="WYR73" s="55"/>
      <c r="WYS73" s="55"/>
      <c r="WYT73" s="55"/>
      <c r="WYU73" s="55"/>
      <c r="WYV73" s="55"/>
      <c r="WYW73" s="55"/>
      <c r="WYX73" s="55"/>
      <c r="WYY73" s="55"/>
      <c r="WYZ73" s="55"/>
      <c r="WZA73" s="55"/>
      <c r="WZB73" s="55"/>
      <c r="WZC73" s="55"/>
      <c r="WZD73" s="55"/>
      <c r="WZE73" s="55"/>
      <c r="WZF73" s="55"/>
      <c r="WZG73" s="55"/>
      <c r="WZH73" s="55"/>
      <c r="WZI73" s="55"/>
      <c r="WZJ73" s="55"/>
      <c r="WZK73" s="55"/>
      <c r="WZL73" s="55"/>
      <c r="WZM73" s="55"/>
      <c r="WZN73" s="55"/>
      <c r="WZO73" s="55"/>
      <c r="WZP73" s="55"/>
      <c r="WZQ73" s="55"/>
      <c r="WZR73" s="55"/>
      <c r="WZS73" s="55"/>
      <c r="WZT73" s="55"/>
      <c r="WZU73" s="55"/>
      <c r="WZV73" s="55"/>
      <c r="WZW73" s="55"/>
      <c r="WZX73" s="55"/>
      <c r="WZY73" s="55"/>
      <c r="WZZ73" s="55"/>
      <c r="XAA73" s="55"/>
      <c r="XAB73" s="55"/>
      <c r="XAC73" s="55"/>
      <c r="XAD73" s="55"/>
      <c r="XAE73" s="55"/>
      <c r="XAF73" s="55"/>
      <c r="XAG73" s="55"/>
      <c r="XAH73" s="55"/>
      <c r="XAI73" s="55"/>
      <c r="XAJ73" s="55"/>
      <c r="XAK73" s="55"/>
      <c r="XAL73" s="55"/>
      <c r="XAM73" s="55"/>
      <c r="XAN73" s="55"/>
      <c r="XAO73" s="55"/>
      <c r="XAP73" s="55"/>
      <c r="XAQ73" s="55"/>
      <c r="XAR73" s="55"/>
      <c r="XAS73" s="55"/>
      <c r="XAT73" s="55"/>
      <c r="XAU73" s="55"/>
      <c r="XAV73" s="55"/>
      <c r="XAW73" s="55"/>
      <c r="XAX73" s="55"/>
      <c r="XAY73" s="55"/>
      <c r="XAZ73" s="55"/>
      <c r="XBA73" s="55"/>
      <c r="XBB73" s="55"/>
      <c r="XBC73" s="55"/>
      <c r="XBD73" s="55"/>
      <c r="XBE73" s="55"/>
      <c r="XBF73" s="55"/>
      <c r="XBG73" s="55"/>
      <c r="XBH73" s="55"/>
      <c r="XBI73" s="55"/>
      <c r="XBJ73" s="55"/>
      <c r="XBK73" s="55"/>
      <c r="XBL73" s="55"/>
      <c r="XBM73" s="55"/>
      <c r="XBN73" s="55"/>
      <c r="XBO73" s="55"/>
      <c r="XBP73" s="55"/>
      <c r="XBQ73" s="55"/>
      <c r="XBR73" s="55"/>
      <c r="XBS73" s="55"/>
      <c r="XBT73" s="55"/>
      <c r="XBU73" s="55"/>
      <c r="XBV73" s="55"/>
      <c r="XBW73" s="55"/>
      <c r="XBX73" s="55"/>
      <c r="XBY73" s="55"/>
      <c r="XBZ73" s="55"/>
      <c r="XCA73" s="55"/>
      <c r="XCB73" s="55"/>
      <c r="XCC73" s="55"/>
      <c r="XCD73" s="55"/>
      <c r="XCE73" s="55"/>
      <c r="XCF73" s="55"/>
      <c r="XCG73" s="55"/>
      <c r="XCH73" s="55"/>
      <c r="XCI73" s="55"/>
      <c r="XCJ73" s="55"/>
      <c r="XCK73" s="55"/>
      <c r="XCL73" s="55"/>
      <c r="XCM73" s="55"/>
      <c r="XCN73" s="55"/>
      <c r="XCO73" s="55"/>
      <c r="XCP73" s="55"/>
      <c r="XCQ73" s="55"/>
      <c r="XCR73" s="55"/>
      <c r="XCS73" s="55"/>
      <c r="XCT73" s="55"/>
      <c r="XCU73" s="55"/>
      <c r="XCV73" s="55"/>
      <c r="XCW73" s="55"/>
      <c r="XCX73" s="55"/>
      <c r="XCY73" s="55"/>
      <c r="XCZ73" s="55"/>
      <c r="XDA73" s="55"/>
      <c r="XDB73" s="55"/>
      <c r="XDC73" s="55"/>
      <c r="XDD73" s="55"/>
      <c r="XDE73" s="55"/>
      <c r="XDF73" s="55"/>
      <c r="XDG73" s="55"/>
      <c r="XDH73" s="55"/>
      <c r="XDI73" s="55"/>
      <c r="XDJ73" s="55"/>
      <c r="XDK73" s="55"/>
      <c r="XDL73" s="55"/>
      <c r="XDM73" s="55"/>
      <c r="XDN73" s="55"/>
      <c r="XDO73" s="55"/>
      <c r="XDP73" s="55"/>
      <c r="XDQ73" s="55"/>
      <c r="XDR73" s="55"/>
      <c r="XDS73" s="55"/>
      <c r="XDT73" s="55"/>
      <c r="XDU73" s="55"/>
      <c r="XDV73" s="55"/>
      <c r="XDW73" s="55"/>
      <c r="XDX73" s="55"/>
      <c r="XDY73" s="55"/>
      <c r="XDZ73" s="55"/>
      <c r="XEA73" s="55"/>
      <c r="XEB73" s="55"/>
      <c r="XEC73" s="55"/>
      <c r="XED73" s="55"/>
      <c r="XEE73" s="55"/>
      <c r="XEF73" s="55"/>
      <c r="XEG73" s="55"/>
      <c r="XEH73" s="55"/>
      <c r="XEI73" s="55"/>
      <c r="XEJ73" s="55"/>
      <c r="XEK73" s="55"/>
      <c r="XEL73" s="55"/>
      <c r="XEM73" s="55"/>
      <c r="XEN73" s="55"/>
      <c r="XEO73" s="55"/>
      <c r="XEP73" s="55"/>
      <c r="XEQ73" s="55"/>
      <c r="XER73" s="55"/>
      <c r="XES73" s="55"/>
      <c r="XET73" s="55"/>
      <c r="XEU73" s="55"/>
      <c r="XEV73" s="55"/>
      <c r="XEW73" s="55"/>
      <c r="XEX73" s="55"/>
      <c r="XEY73" s="55"/>
      <c r="XEZ73" s="55"/>
      <c r="XFA73" s="55"/>
      <c r="XFB73" s="55"/>
      <c r="XFC73" s="55"/>
    </row>
    <row r="74" spans="1:16383" x14ac:dyDescent="0.35">
      <c r="B74" t="s">
        <v>215</v>
      </c>
    </row>
    <row r="75" spans="1:16383" x14ac:dyDescent="0.35">
      <c r="A75" s="50">
        <f>I71</f>
        <v>89.299482342067918</v>
      </c>
      <c r="B75" s="20">
        <f>E19</f>
        <v>1.4999999999999999E-2</v>
      </c>
      <c r="C75" s="20">
        <f>B75+0.2%</f>
        <v>1.7000000000000001E-2</v>
      </c>
      <c r="D75" s="20">
        <f t="shared" ref="D75:H75" si="5">C75+0.2%</f>
        <v>1.9000000000000003E-2</v>
      </c>
      <c r="E75" s="20">
        <f t="shared" si="5"/>
        <v>2.1000000000000005E-2</v>
      </c>
      <c r="F75" s="20">
        <f t="shared" si="5"/>
        <v>2.3000000000000007E-2</v>
      </c>
      <c r="G75" s="20">
        <f>F75+0.2%</f>
        <v>2.5000000000000008E-2</v>
      </c>
      <c r="H75" s="20">
        <f t="shared" si="5"/>
        <v>2.700000000000001E-2</v>
      </c>
      <c r="I75" s="20">
        <f>H75+0.2%</f>
        <v>2.9000000000000012E-2</v>
      </c>
    </row>
    <row r="76" spans="1:16383" x14ac:dyDescent="0.35">
      <c r="A76" s="20">
        <f>B18</f>
        <v>4.5224968231995864E-2</v>
      </c>
      <c r="B76">
        <f t="dataTable" ref="B76:I83" dt2D="1" dtr="1" r1="B19" r2="B18" ca="1"/>
        <v>72.65664361855363</v>
      </c>
      <c r="C76">
        <v>78.606199694439312</v>
      </c>
      <c r="D76">
        <v>85.4632201414165</v>
      </c>
      <c r="E76">
        <v>93.452464231588507</v>
      </c>
      <c r="F76">
        <v>102.87959457775443</v>
      </c>
      <c r="G76">
        <v>114.17117884800658</v>
      </c>
      <c r="H76">
        <v>127.94103010375137</v>
      </c>
      <c r="I76">
        <v>145.10561250691148</v>
      </c>
    </row>
    <row r="77" spans="1:16383" x14ac:dyDescent="0.35">
      <c r="A77" s="20">
        <f>A76+0.2%</f>
        <v>4.7224968231995866E-2</v>
      </c>
      <c r="B77">
        <v>66.962794859291506</v>
      </c>
      <c r="C77">
        <v>72.141793345533358</v>
      </c>
      <c r="D77">
        <v>78.05475169931843</v>
      </c>
      <c r="E77">
        <v>84.869592305387158</v>
      </c>
      <c r="F77">
        <v>92.809691865904043</v>
      </c>
      <c r="G77">
        <v>102.17883276004783</v>
      </c>
      <c r="H77">
        <v>113.40095869459765</v>
      </c>
      <c r="I77">
        <v>127.08610696020386</v>
      </c>
    </row>
    <row r="78" spans="1:16383" x14ac:dyDescent="0.35">
      <c r="A78" s="20">
        <f t="shared" ref="A78:A82" si="6">A77+0.2%</f>
        <v>4.9224968231995868E-2</v>
      </c>
      <c r="B78">
        <v>57.471856432842934</v>
      </c>
      <c r="C78">
        <v>61.490772194771083</v>
      </c>
      <c r="D78">
        <v>66.008545331266049</v>
      </c>
      <c r="E78">
        <v>71.124204705631414</v>
      </c>
      <c r="F78">
        <v>76.964847623973441</v>
      </c>
      <c r="G78">
        <v>83.696342781551536</v>
      </c>
      <c r="H78">
        <v>91.539334985171138</v>
      </c>
      <c r="I78">
        <v>100.79389135783705</v>
      </c>
    </row>
    <row r="79" spans="1:16383" x14ac:dyDescent="0.35">
      <c r="A79" s="20">
        <f t="shared" si="6"/>
        <v>5.122496823199587E-2</v>
      </c>
      <c r="B79">
        <v>46.629105387488622</v>
      </c>
      <c r="C79">
        <v>49.509265885119909</v>
      </c>
      <c r="D79">
        <v>52.690816874970963</v>
      </c>
      <c r="E79">
        <v>56.223678151083725</v>
      </c>
      <c r="F79">
        <v>60.169438133446832</v>
      </c>
      <c r="G79">
        <v>64.604974857118947</v>
      </c>
      <c r="H79">
        <v>69.627514576410661</v>
      </c>
      <c r="I79">
        <v>75.361841062370615</v>
      </c>
    </row>
    <row r="80" spans="1:16383" x14ac:dyDescent="0.35">
      <c r="A80" s="20">
        <f t="shared" si="6"/>
        <v>5.3224968231995871E-2</v>
      </c>
      <c r="B80">
        <v>36.235175054052476</v>
      </c>
      <c r="C80">
        <v>38.206338348517093</v>
      </c>
      <c r="D80">
        <v>40.348072948478034</v>
      </c>
      <c r="E80">
        <v>42.683520257397937</v>
      </c>
      <c r="F80">
        <v>45.240206080562608</v>
      </c>
      <c r="G80">
        <v>48.05113059531994</v>
      </c>
      <c r="H80">
        <v>51.15620049669446</v>
      </c>
      <c r="I80">
        <v>54.604135560184609</v>
      </c>
    </row>
    <row r="81" spans="1:9" x14ac:dyDescent="0.35">
      <c r="A81" s="20">
        <f>A80+0.2%</f>
        <v>5.5224968231995873E-2</v>
      </c>
      <c r="B81">
        <v>27.168050071113559</v>
      </c>
      <c r="C81">
        <v>28.489132912331151</v>
      </c>
      <c r="D81">
        <v>29.904201246667498</v>
      </c>
      <c r="E81">
        <v>31.423654581528478</v>
      </c>
      <c r="F81">
        <v>33.059485456581456</v>
      </c>
      <c r="G81">
        <v>34.825596623101944</v>
      </c>
      <c r="H81">
        <v>36.738197148248801</v>
      </c>
      <c r="I81">
        <v>38.816301347994028</v>
      </c>
    </row>
    <row r="82" spans="1:9" x14ac:dyDescent="0.35">
      <c r="A82" s="20">
        <f t="shared" si="6"/>
        <v>5.7224968231995875E-2</v>
      </c>
      <c r="B82">
        <v>19.649796644316865</v>
      </c>
      <c r="C82">
        <v>20.531005482419307</v>
      </c>
      <c r="D82">
        <v>21.463879208666864</v>
      </c>
      <c r="E82">
        <v>22.453098675873001</v>
      </c>
      <c r="F82">
        <v>23.503927793932231</v>
      </c>
      <c r="G82">
        <v>24.622307231287181</v>
      </c>
      <c r="H82">
        <v>25.814966786685314</v>
      </c>
      <c r="I82">
        <v>27.089560920434511</v>
      </c>
    </row>
    <row r="83" spans="1:9" x14ac:dyDescent="0.35">
      <c r="A83" s="20">
        <f>A82+0.2%</f>
        <v>5.9224968231995877E-2</v>
      </c>
      <c r="B83">
        <v>13.574404685670483</v>
      </c>
      <c r="C83">
        <v>14.164943275111849</v>
      </c>
      <c r="D83">
        <v>14.784209809465288</v>
      </c>
      <c r="E83">
        <v>15.434352842644513</v>
      </c>
      <c r="F83">
        <v>16.117740659317978</v>
      </c>
      <c r="G83">
        <v>16.836990101520421</v>
      </c>
      <c r="H83">
        <v>17.595000055681826</v>
      </c>
      <c r="I83">
        <v>18.394990503443537</v>
      </c>
    </row>
  </sheetData>
  <mergeCells count="6">
    <mergeCell ref="A73:XFC73"/>
    <mergeCell ref="A5:XFC5"/>
    <mergeCell ref="A14:XFC14"/>
    <mergeCell ref="A21:XFC21"/>
    <mergeCell ref="A44:XFC44"/>
    <mergeCell ref="A55:XFC55"/>
  </mergeCells>
  <dataValidations count="2">
    <dataValidation allowBlank="1" showInputMessage="1" sqref="B18:B19" xr:uid="{19C4E24A-7E43-4729-A15F-6446E93316CA}"/>
    <dataValidation type="list" allowBlank="1" showInputMessage="1" sqref="B17" xr:uid="{A8B3F412-8F1A-4DA1-9C2C-7750E8F377DA}">
      <formula1>"1,2,3"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E430F-3C4E-497D-A520-20E6DBB1DE41}">
  <dimension ref="B2:D23"/>
  <sheetViews>
    <sheetView workbookViewId="0">
      <selection activeCell="D27" sqref="D27"/>
    </sheetView>
  </sheetViews>
  <sheetFormatPr defaultRowHeight="14.5" x14ac:dyDescent="0.35"/>
  <cols>
    <col min="2" max="2" width="27.26953125" bestFit="1" customWidth="1"/>
    <col min="3" max="3" width="16.81640625" bestFit="1" customWidth="1"/>
    <col min="4" max="4" width="26.81640625" customWidth="1"/>
  </cols>
  <sheetData>
    <row r="2" spans="2:4" x14ac:dyDescent="0.35">
      <c r="B2" s="35" t="s">
        <v>222</v>
      </c>
      <c r="C2" s="35"/>
      <c r="D2" s="35"/>
    </row>
    <row r="3" spans="2:4" x14ac:dyDescent="0.35">
      <c r="B3" s="35" t="s">
        <v>223</v>
      </c>
      <c r="C3" s="35"/>
      <c r="D3" s="35"/>
    </row>
    <row r="4" spans="2:4" x14ac:dyDescent="0.35">
      <c r="B4" s="35" t="s">
        <v>224</v>
      </c>
      <c r="C4" s="35"/>
      <c r="D4" s="35"/>
    </row>
    <row r="5" spans="2:4" x14ac:dyDescent="0.35">
      <c r="B5" s="35" t="s">
        <v>225</v>
      </c>
      <c r="C5" s="35"/>
      <c r="D5" s="35"/>
    </row>
    <row r="6" spans="2:4" x14ac:dyDescent="0.35">
      <c r="B6" s="35"/>
      <c r="C6" s="35"/>
      <c r="D6" s="35"/>
    </row>
    <row r="7" spans="2:4" x14ac:dyDescent="0.35">
      <c r="B7" s="35"/>
      <c r="C7" s="35"/>
      <c r="D7" s="35"/>
    </row>
    <row r="8" spans="2:4" ht="15" thickBot="1" x14ac:dyDescent="0.4">
      <c r="B8" s="36" t="s">
        <v>226</v>
      </c>
      <c r="C8" s="37" t="s">
        <v>227</v>
      </c>
      <c r="D8" s="38" t="s">
        <v>228</v>
      </c>
    </row>
    <row r="9" spans="2:4" x14ac:dyDescent="0.35">
      <c r="B9" s="35" t="s">
        <v>229</v>
      </c>
      <c r="C9" s="47">
        <v>205480000000</v>
      </c>
      <c r="D9" s="35" t="s">
        <v>242</v>
      </c>
    </row>
    <row r="10" spans="2:4" x14ac:dyDescent="0.35">
      <c r="B10" s="39" t="s">
        <v>230</v>
      </c>
      <c r="C10" s="48">
        <v>51697000000</v>
      </c>
      <c r="D10" s="35" t="s">
        <v>242</v>
      </c>
    </row>
    <row r="11" spans="2:4" x14ac:dyDescent="0.35">
      <c r="B11" s="35" t="s">
        <v>231</v>
      </c>
      <c r="C11" s="47">
        <f>SUM(C9:C10)</f>
        <v>257177000000</v>
      </c>
      <c r="D11" s="35" t="s">
        <v>242</v>
      </c>
    </row>
    <row r="12" spans="2:4" x14ac:dyDescent="0.35">
      <c r="B12" s="35" t="s">
        <v>232</v>
      </c>
      <c r="C12" s="40">
        <f>C9/SUM(C9:C10)</f>
        <v>0.79898280172799274</v>
      </c>
      <c r="D12" s="35" t="s">
        <v>242</v>
      </c>
    </row>
    <row r="13" spans="2:4" x14ac:dyDescent="0.35">
      <c r="B13" s="35" t="s">
        <v>233</v>
      </c>
      <c r="C13" s="41">
        <f>C10/SUM(C9:C10)</f>
        <v>0.20101719827200723</v>
      </c>
      <c r="D13" s="35" t="s">
        <v>242</v>
      </c>
    </row>
    <row r="14" spans="2:4" x14ac:dyDescent="0.35">
      <c r="B14" s="35"/>
      <c r="C14" s="35"/>
      <c r="D14" s="35"/>
    </row>
    <row r="15" spans="2:4" ht="15" thickBot="1" x14ac:dyDescent="0.4">
      <c r="B15" s="42" t="s">
        <v>234</v>
      </c>
      <c r="C15" s="43">
        <f>(C16+C17*C18)</f>
        <v>4.8156000000000004E-2</v>
      </c>
      <c r="D15" s="35"/>
    </row>
    <row r="16" spans="2:4" ht="43.5" x14ac:dyDescent="0.35">
      <c r="B16" s="39" t="s">
        <v>235</v>
      </c>
      <c r="C16" s="49">
        <v>2.564E-2</v>
      </c>
      <c r="D16" s="35" t="s">
        <v>243</v>
      </c>
    </row>
    <row r="17" spans="2:4" x14ac:dyDescent="0.35">
      <c r="B17" s="35" t="s">
        <v>236</v>
      </c>
      <c r="C17" s="35">
        <v>0.52</v>
      </c>
      <c r="D17" s="35" t="s">
        <v>237</v>
      </c>
    </row>
    <row r="18" spans="2:4" x14ac:dyDescent="0.35">
      <c r="B18" s="35" t="s">
        <v>238</v>
      </c>
      <c r="C18" s="44">
        <v>4.3299999999999998E-2</v>
      </c>
      <c r="D18" s="35" t="s">
        <v>244</v>
      </c>
    </row>
    <row r="19" spans="2:4" x14ac:dyDescent="0.35">
      <c r="B19" s="35"/>
      <c r="C19" s="35"/>
      <c r="D19" s="35"/>
    </row>
    <row r="20" spans="2:4" x14ac:dyDescent="0.35">
      <c r="B20" s="35" t="s">
        <v>239</v>
      </c>
      <c r="C20" s="44">
        <v>4.2500000000000003E-2</v>
      </c>
      <c r="D20" s="35" t="s">
        <v>245</v>
      </c>
    </row>
    <row r="21" spans="2:4" x14ac:dyDescent="0.35">
      <c r="B21" s="35" t="s">
        <v>240</v>
      </c>
      <c r="C21" s="40">
        <v>0.79</v>
      </c>
      <c r="D21" s="35" t="s">
        <v>241</v>
      </c>
    </row>
    <row r="22" spans="2:4" ht="15" thickBot="1" x14ac:dyDescent="0.4">
      <c r="B22" s="35"/>
      <c r="C22" s="35"/>
      <c r="D22" s="35"/>
    </row>
    <row r="23" spans="2:4" ht="15" thickBot="1" x14ac:dyDescent="0.4">
      <c r="B23" s="45" t="s">
        <v>187</v>
      </c>
      <c r="C23" s="46">
        <f>C12*C15 + C13*C20*C21</f>
        <v>4.5224968231995864E-2</v>
      </c>
      <c r="D23" s="3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NESN.SW_Balance Sheet</vt:lpstr>
      <vt:lpstr>NESN.SW_Income Statement</vt:lpstr>
      <vt:lpstr>NESN.SW_Cash Flow</vt:lpstr>
      <vt:lpstr>DCF</vt:lpstr>
      <vt:lpstr>WACC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Quoc Anh</cp:lastModifiedBy>
  <dcterms:created xsi:type="dcterms:W3CDTF">2025-11-19T15:40:22Z</dcterms:created>
  <dcterms:modified xsi:type="dcterms:W3CDTF">2025-11-23T10:39:14Z</dcterms:modified>
</cp:coreProperties>
</file>